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REVENUE" sheetId="3" state="visible" r:id="rId5"/>
    <sheet name="HEADCOUNT" sheetId="4" state="visible" r:id="rId6"/>
    <sheet name="P&amp;L" sheetId="5" state="visible" r:id="rId7"/>
    <sheet name="CASH FLOW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<sst xmlns="http://schemas.openxmlformats.org/spreadsheetml/2006/main" count="232" uniqueCount="135">
  <si>
    <t xml:space="preserve">Raise Ready</t>
  </si>
  <si>
    <t xml:space="preserve">Seed Financial Model — Growth</t>
  </si>
  <si>
    <t xml:space="preserve">Includes: Cohort revenue, channel CAC, 3 scenarios, P&amp;L, cash flow. 24-month horizon.</t>
  </si>
  <si>
    <t xml:space="preserve">ASSUMPTIONS — Seed Model Inputs</t>
  </si>
  <si>
    <t xml:space="preserve">Yellow cells = inputs. Three scenario columns: Conservative / Base / Aggressive. Active scenario selected below.</t>
  </si>
  <si>
    <t xml:space="preserve">SECTION 1 — COMPANY INFORMATION</t>
  </si>
  <si>
    <t xml:space="preserve">Company Name</t>
  </si>
  <si>
    <t xml:space="preserve">SeedCo Inc</t>
  </si>
  <si>
    <t xml:space="preserve">Your legal name</t>
  </si>
  <si>
    <t xml:space="preserve">Reporting Currency</t>
  </si>
  <si>
    <t xml:space="preserve">$</t>
  </si>
  <si>
    <t xml:space="preserve">Model Start</t>
  </si>
  <si>
    <t xml:space="preserve">Jan 2025</t>
  </si>
  <si>
    <t xml:space="preserve">SCENARIO SELECTOR</t>
  </si>
  <si>
    <t xml:space="preserve">Active Scenario (1=Conservative, 2=Base, 3=Aggressive)</t>
  </si>
  <si>
    <t xml:space="preserve">Change this to switch all model outputs</t>
  </si>
  <si>
    <t xml:space="preserve">SECTION 2 — REVENUE DRIVERS (BY SCENARIO)</t>
  </si>
  <si>
    <t xml:space="preserve">Conservative</t>
  </si>
  <si>
    <t xml:space="preserve">Base</t>
  </si>
  <si>
    <t xml:space="preserve">Aggressive</t>
  </si>
  <si>
    <t xml:space="preserve">Starting Customers</t>
  </si>
  <si>
    <t xml:space="preserve">New Customers / Month</t>
  </si>
  <si>
    <t xml:space="preserve">Monthly Customer Growth Rate</t>
  </si>
  <si>
    <t xml:space="preserve">Monthly Churn Rate</t>
  </si>
  <si>
    <t xml:space="preserve">ARPU ($)</t>
  </si>
  <si>
    <t xml:space="preserve">  Active Scenario Values (auto-calculated)</t>
  </si>
  <si>
    <t xml:space="preserve">  → Starting Customers</t>
  </si>
  <si>
    <t xml:space="preserve">  → New Customers / Month</t>
  </si>
  <si>
    <t xml:space="preserve">  → Monthly Customer Growth Rate</t>
  </si>
  <si>
    <t xml:space="preserve">  → Monthly Churn Rate</t>
  </si>
  <si>
    <t xml:space="preserve">  → ARPU ($)</t>
  </si>
  <si>
    <t xml:space="preserve">SECTION 3 — CAC BY CHANNEL</t>
  </si>
  <si>
    <t xml:space="preserve">% of New Customers</t>
  </si>
  <si>
    <t xml:space="preserve">CAC ($)</t>
  </si>
  <si>
    <t xml:space="preserve">  Organic / SEO</t>
  </si>
  <si>
    <t xml:space="preserve">  Paid Search</t>
  </si>
  <si>
    <t xml:space="preserve">  Social / Content</t>
  </si>
  <si>
    <t xml:space="preserve">  Referral</t>
  </si>
  <si>
    <t xml:space="preserve">  Direct Sales</t>
  </si>
  <si>
    <t xml:space="preserve">  Blended CAC ($)</t>
  </si>
  <si>
    <t xml:space="preserve">SECTION 4 — COGS &amp; OPEX</t>
  </si>
  <si>
    <t xml:space="preserve">Hosting Cost / Customer ($)</t>
  </si>
  <si>
    <t xml:space="preserve">Payment Processing (% Rev)</t>
  </si>
  <si>
    <t xml:space="preserve">Support Cost / Customer ($)</t>
  </si>
  <si>
    <t xml:space="preserve">SECTION 5 — HEADCOUNT PLAN</t>
  </si>
  <si>
    <t xml:space="preserve">Role</t>
  </si>
  <si>
    <t xml:space="preserve">Start Mo</t>
  </si>
  <si>
    <t xml:space="preserve">Salary ($)</t>
  </si>
  <si>
    <t xml:space="preserve">  CEO</t>
  </si>
  <si>
    <t xml:space="preserve">CEO</t>
  </si>
  <si>
    <t xml:space="preserve">  CTO</t>
  </si>
  <si>
    <t xml:space="preserve">CTO</t>
  </si>
  <si>
    <t xml:space="preserve">  Eng #1</t>
  </si>
  <si>
    <t xml:space="preserve">Eng #1</t>
  </si>
  <si>
    <t xml:space="preserve">  Eng #2</t>
  </si>
  <si>
    <t xml:space="preserve">Eng #2</t>
  </si>
  <si>
    <t xml:space="preserve">  Eng #3</t>
  </si>
  <si>
    <t xml:space="preserve">Eng #3</t>
  </si>
  <si>
    <t xml:space="preserve">  Designer</t>
  </si>
  <si>
    <t xml:space="preserve">Designer</t>
  </si>
  <si>
    <t xml:space="preserve">  Sales Lead</t>
  </si>
  <si>
    <t xml:space="preserve">Sales Lead</t>
  </si>
  <si>
    <t xml:space="preserve">  Marketing</t>
  </si>
  <si>
    <t xml:space="preserve">Marketing</t>
  </si>
  <si>
    <t xml:space="preserve">  CS #1</t>
  </si>
  <si>
    <t xml:space="preserve">CS #1</t>
  </si>
  <si>
    <t xml:space="preserve">  (empty)</t>
  </si>
  <si>
    <t xml:space="preserve">Overhead Multiplier</t>
  </si>
  <si>
    <t xml:space="preserve">Benefits, tax, insurance</t>
  </si>
  <si>
    <t xml:space="preserve">SECTION 6 — OPERATING EXPENSES</t>
  </si>
  <si>
    <t xml:space="preserve">Marketing (Monthly $)</t>
  </si>
  <si>
    <t xml:space="preserve">Marketing Growth MoM</t>
  </si>
  <si>
    <t xml:space="preserve">Software ($)</t>
  </si>
  <si>
    <t xml:space="preserve">Office ($)</t>
  </si>
  <si>
    <t xml:space="preserve">Legal ($)</t>
  </si>
  <si>
    <t xml:space="preserve">Other ($)</t>
  </si>
  <si>
    <t xml:space="preserve">SECTION 7 — CASH &amp; FUNDING</t>
  </si>
  <si>
    <t xml:space="preserve">Starting Cash</t>
  </si>
  <si>
    <t xml:space="preserve">Seed Raise Amount</t>
  </si>
  <si>
    <t xml:space="preserve">Seed Close Month</t>
  </si>
  <si>
    <t xml:space="preserve">REVENUE MODEL — Scenario-Driven</t>
  </si>
  <si>
    <t xml:space="preserve">All inputs from ASSUMPTIONS. Active scenario auto-selected. Do not edit white cells.</t>
  </si>
  <si>
    <t xml:space="preserve">  YEAR 1</t>
  </si>
  <si>
    <t xml:space="preserve">  YEAR 2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</si>
  <si>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</si>
  <si>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</si>
  <si>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</si>
  <si>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</si>
  <si>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</si>
  <si>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</si>
  <si>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</si>
  <si>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</si>
  <si>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</si>
  <si>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</si>
  <si>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</si>
  <si>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</si>
  <si>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Y1 Total</t>
  </si>
  <si>
    <t xml:space="preserve">Y2 Total</t>
  </si>
  <si>
    <t xml:space="preserve">CUSTOMER METRICS</t>
  </si>
  <si>
    <t xml:space="preserve">  New Customers Added</t>
  </si>
  <si>
    <t xml:space="preserve">  Customers Churned</t>
  </si>
  <si>
    <t xml:space="preserve">  Active Customers — EOM</t>
  </si>
  <si>
    <t xml:space="preserve">REVENUE</t>
  </si>
  <si>
    <t xml:space="preserve">TOTAL REVENUE ($)</t>
  </si>
  <si>
    <t xml:space="preserve">  Customer Acquisition Cost ($)</t>
  </si>
  <si>
    <t xml:space="preserve">HEADCOUNT — Staff Costs</t>
  </si>
  <si>
    <t xml:space="preserve">Auto-calculated from Assumptions. Edit roles there.</t>
  </si>
  <si>
    <t xml:space="preserve">TOTAL HEADCOUNT ($)</t>
  </si>
  <si>
    <t xml:space="preserve">PROFIT &amp; LOSS STATEMENT</t>
  </si>
  <si>
    <t xml:space="preserve">Auto-populated from REVENUE and HEADCOUNT. Green = cross-sheet links.</t>
  </si>
  <si>
    <t xml:space="preserve">  Total Revenue ($)</t>
  </si>
  <si>
    <t xml:space="preserve">COGS</t>
  </si>
  <si>
    <t xml:space="preserve">  Hosting + Support + Processing ($)</t>
  </si>
  <si>
    <t xml:space="preserve">GROSS PROFIT ($)</t>
  </si>
  <si>
    <t xml:space="preserve">  Gross Margin %</t>
  </si>
  <si>
    <t xml:space="preserve">OPEX</t>
  </si>
  <si>
    <t xml:space="preserve">  Headcount ($)</t>
  </si>
  <si>
    <t xml:space="preserve">  Marketing ($)</t>
  </si>
  <si>
    <t xml:space="preserve">  Other OpEx ($)</t>
  </si>
  <si>
    <t xml:space="preserve">TOTAL OPEX ($)</t>
  </si>
  <si>
    <t xml:space="preserve">EBITDA ($)</t>
  </si>
  <si>
    <t xml:space="preserve">  EBITDA Margin %</t>
  </si>
  <si>
    <t xml:space="preserve">CASH FLOW STATEMENT</t>
  </si>
  <si>
    <t xml:space="preserve">Auto-calculated. Shows runway.</t>
  </si>
  <si>
    <t xml:space="preserve">OPENING CASH</t>
  </si>
  <si>
    <t xml:space="preserve">Opening Cash ($)</t>
  </si>
  <si>
    <t xml:space="preserve">OPERATIONS</t>
  </si>
  <si>
    <t xml:space="preserve">  EBITDA</t>
  </si>
  <si>
    <t xml:space="preserve">CASH FROM OPS ($)</t>
  </si>
  <si>
    <t xml:space="preserve">FINANCING</t>
  </si>
  <si>
    <t xml:space="preserve">  Seed Raise ($)</t>
  </si>
  <si>
    <t xml:space="preserve">NET CASH MOVEMENT ($)</t>
  </si>
  <si>
    <t xml:space="preserve">CLOSING CASH ($)</t>
  </si>
  <si>
    <t xml:space="preserve">  Monthly Burn ($)</t>
  </si>
  <si>
    <t xml:space="preserve">  Runway (Months)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</si>
</sst>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;\(0.0%\);\-"/>
    <numFmt numFmtId="167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Georgia"/>
      <family val="0"/>
      <charset val="1"/>
    </font>
    <font>
      <sz val="14"/>
      <color rgb="FF595959"/>
      <name val="Georgia"/>
      <family val="0"/>
      <charset val="1"/>
    </font>
    <font>
      <sz val="10"/>
      <color rgb="FF59595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21734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BF4FB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FFF00"/>
        <bgColor rgb="FFFFFF00"/>
      </patternFill>
    </fill>
    <fill>
      <patternFill patternType="solid">
        <fgColor rgb="FFF5F5F5"/>
        <bgColor rgb="FFEBF4FB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EBF4F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C0C0C0"/>
      <rgbColor rgb="FF808080"/>
      <rgbColor rgb="FF9999FF"/>
      <rgbColor rgb="FF993366"/>
      <rgbColor rgb="FFF5F5F5"/>
      <rgbColor rgb="FFEBF4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2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0"/>
  </cols>
  <sheetData>
    <row r="2" customFormat="false" ht="26.8" hidden="false" customHeight="false" outlineLevel="0" collapsed="false">
      <c r="A2" s="1"/>
      <c r="B2" s="2" t="s">
        <v>0</v>
      </c>
      <c r="C2" s="1"/>
      <c r="D2" s="1"/>
      <c r="E2" s="1"/>
    </row>
    <row r="3" customFormat="false" ht="17.35" hidden="false" customHeight="false" outlineLevel="0" collapsed="false">
      <c r="A3" s="3"/>
      <c r="B3" s="4" t="s">
        <v>1</v>
      </c>
      <c r="C3" s="3"/>
      <c r="D3" s="3"/>
      <c r="E3" s="3"/>
    </row>
    <row r="5" customFormat="false" ht="15" hidden="false" customHeight="false" outlineLevel="0" collapsed="false">
      <c r="B5" s="5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8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6" t="s">
        <v>3</v>
      </c>
      <c r="B1" s="1"/>
      <c r="C1" s="1"/>
      <c r="D1" s="1"/>
      <c r="E1" s="1"/>
    </row>
    <row r="2" customFormat="false" ht="15" hidden="false" customHeight="false" outlineLevel="0" collapsed="false">
      <c r="A2" s="7" t="s">
        <v>4</v>
      </c>
      <c r="B2" s="3"/>
      <c r="C2" s="3"/>
      <c r="D2" s="3"/>
      <c r="E2" s="3"/>
    </row>
    <row r="4" customFormat="false" ht="15" hidden="false" customHeight="false" outlineLevel="0" collapsed="false">
      <c r="A4" s="8" t="s">
        <v>5</v>
      </c>
      <c r="B4" s="1"/>
      <c r="C4" s="1"/>
      <c r="D4" s="1"/>
      <c r="E4" s="1"/>
    </row>
    <row r="5" customFormat="false" ht="15" hidden="false" customHeight="false" outlineLevel="0" collapsed="false">
      <c r="A5" s="9" t="s">
        <v>6</v>
      </c>
      <c r="B5" s="10" t="s">
        <v>7</v>
      </c>
      <c r="C5" s="7" t="s">
        <v>8</v>
      </c>
    </row>
    <row r="6" customFormat="false" ht="15" hidden="false" customHeight="false" outlineLevel="0" collapsed="false">
      <c r="A6" s="11" t="s">
        <v>9</v>
      </c>
      <c r="B6" s="10" t="s">
        <v>10</v>
      </c>
    </row>
    <row r="7" customFormat="false" ht="15" hidden="false" customHeight="false" outlineLevel="0" collapsed="false">
      <c r="A7" s="9" t="s">
        <v>11</v>
      </c>
      <c r="B7" s="10" t="s">
        <v>12</v>
      </c>
    </row>
    <row r="9" customFormat="false" ht="15" hidden="false" customHeight="false" outlineLevel="0" collapsed="false">
      <c r="A9" s="8" t="s">
        <v>13</v>
      </c>
      <c r="B9" s="1"/>
      <c r="C9" s="1"/>
      <c r="D9" s="1"/>
      <c r="E9" s="1"/>
    </row>
    <row r="10" customFormat="false" ht="15" hidden="false" customHeight="false" outlineLevel="0" collapsed="false">
      <c r="A10" s="12" t="s">
        <v>14</v>
      </c>
      <c r="B10" s="10" t="n">
        <v>2</v>
      </c>
      <c r="C10" s="5" t="s">
        <v>15</v>
      </c>
    </row>
    <row r="12" customFormat="false" ht="15" hidden="false" customHeight="false" outlineLevel="0" collapsed="false">
      <c r="A12" s="8" t="s">
        <v>16</v>
      </c>
      <c r="B12" s="1"/>
      <c r="C12" s="1"/>
      <c r="D12" s="1"/>
      <c r="E12" s="1"/>
    </row>
    <row r="13" customFormat="false" ht="15" hidden="false" customHeight="false" outlineLevel="0" collapsed="false">
      <c r="B13" s="13" t="s">
        <v>17</v>
      </c>
      <c r="C13" s="13" t="s">
        <v>18</v>
      </c>
      <c r="D13" s="13" t="s">
        <v>19</v>
      </c>
    </row>
    <row r="14" customFormat="false" ht="15" hidden="false" customHeight="false" outlineLevel="0" collapsed="false">
      <c r="A14" s="9" t="s">
        <v>20</v>
      </c>
      <c r="B14" s="14" t="n">
        <v>8</v>
      </c>
      <c r="C14" s="14" t="n">
        <v>15</v>
      </c>
      <c r="D14" s="14" t="n">
        <v>25</v>
      </c>
    </row>
    <row r="15" customFormat="false" ht="15" hidden="false" customHeight="false" outlineLevel="0" collapsed="false">
      <c r="A15" s="11" t="s">
        <v>21</v>
      </c>
      <c r="B15" s="14" t="n">
        <v>10</v>
      </c>
      <c r="C15" s="14" t="n">
        <v>20</v>
      </c>
      <c r="D15" s="14" t="n">
        <v>35</v>
      </c>
    </row>
    <row r="16" customFormat="false" ht="15" hidden="false" customHeight="false" outlineLevel="0" collapsed="false">
      <c r="A16" s="9" t="s">
        <v>22</v>
      </c>
      <c r="B16" s="15" t="n">
        <v>0.05</v>
      </c>
      <c r="C16" s="15" t="n">
        <v>0.1</v>
      </c>
      <c r="D16" s="15" t="n">
        <v>0.15</v>
      </c>
    </row>
    <row r="17" customFormat="false" ht="15" hidden="false" customHeight="false" outlineLevel="0" collapsed="false">
      <c r="A17" s="11" t="s">
        <v>23</v>
      </c>
      <c r="B17" s="15" t="n">
        <v>0.06</v>
      </c>
      <c r="C17" s="15" t="n">
        <v>0.045</v>
      </c>
      <c r="D17" s="15" t="n">
        <v>0.03</v>
      </c>
    </row>
    <row r="18" customFormat="false" ht="15" hidden="false" customHeight="false" outlineLevel="0" collapsed="false">
      <c r="A18" s="9" t="s">
        <v>24</v>
      </c>
      <c r="B18" s="14" t="n">
        <v>79</v>
      </c>
      <c r="C18" s="14" t="n">
        <v>99</v>
      </c>
      <c r="D18" s="14" t="n">
        <v>119</v>
      </c>
    </row>
    <row r="20" customFormat="false" ht="15" hidden="false" customHeight="false" outlineLevel="0" collapsed="false">
      <c r="A20" s="13" t="s">
        <v>25</v>
      </c>
      <c r="B20" s="16"/>
      <c r="C20" s="16"/>
      <c r="D20" s="16"/>
      <c r="E20" s="16"/>
    </row>
    <row r="21" customFormat="false" ht="15" hidden="false" customHeight="false" outlineLevel="0" collapsed="false">
      <c r="A21" s="9" t="s">
        <v>26</v>
      </c>
      <c r="B21" s="17" t="n">
        <f aca="false">CHOOSE($B$10,B14,C14,D14)</f>
        <v>15</v>
      </c>
    </row>
    <row r="22" customFormat="false" ht="15" hidden="false" customHeight="false" outlineLevel="0" collapsed="false">
      <c r="A22" s="11" t="s">
        <v>27</v>
      </c>
      <c r="B22" s="17" t="n">
        <f aca="false">CHOOSE($B$10,B15,C15,D15)</f>
        <v>20</v>
      </c>
    </row>
    <row r="23" customFormat="false" ht="15" hidden="false" customHeight="false" outlineLevel="0" collapsed="false">
      <c r="A23" s="9" t="s">
        <v>28</v>
      </c>
      <c r="B23" s="18" t="n">
        <f aca="false">CHOOSE($B$10,B16,C16,D16)</f>
        <v>0.1</v>
      </c>
    </row>
    <row r="24" customFormat="false" ht="15" hidden="false" customHeight="false" outlineLevel="0" collapsed="false">
      <c r="A24" s="11" t="s">
        <v>29</v>
      </c>
      <c r="B24" s="18" t="n">
        <f aca="false">CHOOSE($B$10,B17,C17,D17)</f>
        <v>0.045</v>
      </c>
    </row>
    <row r="25" customFormat="false" ht="15" hidden="false" customHeight="false" outlineLevel="0" collapsed="false">
      <c r="A25" s="9" t="s">
        <v>30</v>
      </c>
      <c r="B25" s="17" t="n">
        <f aca="false">CHOOSE($B$10,B18,C18,D18)</f>
        <v>99</v>
      </c>
    </row>
    <row r="27" customFormat="false" ht="15" hidden="false" customHeight="false" outlineLevel="0" collapsed="false">
      <c r="A27" s="8" t="s">
        <v>31</v>
      </c>
      <c r="B27" s="19" t="s">
        <v>32</v>
      </c>
      <c r="C27" s="19" t="s">
        <v>33</v>
      </c>
      <c r="D27" s="1"/>
      <c r="E27" s="1"/>
    </row>
    <row r="28" customFormat="false" ht="15" hidden="false" customHeight="false" outlineLevel="0" collapsed="false">
      <c r="A28" s="9" t="s">
        <v>34</v>
      </c>
      <c r="B28" s="15" t="n">
        <v>0.3</v>
      </c>
      <c r="C28" s="14" t="n">
        <v>25</v>
      </c>
    </row>
    <row r="29" customFormat="false" ht="15" hidden="false" customHeight="false" outlineLevel="0" collapsed="false">
      <c r="A29" s="11" t="s">
        <v>35</v>
      </c>
      <c r="B29" s="15" t="n">
        <v>0.25</v>
      </c>
      <c r="C29" s="14" t="n">
        <v>180</v>
      </c>
    </row>
    <row r="30" customFormat="false" ht="15" hidden="false" customHeight="false" outlineLevel="0" collapsed="false">
      <c r="A30" s="9" t="s">
        <v>36</v>
      </c>
      <c r="B30" s="15" t="n">
        <v>0.2</v>
      </c>
      <c r="C30" s="14" t="n">
        <v>90</v>
      </c>
    </row>
    <row r="31" customFormat="false" ht="15" hidden="false" customHeight="false" outlineLevel="0" collapsed="false">
      <c r="A31" s="11" t="s">
        <v>37</v>
      </c>
      <c r="B31" s="15" t="n">
        <v>0.15</v>
      </c>
      <c r="C31" s="14" t="n">
        <v>40</v>
      </c>
    </row>
    <row r="32" customFormat="false" ht="15" hidden="false" customHeight="false" outlineLevel="0" collapsed="false">
      <c r="A32" s="9" t="s">
        <v>38</v>
      </c>
      <c r="B32" s="15" t="n">
        <v>0.1</v>
      </c>
      <c r="C32" s="14" t="n">
        <v>350</v>
      </c>
    </row>
    <row r="33" customFormat="false" ht="15" hidden="false" customHeight="false" outlineLevel="0" collapsed="false">
      <c r="A33" s="20" t="s">
        <v>39</v>
      </c>
      <c r="B33" s="17" t="n">
        <f aca="false">SUMPRODUCT(B28:B32,C28:C32)</f>
        <v>111.5</v>
      </c>
    </row>
    <row r="35" customFormat="false" ht="15" hidden="false" customHeight="false" outlineLevel="0" collapsed="false">
      <c r="A35" s="8" t="s">
        <v>40</v>
      </c>
      <c r="B35" s="1"/>
      <c r="C35" s="1"/>
      <c r="D35" s="1"/>
      <c r="E35" s="1"/>
    </row>
    <row r="36" customFormat="false" ht="15" hidden="false" customHeight="false" outlineLevel="0" collapsed="false">
      <c r="A36" s="9" t="s">
        <v>41</v>
      </c>
      <c r="B36" s="14" t="n">
        <v>5</v>
      </c>
    </row>
    <row r="37" customFormat="false" ht="15" hidden="false" customHeight="false" outlineLevel="0" collapsed="false">
      <c r="A37" s="11" t="s">
        <v>42</v>
      </c>
      <c r="B37" s="15" t="n">
        <v>0.029</v>
      </c>
    </row>
    <row r="38" customFormat="false" ht="15" hidden="false" customHeight="false" outlineLevel="0" collapsed="false">
      <c r="A38" s="9" t="s">
        <v>43</v>
      </c>
      <c r="B38" s="14" t="n">
        <v>3</v>
      </c>
    </row>
    <row r="40" customFormat="false" ht="15" hidden="false" customHeight="false" outlineLevel="0" collapsed="false">
      <c r="A40" s="8" t="s">
        <v>44</v>
      </c>
      <c r="B40" s="1"/>
      <c r="C40" s="1"/>
      <c r="D40" s="1"/>
      <c r="E40" s="1"/>
    </row>
    <row r="41" customFormat="false" ht="15" hidden="false" customHeight="false" outlineLevel="0" collapsed="false">
      <c r="B41" s="13" t="s">
        <v>45</v>
      </c>
      <c r="C41" s="13" t="s">
        <v>46</v>
      </c>
      <c r="D41" s="13" t="s">
        <v>47</v>
      </c>
    </row>
    <row r="42" customFormat="false" ht="15" hidden="false" customHeight="false" outlineLevel="0" collapsed="false">
      <c r="A42" s="12" t="s">
        <v>48</v>
      </c>
      <c r="B42" s="10" t="s">
        <v>49</v>
      </c>
      <c r="C42" s="10" t="n">
        <v>1</v>
      </c>
      <c r="D42" s="14" t="n">
        <v>80000</v>
      </c>
    </row>
    <row r="43" customFormat="false" ht="15" hidden="false" customHeight="false" outlineLevel="0" collapsed="false">
      <c r="A43" s="12" t="s">
        <v>50</v>
      </c>
      <c r="B43" s="10" t="s">
        <v>51</v>
      </c>
      <c r="C43" s="10" t="n">
        <v>1</v>
      </c>
      <c r="D43" s="14" t="n">
        <v>80000</v>
      </c>
    </row>
    <row r="44" customFormat="false" ht="15" hidden="false" customHeight="false" outlineLevel="0" collapsed="false">
      <c r="A44" s="12" t="s">
        <v>52</v>
      </c>
      <c r="B44" s="10" t="s">
        <v>53</v>
      </c>
      <c r="C44" s="10" t="n">
        <v>1</v>
      </c>
      <c r="D44" s="14" t="n">
        <v>100000</v>
      </c>
    </row>
    <row r="45" customFormat="false" ht="15" hidden="false" customHeight="false" outlineLevel="0" collapsed="false">
      <c r="A45" s="12" t="s">
        <v>54</v>
      </c>
      <c r="B45" s="10" t="s">
        <v>55</v>
      </c>
      <c r="C45" s="10" t="n">
        <v>3</v>
      </c>
      <c r="D45" s="14" t="n">
        <v>100000</v>
      </c>
    </row>
    <row r="46" customFormat="false" ht="15" hidden="false" customHeight="false" outlineLevel="0" collapsed="false">
      <c r="A46" s="12" t="s">
        <v>56</v>
      </c>
      <c r="B46" s="10" t="s">
        <v>57</v>
      </c>
      <c r="C46" s="10" t="n">
        <v>6</v>
      </c>
      <c r="D46" s="14" t="n">
        <v>100000</v>
      </c>
    </row>
    <row r="47" customFormat="false" ht="15" hidden="false" customHeight="false" outlineLevel="0" collapsed="false">
      <c r="A47" s="12" t="s">
        <v>58</v>
      </c>
      <c r="B47" s="10" t="s">
        <v>59</v>
      </c>
      <c r="C47" s="10" t="n">
        <v>3</v>
      </c>
      <c r="D47" s="14" t="n">
        <v>80000</v>
      </c>
    </row>
    <row r="48" customFormat="false" ht="15" hidden="false" customHeight="false" outlineLevel="0" collapsed="false">
      <c r="A48" s="12" t="s">
        <v>60</v>
      </c>
      <c r="B48" s="10" t="s">
        <v>61</v>
      </c>
      <c r="C48" s="10" t="n">
        <v>4</v>
      </c>
      <c r="D48" s="14" t="n">
        <v>85000</v>
      </c>
    </row>
    <row r="49" customFormat="false" ht="15" hidden="false" customHeight="false" outlineLevel="0" collapsed="false">
      <c r="A49" s="12" t="s">
        <v>62</v>
      </c>
      <c r="B49" s="10" t="s">
        <v>63</v>
      </c>
      <c r="C49" s="10" t="n">
        <v>6</v>
      </c>
      <c r="D49" s="14" t="n">
        <v>75000</v>
      </c>
    </row>
    <row r="50" customFormat="false" ht="15" hidden="false" customHeight="false" outlineLevel="0" collapsed="false">
      <c r="A50" s="12" t="s">
        <v>64</v>
      </c>
      <c r="B50" s="10" t="s">
        <v>65</v>
      </c>
      <c r="C50" s="10" t="n">
        <v>6</v>
      </c>
      <c r="D50" s="14" t="n">
        <v>65000</v>
      </c>
    </row>
    <row r="51" customFormat="false" ht="15" hidden="false" customHeight="false" outlineLevel="0" collapsed="false">
      <c r="A51" s="12" t="s">
        <v>66</v>
      </c>
      <c r="B51" s="10"/>
      <c r="C51" s="10"/>
      <c r="D51" s="14"/>
    </row>
    <row r="53" customFormat="false" ht="15" hidden="false" customHeight="false" outlineLevel="0" collapsed="false">
      <c r="A53" s="9" t="s">
        <v>67</v>
      </c>
      <c r="B53" s="10" t="n">
        <v>1.3</v>
      </c>
      <c r="C53" s="7" t="s">
        <v>68</v>
      </c>
    </row>
    <row r="55" customFormat="false" ht="15" hidden="false" customHeight="false" outlineLevel="0" collapsed="false">
      <c r="A55" s="8" t="s">
        <v>69</v>
      </c>
      <c r="B55" s="1"/>
      <c r="C55" s="1"/>
      <c r="D55" s="1"/>
      <c r="E55" s="1"/>
    </row>
    <row r="56" customFormat="false" ht="15" hidden="false" customHeight="false" outlineLevel="0" collapsed="false">
      <c r="A56" s="9" t="s">
        <v>70</v>
      </c>
      <c r="B56" s="14" t="n">
        <v>5000</v>
      </c>
    </row>
    <row r="57" customFormat="false" ht="15" hidden="false" customHeight="false" outlineLevel="0" collapsed="false">
      <c r="A57" s="11" t="s">
        <v>71</v>
      </c>
      <c r="B57" s="15" t="n">
        <v>0.08</v>
      </c>
    </row>
    <row r="58" customFormat="false" ht="15" hidden="false" customHeight="false" outlineLevel="0" collapsed="false">
      <c r="A58" s="9" t="s">
        <v>72</v>
      </c>
      <c r="B58" s="14" t="n">
        <v>1200</v>
      </c>
    </row>
    <row r="59" customFormat="false" ht="15" hidden="false" customHeight="false" outlineLevel="0" collapsed="false">
      <c r="A59" s="11" t="s">
        <v>73</v>
      </c>
      <c r="B59" s="14" t="n">
        <v>0</v>
      </c>
    </row>
    <row r="60" customFormat="false" ht="15" hidden="false" customHeight="false" outlineLevel="0" collapsed="false">
      <c r="A60" s="9" t="s">
        <v>74</v>
      </c>
      <c r="B60" s="14" t="n">
        <v>800</v>
      </c>
    </row>
    <row r="61" customFormat="false" ht="15" hidden="false" customHeight="false" outlineLevel="0" collapsed="false">
      <c r="A61" s="11" t="s">
        <v>75</v>
      </c>
      <c r="B61" s="14" t="n">
        <v>500</v>
      </c>
    </row>
    <row r="63" customFormat="false" ht="15" hidden="false" customHeight="false" outlineLevel="0" collapsed="false">
      <c r="A63" s="8" t="s">
        <v>76</v>
      </c>
      <c r="B63" s="1"/>
      <c r="C63" s="1"/>
      <c r="D63" s="1"/>
      <c r="E63" s="1"/>
    </row>
    <row r="64" customFormat="false" ht="15" hidden="false" customHeight="false" outlineLevel="0" collapsed="false">
      <c r="A64" s="9" t="s">
        <v>77</v>
      </c>
      <c r="B64" s="14" t="n">
        <v>100000</v>
      </c>
    </row>
    <row r="65" customFormat="false" ht="15" hidden="false" customHeight="false" outlineLevel="0" collapsed="false">
      <c r="A65" s="11" t="s">
        <v>78</v>
      </c>
      <c r="B65" s="14" t="n">
        <v>1500000</v>
      </c>
    </row>
    <row r="66" customFormat="false" ht="15" hidden="false" customHeight="false" outlineLevel="0" collapsed="false">
      <c r="A66" s="9" t="s">
        <v>79</v>
      </c>
      <c r="B66" s="1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A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0" min="2" style="0" width="13"/>
  </cols>
  <sheetData>
    <row r="1" customFormat="false" ht="17.35" hidden="false" customHeight="false" outlineLevel="0" collapsed="false">
      <c r="A1" s="2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7" t="s">
        <v>81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4" customFormat="false" ht="15" hidden="false" customHeight="false" outlineLevel="0" collapsed="false">
      <c r="B4" s="22" t="s">
        <v>82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2" t="s">
        <v>83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6"/>
      <c r="AA4" s="16"/>
    </row>
    <row r="5" customFormat="false" ht="15" hidden="false" customHeight="false" outlineLevel="0" collapsed="false">
      <c r="B5" s="22" t="s">
        <v>84</v>
      </c>
      <c r="C5" s="22" t="s">
        <v>85</v>
      </c>
      <c r="D5" s="22" t="s">
        <v>86</v>
      </c>
      <c r="E5" s="22" t="s">
        <v>87</v>
      </c>
      <c r="F5" s="22" t="s">
        <v>88</v>
      </c>
      <c r="G5" s="22" t="s">
        <v>89</v>
      </c>
      <c r="H5" s="22" t="s">
        <v>90</v>
      </c>
      <c r="I5" s="22" t="s">
        <v>91</v>
      </c>
      <c r="J5" s="22" t="s">
        <v>92</v>
      </c>
      <c r="K5" s="22" t="s">
        <v>93</v>
      </c>
      <c r="L5" s="22" t="s">
        <v>94</v>
      </c>
      <c r="M5" s="22" t="s">
        <v>95</v>
      </c>
      <c r="N5" s="22" t="s">
        <v>84</v>
      </c>
      <c r="O5" s="22" t="s">
        <v>85</v>
      </c>
      <c r="P5" s="22" t="s">
        <v>86</v>
      </c>
      <c r="Q5" s="22" t="s">
        <v>87</v>
      </c>
      <c r="R5" s="22" t="s">
        <v>88</v>
      </c>
      <c r="S5" s="22" t="s">
        <v>89</v>
      </c>
      <c r="T5" s="22" t="s">
        <v>90</v>
      </c>
      <c r="U5" s="22" t="s">
        <v>91</v>
      </c>
      <c r="V5" s="22" t="s">
        <v>92</v>
      </c>
      <c r="W5" s="22" t="s">
        <v>93</v>
      </c>
      <c r="X5" s="22" t="s">
        <v>94</v>
      </c>
      <c r="Y5" s="22" t="s">
        <v>95</v>
      </c>
      <c r="Z5" s="23" t="s">
        <v>96</v>
      </c>
      <c r="AA5" s="23" t="s">
        <v>97</v>
      </c>
    </row>
    <row r="6" customFormat="false" ht="15" hidden="false" customHeight="false" outlineLevel="0" collapsed="false">
      <c r="A6" s="8" t="s">
        <v>98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customFormat="false" ht="15" hidden="false" customHeight="false" outlineLevel="0" collapsed="false">
      <c r="A7" s="9" t="s">
        <v>99</v>
      </c>
      <c r="B7" s="17" t="n">
        <f aca="false">IFERROR(ASSUMPTIONS!$B$22,0)</f>
        <v>20</v>
      </c>
      <c r="C7" s="17" t="n">
        <f aca="false">IFERROR(ROUND(B7*(1+ASSUMPTIONS!$B$23),0),0)</f>
        <v>22</v>
      </c>
      <c r="D7" s="17" t="n">
        <f aca="false">IFERROR(ROUND(C7*(1+ASSUMPTIONS!$B$23),0),0)</f>
        <v>24</v>
      </c>
      <c r="E7" s="17" t="n">
        <f aca="false">IFERROR(ROUND(D7*(1+ASSUMPTIONS!$B$23),0),0)</f>
        <v>26</v>
      </c>
      <c r="F7" s="17" t="n">
        <f aca="false">IFERROR(ROUND(E7*(1+ASSUMPTIONS!$B$23),0),0)</f>
        <v>29</v>
      </c>
      <c r="G7" s="17" t="n">
        <f aca="false">IFERROR(ROUND(F7*(1+ASSUMPTIONS!$B$23),0),0)</f>
        <v>32</v>
      </c>
      <c r="H7" s="17" t="n">
        <f aca="false">IFERROR(ROUND(G7*(1+ASSUMPTIONS!$B$23),0),0)</f>
        <v>35</v>
      </c>
      <c r="I7" s="17" t="n">
        <f aca="false">IFERROR(ROUND(H7*(1+ASSUMPTIONS!$B$23),0),0)</f>
        <v>39</v>
      </c>
      <c r="J7" s="17" t="n">
        <f aca="false">IFERROR(ROUND(I7*(1+ASSUMPTIONS!$B$23),0),0)</f>
        <v>43</v>
      </c>
      <c r="K7" s="17" t="n">
        <f aca="false">IFERROR(ROUND(J7*(1+ASSUMPTIONS!$B$23),0),0)</f>
        <v>47</v>
      </c>
      <c r="L7" s="17" t="n">
        <f aca="false">IFERROR(ROUND(K7*(1+ASSUMPTIONS!$B$23),0),0)</f>
        <v>52</v>
      </c>
      <c r="M7" s="17" t="n">
        <f aca="false">IFERROR(ROUND(L7*(1+ASSUMPTIONS!$B$23),0),0)</f>
        <v>57</v>
      </c>
      <c r="N7" s="17" t="n">
        <f aca="false">IFERROR(ROUND(M7*(1+ASSUMPTIONS!$B$23),0),0)</f>
        <v>63</v>
      </c>
      <c r="O7" s="17" t="n">
        <f aca="false">IFERROR(ROUND(N7*(1+ASSUMPTIONS!$B$23),0),0)</f>
        <v>69</v>
      </c>
      <c r="P7" s="17" t="n">
        <f aca="false">IFERROR(ROUND(O7*(1+ASSUMPTIONS!$B$23),0),0)</f>
        <v>76</v>
      </c>
      <c r="Q7" s="17" t="n">
        <f aca="false">IFERROR(ROUND(P7*(1+ASSUMPTIONS!$B$23),0),0)</f>
        <v>84</v>
      </c>
      <c r="R7" s="17" t="n">
        <f aca="false">IFERROR(ROUND(Q7*(1+ASSUMPTIONS!$B$23),0),0)</f>
        <v>92</v>
      </c>
      <c r="S7" s="17" t="n">
        <f aca="false">IFERROR(ROUND(R7*(1+ASSUMPTIONS!$B$23),0),0)</f>
        <v>101</v>
      </c>
      <c r="T7" s="17" t="n">
        <f aca="false">IFERROR(ROUND(S7*(1+ASSUMPTIONS!$B$23),0),0)</f>
        <v>111</v>
      </c>
      <c r="U7" s="17" t="n">
        <f aca="false">IFERROR(ROUND(T7*(1+ASSUMPTIONS!$B$23),0),0)</f>
        <v>122</v>
      </c>
      <c r="V7" s="17" t="n">
        <f aca="false">IFERROR(ROUND(U7*(1+ASSUMPTIONS!$B$23),0),0)</f>
        <v>134</v>
      </c>
      <c r="W7" s="17" t="n">
        <f aca="false">IFERROR(ROUND(V7*(1+ASSUMPTIONS!$B$23),0),0)</f>
        <v>147</v>
      </c>
      <c r="X7" s="17" t="n">
        <f aca="false">IFERROR(ROUND(W7*(1+ASSUMPTIONS!$B$23),0),0)</f>
        <v>162</v>
      </c>
      <c r="Y7" s="17" t="n">
        <f aca="false">IFERROR(ROUND(X7*(1+ASSUMPTIONS!$B$23),0),0)</f>
        <v>178</v>
      </c>
    </row>
    <row r="8" customFormat="false" ht="15" hidden="false" customHeight="false" outlineLevel="0" collapsed="false">
      <c r="A8" s="11" t="s">
        <v>100</v>
      </c>
      <c r="B8" s="24" t="n">
        <f aca="false">IFERROR(ROUND(ASSUMPTIONS!$B$21*ASSUMPTIONS!$B$24,0),0)</f>
        <v>1</v>
      </c>
      <c r="C8" s="24" t="n">
        <f aca="false">IFERROR(ROUND(B9*ASSUMPTIONS!$B$24,0),0)</f>
        <v>2</v>
      </c>
      <c r="D8" s="24" t="n">
        <f aca="false">IFERROR(ROUND(C9*ASSUMPTIONS!$B$24,0),0)</f>
        <v>2</v>
      </c>
      <c r="E8" s="24" t="n">
        <f aca="false">IFERROR(ROUND(D9*ASSUMPTIONS!$B$24,0),0)</f>
        <v>3</v>
      </c>
      <c r="F8" s="24" t="n">
        <f aca="false">IFERROR(ROUND(E9*ASSUMPTIONS!$B$24,0),0)</f>
        <v>4</v>
      </c>
      <c r="G8" s="24" t="n">
        <f aca="false">IFERROR(ROUND(F9*ASSUMPTIONS!$B$24,0),0)</f>
        <v>6</v>
      </c>
      <c r="H8" s="24" t="n">
        <f aca="false">IFERROR(ROUND(G9*ASSUMPTIONS!$B$24,0),0)</f>
        <v>7</v>
      </c>
      <c r="I8" s="24" t="n">
        <f aca="false">IFERROR(ROUND(H9*ASSUMPTIONS!$B$24,0),0)</f>
        <v>8</v>
      </c>
      <c r="J8" s="24" t="n">
        <f aca="false">IFERROR(ROUND(I9*ASSUMPTIONS!$B$24,0),0)</f>
        <v>9</v>
      </c>
      <c r="K8" s="24" t="n">
        <f aca="false">IFERROR(ROUND(J9*ASSUMPTIONS!$B$24,0),0)</f>
        <v>11</v>
      </c>
      <c r="L8" s="24" t="n">
        <f aca="false">IFERROR(ROUND(K9*ASSUMPTIONS!$B$24,0),0)</f>
        <v>13</v>
      </c>
      <c r="M8" s="24" t="n">
        <f aca="false">IFERROR(ROUND(L9*ASSUMPTIONS!$B$24,0),0)</f>
        <v>14</v>
      </c>
      <c r="N8" s="24" t="n">
        <f aca="false">IFERROR(ROUND(M9*ASSUMPTIONS!$B$24,0),0)</f>
        <v>16</v>
      </c>
      <c r="O8" s="24" t="n">
        <f aca="false">IFERROR(ROUND(N9*ASSUMPTIONS!$B$24,0),0)</f>
        <v>18</v>
      </c>
      <c r="P8" s="24" t="n">
        <f aca="false">IFERROR(ROUND(O9*ASSUMPTIONS!$B$24,0),0)</f>
        <v>21</v>
      </c>
      <c r="Q8" s="24" t="n">
        <f aca="false">IFERROR(ROUND(P9*ASSUMPTIONS!$B$24,0),0)</f>
        <v>23</v>
      </c>
      <c r="R8" s="24" t="n">
        <f aca="false">IFERROR(ROUND(Q9*ASSUMPTIONS!$B$24,0),0)</f>
        <v>26</v>
      </c>
      <c r="S8" s="24" t="n">
        <f aca="false">IFERROR(ROUND(R9*ASSUMPTIONS!$B$24,0),0)</f>
        <v>29</v>
      </c>
      <c r="T8" s="24" t="n">
        <f aca="false">IFERROR(ROUND(S9*ASSUMPTIONS!$B$24,0),0)</f>
        <v>32</v>
      </c>
      <c r="U8" s="24" t="n">
        <f aca="false">IFERROR(ROUND(T9*ASSUMPTIONS!$B$24,0),0)</f>
        <v>36</v>
      </c>
      <c r="V8" s="24" t="n">
        <f aca="false">IFERROR(ROUND(U9*ASSUMPTIONS!$B$24,0),0)</f>
        <v>40</v>
      </c>
      <c r="W8" s="24" t="n">
        <f aca="false">IFERROR(ROUND(V9*ASSUMPTIONS!$B$24,0),0)</f>
        <v>44</v>
      </c>
      <c r="X8" s="24" t="n">
        <f aca="false">IFERROR(ROUND(W9*ASSUMPTIONS!$B$24,0),0)</f>
        <v>48</v>
      </c>
      <c r="Y8" s="24" t="n">
        <f aca="false">IFERROR(ROUND(X9*ASSUMPTIONS!$B$24,0),0)</f>
        <v>54</v>
      </c>
    </row>
    <row r="9" customFormat="false" ht="15" hidden="false" customHeight="false" outlineLevel="0" collapsed="false">
      <c r="A9" s="9" t="s">
        <v>101</v>
      </c>
      <c r="B9" s="17" t="n">
        <f aca="false">IFERROR(ASSUMPTIONS!$B$21+B7-B8,0)</f>
        <v>34</v>
      </c>
      <c r="C9" s="17" t="n">
        <f aca="false">IFERROR(B9+C7-C8,0)</f>
        <v>54</v>
      </c>
      <c r="D9" s="17" t="n">
        <f aca="false">IFERROR(C9+D7-D8,0)</f>
        <v>76</v>
      </c>
      <c r="E9" s="17" t="n">
        <f aca="false">IFERROR(D9+E7-E8,0)</f>
        <v>99</v>
      </c>
      <c r="F9" s="17" t="n">
        <f aca="false">IFERROR(E9+F7-F8,0)</f>
        <v>124</v>
      </c>
      <c r="G9" s="17" t="n">
        <f aca="false">IFERROR(F9+G7-G8,0)</f>
        <v>150</v>
      </c>
      <c r="H9" s="17" t="n">
        <f aca="false">IFERROR(G9+H7-H8,0)</f>
        <v>178</v>
      </c>
      <c r="I9" s="17" t="n">
        <f aca="false">IFERROR(H9+I7-I8,0)</f>
        <v>209</v>
      </c>
      <c r="J9" s="17" t="n">
        <f aca="false">IFERROR(I9+J7-J8,0)</f>
        <v>243</v>
      </c>
      <c r="K9" s="17" t="n">
        <f aca="false">IFERROR(J9+K7-K8,0)</f>
        <v>279</v>
      </c>
      <c r="L9" s="17" t="n">
        <f aca="false">IFERROR(K9+L7-L8,0)</f>
        <v>318</v>
      </c>
      <c r="M9" s="17" t="n">
        <f aca="false">IFERROR(L9+M7-M8,0)</f>
        <v>361</v>
      </c>
      <c r="N9" s="17" t="n">
        <f aca="false">IFERROR(M9+N7-N8,0)</f>
        <v>408</v>
      </c>
      <c r="O9" s="17" t="n">
        <f aca="false">IFERROR(N9+O7-O8,0)</f>
        <v>459</v>
      </c>
      <c r="P9" s="17" t="n">
        <f aca="false">IFERROR(O9+P7-P8,0)</f>
        <v>514</v>
      </c>
      <c r="Q9" s="17" t="n">
        <f aca="false">IFERROR(P9+Q7-Q8,0)</f>
        <v>575</v>
      </c>
      <c r="R9" s="17" t="n">
        <f aca="false">IFERROR(Q9+R7-R8,0)</f>
        <v>641</v>
      </c>
      <c r="S9" s="17" t="n">
        <f aca="false">IFERROR(R9+S7-S8,0)</f>
        <v>713</v>
      </c>
      <c r="T9" s="17" t="n">
        <f aca="false">IFERROR(S9+T7-T8,0)</f>
        <v>792</v>
      </c>
      <c r="U9" s="17" t="n">
        <f aca="false">IFERROR(T9+U7-U8,0)</f>
        <v>878</v>
      </c>
      <c r="V9" s="17" t="n">
        <f aca="false">IFERROR(U9+V7-V8,0)</f>
        <v>972</v>
      </c>
      <c r="W9" s="17" t="n">
        <f aca="false">IFERROR(V9+W7-W8,0)</f>
        <v>1075</v>
      </c>
      <c r="X9" s="17" t="n">
        <f aca="false">IFERROR(W9+X7-X8,0)</f>
        <v>1189</v>
      </c>
      <c r="Y9" s="17" t="n">
        <f aca="false">IFERROR(X9+Y7-Y8,0)</f>
        <v>1313</v>
      </c>
    </row>
    <row r="11" customFormat="false" ht="15" hidden="false" customHeight="false" outlineLevel="0" collapsed="false">
      <c r="A11" s="13" t="s">
        <v>102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customFormat="false" ht="15" hidden="false" customHeight="false" outlineLevel="0" collapsed="false">
      <c r="A12" s="25" t="s">
        <v>103</v>
      </c>
      <c r="B12" s="26" t="n">
        <f aca="false">IFERROR(B9*ASSUMPTIONS!$B$25,0)</f>
        <v>3366</v>
      </c>
      <c r="C12" s="26" t="n">
        <f aca="false">IFERROR(C9*ASSUMPTIONS!$B$25,0)</f>
        <v>5346</v>
      </c>
      <c r="D12" s="26" t="n">
        <f aca="false">IFERROR(D9*ASSUMPTIONS!$B$25,0)</f>
        <v>7524</v>
      </c>
      <c r="E12" s="26" t="n">
        <f aca="false">IFERROR(E9*ASSUMPTIONS!$B$25,0)</f>
        <v>9801</v>
      </c>
      <c r="F12" s="26" t="n">
        <f aca="false">IFERROR(F9*ASSUMPTIONS!$B$25,0)</f>
        <v>12276</v>
      </c>
      <c r="G12" s="26" t="n">
        <f aca="false">IFERROR(G9*ASSUMPTIONS!$B$25,0)</f>
        <v>14850</v>
      </c>
      <c r="H12" s="26" t="n">
        <f aca="false">IFERROR(H9*ASSUMPTIONS!$B$25,0)</f>
        <v>17622</v>
      </c>
      <c r="I12" s="26" t="n">
        <f aca="false">IFERROR(I9*ASSUMPTIONS!$B$25,0)</f>
        <v>20691</v>
      </c>
      <c r="J12" s="26" t="n">
        <f aca="false">IFERROR(J9*ASSUMPTIONS!$B$25,0)</f>
        <v>24057</v>
      </c>
      <c r="K12" s="26" t="n">
        <f aca="false">IFERROR(K9*ASSUMPTIONS!$B$25,0)</f>
        <v>27621</v>
      </c>
      <c r="L12" s="26" t="n">
        <f aca="false">IFERROR(L9*ASSUMPTIONS!$B$25,0)</f>
        <v>31482</v>
      </c>
      <c r="M12" s="26" t="n">
        <f aca="false">IFERROR(M9*ASSUMPTIONS!$B$25,0)</f>
        <v>35739</v>
      </c>
      <c r="N12" s="26" t="n">
        <f aca="false">IFERROR(N9*ASSUMPTIONS!$B$25,0)</f>
        <v>40392</v>
      </c>
      <c r="O12" s="26" t="n">
        <f aca="false">IFERROR(O9*ASSUMPTIONS!$B$25,0)</f>
        <v>45441</v>
      </c>
      <c r="P12" s="26" t="n">
        <f aca="false">IFERROR(P9*ASSUMPTIONS!$B$25,0)</f>
        <v>50886</v>
      </c>
      <c r="Q12" s="26" t="n">
        <f aca="false">IFERROR(Q9*ASSUMPTIONS!$B$25,0)</f>
        <v>56925</v>
      </c>
      <c r="R12" s="26" t="n">
        <f aca="false">IFERROR(R9*ASSUMPTIONS!$B$25,0)</f>
        <v>63459</v>
      </c>
      <c r="S12" s="26" t="n">
        <f aca="false">IFERROR(S9*ASSUMPTIONS!$B$25,0)</f>
        <v>70587</v>
      </c>
      <c r="T12" s="26" t="n">
        <f aca="false">IFERROR(T9*ASSUMPTIONS!$B$25,0)</f>
        <v>78408</v>
      </c>
      <c r="U12" s="26" t="n">
        <f aca="false">IFERROR(U9*ASSUMPTIONS!$B$25,0)</f>
        <v>86922</v>
      </c>
      <c r="V12" s="26" t="n">
        <f aca="false">IFERROR(V9*ASSUMPTIONS!$B$25,0)</f>
        <v>96228</v>
      </c>
      <c r="W12" s="26" t="n">
        <f aca="false">IFERROR(W9*ASSUMPTIONS!$B$25,0)</f>
        <v>106425</v>
      </c>
      <c r="X12" s="26" t="n">
        <f aca="false">IFERROR(X9*ASSUMPTIONS!$B$25,0)</f>
        <v>117711</v>
      </c>
      <c r="Y12" s="26" t="n">
        <f aca="false">IFERROR(Y9*ASSUMPTIONS!$B$25,0)</f>
        <v>129987</v>
      </c>
      <c r="Z12" s="26" t="n">
        <f aca="false">SUM(B12:M12)</f>
        <v>210375</v>
      </c>
      <c r="AA12" s="26" t="n">
        <f aca="false">SUM(N12:Y12)</f>
        <v>943371</v>
      </c>
      <c r="AB12" s="27"/>
      <c r="AC12" s="27"/>
    </row>
    <row r="13" customFormat="false" ht="15" hidden="false" customHeight="false" outlineLevel="0" collapsed="false">
      <c r="A13" s="11" t="s">
        <v>104</v>
      </c>
      <c r="B13" s="17" t="n">
        <f aca="false">IFERROR(B7*ASSUMPTIONS!$B$33,0)</f>
        <v>2230</v>
      </c>
      <c r="C13" s="17" t="n">
        <f aca="false">IFERROR(C7*ASSUMPTIONS!$B$33,0)</f>
        <v>2453</v>
      </c>
      <c r="D13" s="17" t="n">
        <f aca="false">IFERROR(D7*ASSUMPTIONS!$B$33,0)</f>
        <v>2676</v>
      </c>
      <c r="E13" s="17" t="n">
        <f aca="false">IFERROR(E7*ASSUMPTIONS!$B$33,0)</f>
        <v>2899</v>
      </c>
      <c r="F13" s="17" t="n">
        <f aca="false">IFERROR(F7*ASSUMPTIONS!$B$33,0)</f>
        <v>3233.5</v>
      </c>
      <c r="G13" s="17" t="n">
        <f aca="false">IFERROR(G7*ASSUMPTIONS!$B$33,0)</f>
        <v>3568</v>
      </c>
      <c r="H13" s="17" t="n">
        <f aca="false">IFERROR(H7*ASSUMPTIONS!$B$33,0)</f>
        <v>3902.5</v>
      </c>
      <c r="I13" s="17" t="n">
        <f aca="false">IFERROR(I7*ASSUMPTIONS!$B$33,0)</f>
        <v>4348.5</v>
      </c>
      <c r="J13" s="17" t="n">
        <f aca="false">IFERROR(J7*ASSUMPTIONS!$B$33,0)</f>
        <v>4794.5</v>
      </c>
      <c r="K13" s="17" t="n">
        <f aca="false">IFERROR(K7*ASSUMPTIONS!$B$33,0)</f>
        <v>5240.5</v>
      </c>
      <c r="L13" s="17" t="n">
        <f aca="false">IFERROR(L7*ASSUMPTIONS!$B$33,0)</f>
        <v>5798</v>
      </c>
      <c r="M13" s="17" t="n">
        <f aca="false">IFERROR(M7*ASSUMPTIONS!$B$33,0)</f>
        <v>6355.5</v>
      </c>
      <c r="N13" s="17" t="n">
        <f aca="false">IFERROR(N7*ASSUMPTIONS!$B$33,0)</f>
        <v>7024.5</v>
      </c>
      <c r="O13" s="17" t="n">
        <f aca="false">IFERROR(O7*ASSUMPTIONS!$B$33,0)</f>
        <v>7693.5</v>
      </c>
      <c r="P13" s="17" t="n">
        <f aca="false">IFERROR(P7*ASSUMPTIONS!$B$33,0)</f>
        <v>8474</v>
      </c>
      <c r="Q13" s="17" t="n">
        <f aca="false">IFERROR(Q7*ASSUMPTIONS!$B$33,0)</f>
        <v>9366</v>
      </c>
      <c r="R13" s="17" t="n">
        <f aca="false">IFERROR(R7*ASSUMPTIONS!$B$33,0)</f>
        <v>10258</v>
      </c>
      <c r="S13" s="17" t="n">
        <f aca="false">IFERROR(S7*ASSUMPTIONS!$B$33,0)</f>
        <v>11261.5</v>
      </c>
      <c r="T13" s="17" t="n">
        <f aca="false">IFERROR(T7*ASSUMPTIONS!$B$33,0)</f>
        <v>12376.5</v>
      </c>
      <c r="U13" s="17" t="n">
        <f aca="false">IFERROR(U7*ASSUMPTIONS!$B$33,0)</f>
        <v>13603</v>
      </c>
      <c r="V13" s="17" t="n">
        <f aca="false">IFERROR(V7*ASSUMPTIONS!$B$33,0)</f>
        <v>14941</v>
      </c>
      <c r="W13" s="17" t="n">
        <f aca="false">IFERROR(W7*ASSUMPTIONS!$B$33,0)</f>
        <v>16390.5</v>
      </c>
      <c r="X13" s="17" t="n">
        <f aca="false">IFERROR(X7*ASSUMPTIONS!$B$33,0)</f>
        <v>18063</v>
      </c>
      <c r="Y13" s="17" t="n">
        <f aca="false">IFERROR(Y7*ASSUMPTIONS!$B$33,0)</f>
        <v>19847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A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0" min="2" style="0" width="13"/>
  </cols>
  <sheetData>
    <row r="1" customFormat="false" ht="17.35" hidden="false" customHeight="false" outlineLevel="0" collapsed="false">
      <c r="A1" s="2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7" t="s">
        <v>106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4" customFormat="false" ht="15" hidden="false" customHeight="false" outlineLevel="0" collapsed="false">
      <c r="B4" s="22" t="s">
        <v>82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2" t="s">
        <v>83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6"/>
      <c r="AA4" s="16"/>
    </row>
    <row r="5" customFormat="false" ht="15" hidden="false" customHeight="false" outlineLevel="0" collapsed="false">
      <c r="B5" s="22" t="s">
        <v>84</v>
      </c>
      <c r="C5" s="22" t="s">
        <v>85</v>
      </c>
      <c r="D5" s="22" t="s">
        <v>86</v>
      </c>
      <c r="E5" s="22" t="s">
        <v>87</v>
      </c>
      <c r="F5" s="22" t="s">
        <v>88</v>
      </c>
      <c r="G5" s="22" t="s">
        <v>89</v>
      </c>
      <c r="H5" s="22" t="s">
        <v>90</v>
      </c>
      <c r="I5" s="22" t="s">
        <v>91</v>
      </c>
      <c r="J5" s="22" t="s">
        <v>92</v>
      </c>
      <c r="K5" s="22" t="s">
        <v>93</v>
      </c>
      <c r="L5" s="22" t="s">
        <v>94</v>
      </c>
      <c r="M5" s="22" t="s">
        <v>95</v>
      </c>
      <c r="N5" s="22" t="s">
        <v>84</v>
      </c>
      <c r="O5" s="22" t="s">
        <v>85</v>
      </c>
      <c r="P5" s="22" t="s">
        <v>86</v>
      </c>
      <c r="Q5" s="22" t="s">
        <v>87</v>
      </c>
      <c r="R5" s="22" t="s">
        <v>88</v>
      </c>
      <c r="S5" s="22" t="s">
        <v>89</v>
      </c>
      <c r="T5" s="22" t="s">
        <v>90</v>
      </c>
      <c r="U5" s="22" t="s">
        <v>91</v>
      </c>
      <c r="V5" s="22" t="s">
        <v>92</v>
      </c>
      <c r="W5" s="22" t="s">
        <v>93</v>
      </c>
      <c r="X5" s="22" t="s">
        <v>94</v>
      </c>
      <c r="Y5" s="22" t="s">
        <v>95</v>
      </c>
      <c r="Z5" s="23" t="s">
        <v>96</v>
      </c>
      <c r="AA5" s="23" t="s">
        <v>97</v>
      </c>
    </row>
    <row r="7" customFormat="false" ht="15" hidden="false" customHeight="false" outlineLevel="0" collapsed="false">
      <c r="A7" s="5" t="str">
        <f aca="false">IFERROR(ASSUMPTIONS!B42,"")</f>
        <v>CEO</v>
      </c>
      <c r="B7" s="28" t="n">
        <f aca="false">IFERROR(IF(AND(1&gt;=ASSUMPTIONS!$C$42,ASSUMPTIONS!$C$42&gt;0),ASSUMPTIONS!$D$42/12*(ASSUMPTIONS!$B$53),0),0)</f>
        <v>8666.66666666667</v>
      </c>
      <c r="C7" s="28" t="n">
        <f aca="false">IFERROR(IF(AND(2&gt;=ASSUMPTIONS!$C$42,ASSUMPTIONS!$C$42&gt;0),ASSUMPTIONS!$D$42/12*(ASSUMPTIONS!$B$53),0),0)</f>
        <v>8666.66666666667</v>
      </c>
      <c r="D7" s="28" t="n">
        <f aca="false">IFERROR(IF(AND(3&gt;=ASSUMPTIONS!$C$42,ASSUMPTIONS!$C$42&gt;0),ASSUMPTIONS!$D$42/12*(ASSUMPTIONS!$B$53),0),0)</f>
        <v>8666.66666666667</v>
      </c>
      <c r="E7" s="28" t="n">
        <f aca="false">IFERROR(IF(AND(4&gt;=ASSUMPTIONS!$C$42,ASSUMPTIONS!$C$42&gt;0),ASSUMPTIONS!$D$42/12*(ASSUMPTIONS!$B$53),0),0)</f>
        <v>8666.66666666667</v>
      </c>
      <c r="F7" s="28" t="n">
        <f aca="false">IFERROR(IF(AND(5&gt;=ASSUMPTIONS!$C$42,ASSUMPTIONS!$C$42&gt;0),ASSUMPTIONS!$D$42/12*(ASSUMPTIONS!$B$53),0),0)</f>
        <v>8666.66666666667</v>
      </c>
      <c r="G7" s="28" t="n">
        <f aca="false">IFERROR(IF(AND(6&gt;=ASSUMPTIONS!$C$42,ASSUMPTIONS!$C$42&gt;0),ASSUMPTIONS!$D$42/12*(ASSUMPTIONS!$B$53),0),0)</f>
        <v>8666.66666666667</v>
      </c>
      <c r="H7" s="28" t="n">
        <f aca="false">IFERROR(IF(AND(7&gt;=ASSUMPTIONS!$C$42,ASSUMPTIONS!$C$42&gt;0),ASSUMPTIONS!$D$42/12*(ASSUMPTIONS!$B$53),0),0)</f>
        <v>8666.66666666667</v>
      </c>
      <c r="I7" s="28" t="n">
        <f aca="false">IFERROR(IF(AND(8&gt;=ASSUMPTIONS!$C$42,ASSUMPTIONS!$C$42&gt;0),ASSUMPTIONS!$D$42/12*(ASSUMPTIONS!$B$53),0),0)</f>
        <v>8666.66666666667</v>
      </c>
      <c r="J7" s="28" t="n">
        <f aca="false">IFERROR(IF(AND(9&gt;=ASSUMPTIONS!$C$42,ASSUMPTIONS!$C$42&gt;0),ASSUMPTIONS!$D$42/12*(ASSUMPTIONS!$B$53),0),0)</f>
        <v>8666.66666666667</v>
      </c>
      <c r="K7" s="28" t="n">
        <f aca="false">IFERROR(IF(AND(10&gt;=ASSUMPTIONS!$C$42,ASSUMPTIONS!$C$42&gt;0),ASSUMPTIONS!$D$42/12*(ASSUMPTIONS!$B$53),0),0)</f>
        <v>8666.66666666667</v>
      </c>
      <c r="L7" s="28" t="n">
        <f aca="false">IFERROR(IF(AND(11&gt;=ASSUMPTIONS!$C$42,ASSUMPTIONS!$C$42&gt;0),ASSUMPTIONS!$D$42/12*(ASSUMPTIONS!$B$53),0),0)</f>
        <v>8666.66666666667</v>
      </c>
      <c r="M7" s="28" t="n">
        <f aca="false">IFERROR(IF(AND(12&gt;=ASSUMPTIONS!$C$42,ASSUMPTIONS!$C$42&gt;0),ASSUMPTIONS!$D$42/12*(ASSUMPTIONS!$B$53),0),0)</f>
        <v>8666.66666666667</v>
      </c>
      <c r="N7" s="28" t="n">
        <f aca="false">IFERROR(IF(AND(13&gt;=ASSUMPTIONS!$C$42,ASSUMPTIONS!$C$42&gt;0),ASSUMPTIONS!$D$42/12*(ASSUMPTIONS!$B$53),0),0)</f>
        <v>8666.66666666667</v>
      </c>
      <c r="O7" s="28" t="n">
        <f aca="false">IFERROR(IF(AND(14&gt;=ASSUMPTIONS!$C$42,ASSUMPTIONS!$C$42&gt;0),ASSUMPTIONS!$D$42/12*(ASSUMPTIONS!$B$53),0),0)</f>
        <v>8666.66666666667</v>
      </c>
      <c r="P7" s="28" t="n">
        <f aca="false">IFERROR(IF(AND(15&gt;=ASSUMPTIONS!$C$42,ASSUMPTIONS!$C$42&gt;0),ASSUMPTIONS!$D$42/12*(ASSUMPTIONS!$B$53),0),0)</f>
        <v>8666.66666666667</v>
      </c>
      <c r="Q7" s="28" t="n">
        <f aca="false">IFERROR(IF(AND(16&gt;=ASSUMPTIONS!$C$42,ASSUMPTIONS!$C$42&gt;0),ASSUMPTIONS!$D$42/12*(ASSUMPTIONS!$B$53),0),0)</f>
        <v>8666.66666666667</v>
      </c>
      <c r="R7" s="28" t="n">
        <f aca="false">IFERROR(IF(AND(17&gt;=ASSUMPTIONS!$C$42,ASSUMPTIONS!$C$42&gt;0),ASSUMPTIONS!$D$42/12*(ASSUMPTIONS!$B$53),0),0)</f>
        <v>8666.66666666667</v>
      </c>
      <c r="S7" s="28" t="n">
        <f aca="false">IFERROR(IF(AND(18&gt;=ASSUMPTIONS!$C$42,ASSUMPTIONS!$C$42&gt;0),ASSUMPTIONS!$D$42/12*(ASSUMPTIONS!$B$53),0),0)</f>
        <v>8666.66666666667</v>
      </c>
      <c r="T7" s="28" t="n">
        <f aca="false">IFERROR(IF(AND(19&gt;=ASSUMPTIONS!$C$42,ASSUMPTIONS!$C$42&gt;0),ASSUMPTIONS!$D$42/12*(ASSUMPTIONS!$B$53),0),0)</f>
        <v>8666.66666666667</v>
      </c>
      <c r="U7" s="28" t="n">
        <f aca="false">IFERROR(IF(AND(20&gt;=ASSUMPTIONS!$C$42,ASSUMPTIONS!$C$42&gt;0),ASSUMPTIONS!$D$42/12*(ASSUMPTIONS!$B$53),0),0)</f>
        <v>8666.66666666667</v>
      </c>
      <c r="V7" s="28" t="n">
        <f aca="false">IFERROR(IF(AND(21&gt;=ASSUMPTIONS!$C$42,ASSUMPTIONS!$C$42&gt;0),ASSUMPTIONS!$D$42/12*(ASSUMPTIONS!$B$53),0),0)</f>
        <v>8666.66666666667</v>
      </c>
      <c r="W7" s="28" t="n">
        <f aca="false">IFERROR(IF(AND(22&gt;=ASSUMPTIONS!$C$42,ASSUMPTIONS!$C$42&gt;0),ASSUMPTIONS!$D$42/12*(ASSUMPTIONS!$B$53),0),0)</f>
        <v>8666.66666666667</v>
      </c>
      <c r="X7" s="28" t="n">
        <f aca="false">IFERROR(IF(AND(23&gt;=ASSUMPTIONS!$C$42,ASSUMPTIONS!$C$42&gt;0),ASSUMPTIONS!$D$42/12*(ASSUMPTIONS!$B$53),0),0)</f>
        <v>8666.66666666667</v>
      </c>
      <c r="Y7" s="28" t="n">
        <f aca="false">IFERROR(IF(AND(24&gt;=ASSUMPTIONS!$C$42,ASSUMPTIONS!$C$42&gt;0),ASSUMPTIONS!$D$42/12*(ASSUMPTIONS!$B$53),0),0)</f>
        <v>8666.66666666667</v>
      </c>
    </row>
    <row r="8" customFormat="false" ht="15" hidden="false" customHeight="false" outlineLevel="0" collapsed="false">
      <c r="A8" s="5" t="str">
        <f aca="false">IFERROR(ASSUMPTIONS!B43,"")</f>
        <v>CTO</v>
      </c>
      <c r="B8" s="28" t="n">
        <f aca="false">IFERROR(IF(AND(1&gt;=ASSUMPTIONS!$C$43,ASSUMPTIONS!$C$43&gt;0),ASSUMPTIONS!$D$43/12*(ASSUMPTIONS!$B$53),0),0)</f>
        <v>8666.66666666667</v>
      </c>
      <c r="C8" s="28" t="n">
        <f aca="false">IFERROR(IF(AND(2&gt;=ASSUMPTIONS!$C$43,ASSUMPTIONS!$C$43&gt;0),ASSUMPTIONS!$D$43/12*(ASSUMPTIONS!$B$53),0),0)</f>
        <v>8666.66666666667</v>
      </c>
      <c r="D8" s="28" t="n">
        <f aca="false">IFERROR(IF(AND(3&gt;=ASSUMPTIONS!$C$43,ASSUMPTIONS!$C$43&gt;0),ASSUMPTIONS!$D$43/12*(ASSUMPTIONS!$B$53),0),0)</f>
        <v>8666.66666666667</v>
      </c>
      <c r="E8" s="28" t="n">
        <f aca="false">IFERROR(IF(AND(4&gt;=ASSUMPTIONS!$C$43,ASSUMPTIONS!$C$43&gt;0),ASSUMPTIONS!$D$43/12*(ASSUMPTIONS!$B$53),0),0)</f>
        <v>8666.66666666667</v>
      </c>
      <c r="F8" s="28" t="n">
        <f aca="false">IFERROR(IF(AND(5&gt;=ASSUMPTIONS!$C$43,ASSUMPTIONS!$C$43&gt;0),ASSUMPTIONS!$D$43/12*(ASSUMPTIONS!$B$53),0),0)</f>
        <v>8666.66666666667</v>
      </c>
      <c r="G8" s="28" t="n">
        <f aca="false">IFERROR(IF(AND(6&gt;=ASSUMPTIONS!$C$43,ASSUMPTIONS!$C$43&gt;0),ASSUMPTIONS!$D$43/12*(ASSUMPTIONS!$B$53),0),0)</f>
        <v>8666.66666666667</v>
      </c>
      <c r="H8" s="28" t="n">
        <f aca="false">IFERROR(IF(AND(7&gt;=ASSUMPTIONS!$C$43,ASSUMPTIONS!$C$43&gt;0),ASSUMPTIONS!$D$43/12*(ASSUMPTIONS!$B$53),0),0)</f>
        <v>8666.66666666667</v>
      </c>
      <c r="I8" s="28" t="n">
        <f aca="false">IFERROR(IF(AND(8&gt;=ASSUMPTIONS!$C$43,ASSUMPTIONS!$C$43&gt;0),ASSUMPTIONS!$D$43/12*(ASSUMPTIONS!$B$53),0),0)</f>
        <v>8666.66666666667</v>
      </c>
      <c r="J8" s="28" t="n">
        <f aca="false">IFERROR(IF(AND(9&gt;=ASSUMPTIONS!$C$43,ASSUMPTIONS!$C$43&gt;0),ASSUMPTIONS!$D$43/12*(ASSUMPTIONS!$B$53),0),0)</f>
        <v>8666.66666666667</v>
      </c>
      <c r="K8" s="28" t="n">
        <f aca="false">IFERROR(IF(AND(10&gt;=ASSUMPTIONS!$C$43,ASSUMPTIONS!$C$43&gt;0),ASSUMPTIONS!$D$43/12*(ASSUMPTIONS!$B$53),0),0)</f>
        <v>8666.66666666667</v>
      </c>
      <c r="L8" s="28" t="n">
        <f aca="false">IFERROR(IF(AND(11&gt;=ASSUMPTIONS!$C$43,ASSUMPTIONS!$C$43&gt;0),ASSUMPTIONS!$D$43/12*(ASSUMPTIONS!$B$53),0),0)</f>
        <v>8666.66666666667</v>
      </c>
      <c r="M8" s="28" t="n">
        <f aca="false">IFERROR(IF(AND(12&gt;=ASSUMPTIONS!$C$43,ASSUMPTIONS!$C$43&gt;0),ASSUMPTIONS!$D$43/12*(ASSUMPTIONS!$B$53),0),0)</f>
        <v>8666.66666666667</v>
      </c>
      <c r="N8" s="28" t="n">
        <f aca="false">IFERROR(IF(AND(13&gt;=ASSUMPTIONS!$C$43,ASSUMPTIONS!$C$43&gt;0),ASSUMPTIONS!$D$43/12*(ASSUMPTIONS!$B$53),0),0)</f>
        <v>8666.66666666667</v>
      </c>
      <c r="O8" s="28" t="n">
        <f aca="false">IFERROR(IF(AND(14&gt;=ASSUMPTIONS!$C$43,ASSUMPTIONS!$C$43&gt;0),ASSUMPTIONS!$D$43/12*(ASSUMPTIONS!$B$53),0),0)</f>
        <v>8666.66666666667</v>
      </c>
      <c r="P8" s="28" t="n">
        <f aca="false">IFERROR(IF(AND(15&gt;=ASSUMPTIONS!$C$43,ASSUMPTIONS!$C$43&gt;0),ASSUMPTIONS!$D$43/12*(ASSUMPTIONS!$B$53),0),0)</f>
        <v>8666.66666666667</v>
      </c>
      <c r="Q8" s="28" t="n">
        <f aca="false">IFERROR(IF(AND(16&gt;=ASSUMPTIONS!$C$43,ASSUMPTIONS!$C$43&gt;0),ASSUMPTIONS!$D$43/12*(ASSUMPTIONS!$B$53),0),0)</f>
        <v>8666.66666666667</v>
      </c>
      <c r="R8" s="28" t="n">
        <f aca="false">IFERROR(IF(AND(17&gt;=ASSUMPTIONS!$C$43,ASSUMPTIONS!$C$43&gt;0),ASSUMPTIONS!$D$43/12*(ASSUMPTIONS!$B$53),0),0)</f>
        <v>8666.66666666667</v>
      </c>
      <c r="S8" s="28" t="n">
        <f aca="false">IFERROR(IF(AND(18&gt;=ASSUMPTIONS!$C$43,ASSUMPTIONS!$C$43&gt;0),ASSUMPTIONS!$D$43/12*(ASSUMPTIONS!$B$53),0),0)</f>
        <v>8666.66666666667</v>
      </c>
      <c r="T8" s="28" t="n">
        <f aca="false">IFERROR(IF(AND(19&gt;=ASSUMPTIONS!$C$43,ASSUMPTIONS!$C$43&gt;0),ASSUMPTIONS!$D$43/12*(ASSUMPTIONS!$B$53),0),0)</f>
        <v>8666.66666666667</v>
      </c>
      <c r="U8" s="28" t="n">
        <f aca="false">IFERROR(IF(AND(20&gt;=ASSUMPTIONS!$C$43,ASSUMPTIONS!$C$43&gt;0),ASSUMPTIONS!$D$43/12*(ASSUMPTIONS!$B$53),0),0)</f>
        <v>8666.66666666667</v>
      </c>
      <c r="V8" s="28" t="n">
        <f aca="false">IFERROR(IF(AND(21&gt;=ASSUMPTIONS!$C$43,ASSUMPTIONS!$C$43&gt;0),ASSUMPTIONS!$D$43/12*(ASSUMPTIONS!$B$53),0),0)</f>
        <v>8666.66666666667</v>
      </c>
      <c r="W8" s="28" t="n">
        <f aca="false">IFERROR(IF(AND(22&gt;=ASSUMPTIONS!$C$43,ASSUMPTIONS!$C$43&gt;0),ASSUMPTIONS!$D$43/12*(ASSUMPTIONS!$B$53),0),0)</f>
        <v>8666.66666666667</v>
      </c>
      <c r="X8" s="28" t="n">
        <f aca="false">IFERROR(IF(AND(23&gt;=ASSUMPTIONS!$C$43,ASSUMPTIONS!$C$43&gt;0),ASSUMPTIONS!$D$43/12*(ASSUMPTIONS!$B$53),0),0)</f>
        <v>8666.66666666667</v>
      </c>
      <c r="Y8" s="28" t="n">
        <f aca="false">IFERROR(IF(AND(24&gt;=ASSUMPTIONS!$C$43,ASSUMPTIONS!$C$43&gt;0),ASSUMPTIONS!$D$43/12*(ASSUMPTIONS!$B$53),0),0)</f>
        <v>8666.66666666667</v>
      </c>
    </row>
    <row r="9" customFormat="false" ht="15" hidden="false" customHeight="false" outlineLevel="0" collapsed="false">
      <c r="A9" s="5" t="str">
        <f aca="false">IFERROR(ASSUMPTIONS!B44,"")</f>
        <v>Eng #1</v>
      </c>
      <c r="B9" s="28" t="n">
        <f aca="false">IFERROR(IF(AND(1&gt;=ASSUMPTIONS!$C$44,ASSUMPTIONS!$C$44&gt;0),ASSUMPTIONS!$D$44/12*(ASSUMPTIONS!$B$53),0),0)</f>
        <v>10833.3333333333</v>
      </c>
      <c r="C9" s="28" t="n">
        <f aca="false">IFERROR(IF(AND(2&gt;=ASSUMPTIONS!$C$44,ASSUMPTIONS!$C$44&gt;0),ASSUMPTIONS!$D$44/12*(ASSUMPTIONS!$B$53),0),0)</f>
        <v>10833.3333333333</v>
      </c>
      <c r="D9" s="28" t="n">
        <f aca="false">IFERROR(IF(AND(3&gt;=ASSUMPTIONS!$C$44,ASSUMPTIONS!$C$44&gt;0),ASSUMPTIONS!$D$44/12*(ASSUMPTIONS!$B$53),0),0)</f>
        <v>10833.3333333333</v>
      </c>
      <c r="E9" s="28" t="n">
        <f aca="false">IFERROR(IF(AND(4&gt;=ASSUMPTIONS!$C$44,ASSUMPTIONS!$C$44&gt;0),ASSUMPTIONS!$D$44/12*(ASSUMPTIONS!$B$53),0),0)</f>
        <v>10833.3333333333</v>
      </c>
      <c r="F9" s="28" t="n">
        <f aca="false">IFERROR(IF(AND(5&gt;=ASSUMPTIONS!$C$44,ASSUMPTIONS!$C$44&gt;0),ASSUMPTIONS!$D$44/12*(ASSUMPTIONS!$B$53),0),0)</f>
        <v>10833.3333333333</v>
      </c>
      <c r="G9" s="28" t="n">
        <f aca="false">IFERROR(IF(AND(6&gt;=ASSUMPTIONS!$C$44,ASSUMPTIONS!$C$44&gt;0),ASSUMPTIONS!$D$44/12*(ASSUMPTIONS!$B$53),0),0)</f>
        <v>10833.3333333333</v>
      </c>
      <c r="H9" s="28" t="n">
        <f aca="false">IFERROR(IF(AND(7&gt;=ASSUMPTIONS!$C$44,ASSUMPTIONS!$C$44&gt;0),ASSUMPTIONS!$D$44/12*(ASSUMPTIONS!$B$53),0),0)</f>
        <v>10833.3333333333</v>
      </c>
      <c r="I9" s="28" t="n">
        <f aca="false">IFERROR(IF(AND(8&gt;=ASSUMPTIONS!$C$44,ASSUMPTIONS!$C$44&gt;0),ASSUMPTIONS!$D$44/12*(ASSUMPTIONS!$B$53),0),0)</f>
        <v>10833.3333333333</v>
      </c>
      <c r="J9" s="28" t="n">
        <f aca="false">IFERROR(IF(AND(9&gt;=ASSUMPTIONS!$C$44,ASSUMPTIONS!$C$44&gt;0),ASSUMPTIONS!$D$44/12*(ASSUMPTIONS!$B$53),0),0)</f>
        <v>10833.3333333333</v>
      </c>
      <c r="K9" s="28" t="n">
        <f aca="false">IFERROR(IF(AND(10&gt;=ASSUMPTIONS!$C$44,ASSUMPTIONS!$C$44&gt;0),ASSUMPTIONS!$D$44/12*(ASSUMPTIONS!$B$53),0),0)</f>
        <v>10833.3333333333</v>
      </c>
      <c r="L9" s="28" t="n">
        <f aca="false">IFERROR(IF(AND(11&gt;=ASSUMPTIONS!$C$44,ASSUMPTIONS!$C$44&gt;0),ASSUMPTIONS!$D$44/12*(ASSUMPTIONS!$B$53),0),0)</f>
        <v>10833.3333333333</v>
      </c>
      <c r="M9" s="28" t="n">
        <f aca="false">IFERROR(IF(AND(12&gt;=ASSUMPTIONS!$C$44,ASSUMPTIONS!$C$44&gt;0),ASSUMPTIONS!$D$44/12*(ASSUMPTIONS!$B$53),0),0)</f>
        <v>10833.3333333333</v>
      </c>
      <c r="N9" s="28" t="n">
        <f aca="false">IFERROR(IF(AND(13&gt;=ASSUMPTIONS!$C$44,ASSUMPTIONS!$C$44&gt;0),ASSUMPTIONS!$D$44/12*(ASSUMPTIONS!$B$53),0),0)</f>
        <v>10833.3333333333</v>
      </c>
      <c r="O9" s="28" t="n">
        <f aca="false">IFERROR(IF(AND(14&gt;=ASSUMPTIONS!$C$44,ASSUMPTIONS!$C$44&gt;0),ASSUMPTIONS!$D$44/12*(ASSUMPTIONS!$B$53),0),0)</f>
        <v>10833.3333333333</v>
      </c>
      <c r="P9" s="28" t="n">
        <f aca="false">IFERROR(IF(AND(15&gt;=ASSUMPTIONS!$C$44,ASSUMPTIONS!$C$44&gt;0),ASSUMPTIONS!$D$44/12*(ASSUMPTIONS!$B$53),0),0)</f>
        <v>10833.3333333333</v>
      </c>
      <c r="Q9" s="28" t="n">
        <f aca="false">IFERROR(IF(AND(16&gt;=ASSUMPTIONS!$C$44,ASSUMPTIONS!$C$44&gt;0),ASSUMPTIONS!$D$44/12*(ASSUMPTIONS!$B$53),0),0)</f>
        <v>10833.3333333333</v>
      </c>
      <c r="R9" s="28" t="n">
        <f aca="false">IFERROR(IF(AND(17&gt;=ASSUMPTIONS!$C$44,ASSUMPTIONS!$C$44&gt;0),ASSUMPTIONS!$D$44/12*(ASSUMPTIONS!$B$53),0),0)</f>
        <v>10833.3333333333</v>
      </c>
      <c r="S9" s="28" t="n">
        <f aca="false">IFERROR(IF(AND(18&gt;=ASSUMPTIONS!$C$44,ASSUMPTIONS!$C$44&gt;0),ASSUMPTIONS!$D$44/12*(ASSUMPTIONS!$B$53),0),0)</f>
        <v>10833.3333333333</v>
      </c>
      <c r="T9" s="28" t="n">
        <f aca="false">IFERROR(IF(AND(19&gt;=ASSUMPTIONS!$C$44,ASSUMPTIONS!$C$44&gt;0),ASSUMPTIONS!$D$44/12*(ASSUMPTIONS!$B$53),0),0)</f>
        <v>10833.3333333333</v>
      </c>
      <c r="U9" s="28" t="n">
        <f aca="false">IFERROR(IF(AND(20&gt;=ASSUMPTIONS!$C$44,ASSUMPTIONS!$C$44&gt;0),ASSUMPTIONS!$D$44/12*(ASSUMPTIONS!$B$53),0),0)</f>
        <v>10833.3333333333</v>
      </c>
      <c r="V9" s="28" t="n">
        <f aca="false">IFERROR(IF(AND(21&gt;=ASSUMPTIONS!$C$44,ASSUMPTIONS!$C$44&gt;0),ASSUMPTIONS!$D$44/12*(ASSUMPTIONS!$B$53),0),0)</f>
        <v>10833.3333333333</v>
      </c>
      <c r="W9" s="28" t="n">
        <f aca="false">IFERROR(IF(AND(22&gt;=ASSUMPTIONS!$C$44,ASSUMPTIONS!$C$44&gt;0),ASSUMPTIONS!$D$44/12*(ASSUMPTIONS!$B$53),0),0)</f>
        <v>10833.3333333333</v>
      </c>
      <c r="X9" s="28" t="n">
        <f aca="false">IFERROR(IF(AND(23&gt;=ASSUMPTIONS!$C$44,ASSUMPTIONS!$C$44&gt;0),ASSUMPTIONS!$D$44/12*(ASSUMPTIONS!$B$53),0),0)</f>
        <v>10833.3333333333</v>
      </c>
      <c r="Y9" s="28" t="n">
        <f aca="false">IFERROR(IF(AND(24&gt;=ASSUMPTIONS!$C$44,ASSUMPTIONS!$C$44&gt;0),ASSUMPTIONS!$D$44/12*(ASSUMPTIONS!$B$53),0),0)</f>
        <v>10833.3333333333</v>
      </c>
    </row>
    <row r="10" customFormat="false" ht="15" hidden="false" customHeight="false" outlineLevel="0" collapsed="false">
      <c r="A10" s="5" t="str">
        <f aca="false">IFERROR(ASSUMPTIONS!B45,"")</f>
        <v>Eng #2</v>
      </c>
      <c r="B10" s="28" t="n">
        <f aca="false">IFERROR(IF(AND(1&gt;=ASSUMPTIONS!$C$45,ASSUMPTIONS!$C$45&gt;0),ASSUMPTIONS!$D$45/12*(ASSUMPTIONS!$B$53),0),0)</f>
        <v>0</v>
      </c>
      <c r="C10" s="28" t="n">
        <f aca="false">IFERROR(IF(AND(2&gt;=ASSUMPTIONS!$C$45,ASSUMPTIONS!$C$45&gt;0),ASSUMPTIONS!$D$45/12*(ASSUMPTIONS!$B$53),0),0)</f>
        <v>0</v>
      </c>
      <c r="D10" s="28" t="n">
        <f aca="false">IFERROR(IF(AND(3&gt;=ASSUMPTIONS!$C$45,ASSUMPTIONS!$C$45&gt;0),ASSUMPTIONS!$D$45/12*(ASSUMPTIONS!$B$53),0),0)</f>
        <v>10833.3333333333</v>
      </c>
      <c r="E10" s="28" t="n">
        <f aca="false">IFERROR(IF(AND(4&gt;=ASSUMPTIONS!$C$45,ASSUMPTIONS!$C$45&gt;0),ASSUMPTIONS!$D$45/12*(ASSUMPTIONS!$B$53),0),0)</f>
        <v>10833.3333333333</v>
      </c>
      <c r="F10" s="28" t="n">
        <f aca="false">IFERROR(IF(AND(5&gt;=ASSUMPTIONS!$C$45,ASSUMPTIONS!$C$45&gt;0),ASSUMPTIONS!$D$45/12*(ASSUMPTIONS!$B$53),0),0)</f>
        <v>10833.3333333333</v>
      </c>
      <c r="G10" s="28" t="n">
        <f aca="false">IFERROR(IF(AND(6&gt;=ASSUMPTIONS!$C$45,ASSUMPTIONS!$C$45&gt;0),ASSUMPTIONS!$D$45/12*(ASSUMPTIONS!$B$53),0),0)</f>
        <v>10833.3333333333</v>
      </c>
      <c r="H10" s="28" t="n">
        <f aca="false">IFERROR(IF(AND(7&gt;=ASSUMPTIONS!$C$45,ASSUMPTIONS!$C$45&gt;0),ASSUMPTIONS!$D$45/12*(ASSUMPTIONS!$B$53),0),0)</f>
        <v>10833.3333333333</v>
      </c>
      <c r="I10" s="28" t="n">
        <f aca="false">IFERROR(IF(AND(8&gt;=ASSUMPTIONS!$C$45,ASSUMPTIONS!$C$45&gt;0),ASSUMPTIONS!$D$45/12*(ASSUMPTIONS!$B$53),0),0)</f>
        <v>10833.3333333333</v>
      </c>
      <c r="J10" s="28" t="n">
        <f aca="false">IFERROR(IF(AND(9&gt;=ASSUMPTIONS!$C$45,ASSUMPTIONS!$C$45&gt;0),ASSUMPTIONS!$D$45/12*(ASSUMPTIONS!$B$53),0),0)</f>
        <v>10833.3333333333</v>
      </c>
      <c r="K10" s="28" t="n">
        <f aca="false">IFERROR(IF(AND(10&gt;=ASSUMPTIONS!$C$45,ASSUMPTIONS!$C$45&gt;0),ASSUMPTIONS!$D$45/12*(ASSUMPTIONS!$B$53),0),0)</f>
        <v>10833.3333333333</v>
      </c>
      <c r="L10" s="28" t="n">
        <f aca="false">IFERROR(IF(AND(11&gt;=ASSUMPTIONS!$C$45,ASSUMPTIONS!$C$45&gt;0),ASSUMPTIONS!$D$45/12*(ASSUMPTIONS!$B$53),0),0)</f>
        <v>10833.3333333333</v>
      </c>
      <c r="M10" s="28" t="n">
        <f aca="false">IFERROR(IF(AND(12&gt;=ASSUMPTIONS!$C$45,ASSUMPTIONS!$C$45&gt;0),ASSUMPTIONS!$D$45/12*(ASSUMPTIONS!$B$53),0),0)</f>
        <v>10833.3333333333</v>
      </c>
      <c r="N10" s="28" t="n">
        <f aca="false">IFERROR(IF(AND(13&gt;=ASSUMPTIONS!$C$45,ASSUMPTIONS!$C$45&gt;0),ASSUMPTIONS!$D$45/12*(ASSUMPTIONS!$B$53),0),0)</f>
        <v>10833.3333333333</v>
      </c>
      <c r="O10" s="28" t="n">
        <f aca="false">IFERROR(IF(AND(14&gt;=ASSUMPTIONS!$C$45,ASSUMPTIONS!$C$45&gt;0),ASSUMPTIONS!$D$45/12*(ASSUMPTIONS!$B$53),0),0)</f>
        <v>10833.3333333333</v>
      </c>
      <c r="P10" s="28" t="n">
        <f aca="false">IFERROR(IF(AND(15&gt;=ASSUMPTIONS!$C$45,ASSUMPTIONS!$C$45&gt;0),ASSUMPTIONS!$D$45/12*(ASSUMPTIONS!$B$53),0),0)</f>
        <v>10833.3333333333</v>
      </c>
      <c r="Q10" s="28" t="n">
        <f aca="false">IFERROR(IF(AND(16&gt;=ASSUMPTIONS!$C$45,ASSUMPTIONS!$C$45&gt;0),ASSUMPTIONS!$D$45/12*(ASSUMPTIONS!$B$53),0),0)</f>
        <v>10833.3333333333</v>
      </c>
      <c r="R10" s="28" t="n">
        <f aca="false">IFERROR(IF(AND(17&gt;=ASSUMPTIONS!$C$45,ASSUMPTIONS!$C$45&gt;0),ASSUMPTIONS!$D$45/12*(ASSUMPTIONS!$B$53),0),0)</f>
        <v>10833.3333333333</v>
      </c>
      <c r="S10" s="28" t="n">
        <f aca="false">IFERROR(IF(AND(18&gt;=ASSUMPTIONS!$C$45,ASSUMPTIONS!$C$45&gt;0),ASSUMPTIONS!$D$45/12*(ASSUMPTIONS!$B$53),0),0)</f>
        <v>10833.3333333333</v>
      </c>
      <c r="T10" s="28" t="n">
        <f aca="false">IFERROR(IF(AND(19&gt;=ASSUMPTIONS!$C$45,ASSUMPTIONS!$C$45&gt;0),ASSUMPTIONS!$D$45/12*(ASSUMPTIONS!$B$53),0),0)</f>
        <v>10833.3333333333</v>
      </c>
      <c r="U10" s="28" t="n">
        <f aca="false">IFERROR(IF(AND(20&gt;=ASSUMPTIONS!$C$45,ASSUMPTIONS!$C$45&gt;0),ASSUMPTIONS!$D$45/12*(ASSUMPTIONS!$B$53),0),0)</f>
        <v>10833.3333333333</v>
      </c>
      <c r="V10" s="28" t="n">
        <f aca="false">IFERROR(IF(AND(21&gt;=ASSUMPTIONS!$C$45,ASSUMPTIONS!$C$45&gt;0),ASSUMPTIONS!$D$45/12*(ASSUMPTIONS!$B$53),0),0)</f>
        <v>10833.3333333333</v>
      </c>
      <c r="W10" s="28" t="n">
        <f aca="false">IFERROR(IF(AND(22&gt;=ASSUMPTIONS!$C$45,ASSUMPTIONS!$C$45&gt;0),ASSUMPTIONS!$D$45/12*(ASSUMPTIONS!$B$53),0),0)</f>
        <v>10833.3333333333</v>
      </c>
      <c r="X10" s="28" t="n">
        <f aca="false">IFERROR(IF(AND(23&gt;=ASSUMPTIONS!$C$45,ASSUMPTIONS!$C$45&gt;0),ASSUMPTIONS!$D$45/12*(ASSUMPTIONS!$B$53),0),0)</f>
        <v>10833.3333333333</v>
      </c>
      <c r="Y10" s="28" t="n">
        <f aca="false">IFERROR(IF(AND(24&gt;=ASSUMPTIONS!$C$45,ASSUMPTIONS!$C$45&gt;0),ASSUMPTIONS!$D$45/12*(ASSUMPTIONS!$B$53),0),0)</f>
        <v>10833.3333333333</v>
      </c>
    </row>
    <row r="11" customFormat="false" ht="15" hidden="false" customHeight="false" outlineLevel="0" collapsed="false">
      <c r="A11" s="5" t="str">
        <f aca="false">IFERROR(ASSUMPTIONS!B46,"")</f>
        <v>Eng #3</v>
      </c>
      <c r="B11" s="28" t="n">
        <f aca="false">IFERROR(IF(AND(1&gt;=ASSUMPTIONS!$C$46,ASSUMPTIONS!$C$46&gt;0),ASSUMPTIONS!$D$46/12*(ASSUMPTIONS!$B$53),0),0)</f>
        <v>0</v>
      </c>
      <c r="C11" s="28" t="n">
        <f aca="false">IFERROR(IF(AND(2&gt;=ASSUMPTIONS!$C$46,ASSUMPTIONS!$C$46&gt;0),ASSUMPTIONS!$D$46/12*(ASSUMPTIONS!$B$53),0),0)</f>
        <v>0</v>
      </c>
      <c r="D11" s="28" t="n">
        <f aca="false">IFERROR(IF(AND(3&gt;=ASSUMPTIONS!$C$46,ASSUMPTIONS!$C$46&gt;0),ASSUMPTIONS!$D$46/12*(ASSUMPTIONS!$B$53),0),0)</f>
        <v>0</v>
      </c>
      <c r="E11" s="28" t="n">
        <f aca="false">IFERROR(IF(AND(4&gt;=ASSUMPTIONS!$C$46,ASSUMPTIONS!$C$46&gt;0),ASSUMPTIONS!$D$46/12*(ASSUMPTIONS!$B$53),0),0)</f>
        <v>0</v>
      </c>
      <c r="F11" s="28" t="n">
        <f aca="false">IFERROR(IF(AND(5&gt;=ASSUMPTIONS!$C$46,ASSUMPTIONS!$C$46&gt;0),ASSUMPTIONS!$D$46/12*(ASSUMPTIONS!$B$53),0),0)</f>
        <v>0</v>
      </c>
      <c r="G11" s="28" t="n">
        <f aca="false">IFERROR(IF(AND(6&gt;=ASSUMPTIONS!$C$46,ASSUMPTIONS!$C$46&gt;0),ASSUMPTIONS!$D$46/12*(ASSUMPTIONS!$B$53),0),0)</f>
        <v>10833.3333333333</v>
      </c>
      <c r="H11" s="28" t="n">
        <f aca="false">IFERROR(IF(AND(7&gt;=ASSUMPTIONS!$C$46,ASSUMPTIONS!$C$46&gt;0),ASSUMPTIONS!$D$46/12*(ASSUMPTIONS!$B$53),0),0)</f>
        <v>10833.3333333333</v>
      </c>
      <c r="I11" s="28" t="n">
        <f aca="false">IFERROR(IF(AND(8&gt;=ASSUMPTIONS!$C$46,ASSUMPTIONS!$C$46&gt;0),ASSUMPTIONS!$D$46/12*(ASSUMPTIONS!$B$53),0),0)</f>
        <v>10833.3333333333</v>
      </c>
      <c r="J11" s="28" t="n">
        <f aca="false">IFERROR(IF(AND(9&gt;=ASSUMPTIONS!$C$46,ASSUMPTIONS!$C$46&gt;0),ASSUMPTIONS!$D$46/12*(ASSUMPTIONS!$B$53),0),0)</f>
        <v>10833.3333333333</v>
      </c>
      <c r="K11" s="28" t="n">
        <f aca="false">IFERROR(IF(AND(10&gt;=ASSUMPTIONS!$C$46,ASSUMPTIONS!$C$46&gt;0),ASSUMPTIONS!$D$46/12*(ASSUMPTIONS!$B$53),0),0)</f>
        <v>10833.3333333333</v>
      </c>
      <c r="L11" s="28" t="n">
        <f aca="false">IFERROR(IF(AND(11&gt;=ASSUMPTIONS!$C$46,ASSUMPTIONS!$C$46&gt;0),ASSUMPTIONS!$D$46/12*(ASSUMPTIONS!$B$53),0),0)</f>
        <v>10833.3333333333</v>
      </c>
      <c r="M11" s="28" t="n">
        <f aca="false">IFERROR(IF(AND(12&gt;=ASSUMPTIONS!$C$46,ASSUMPTIONS!$C$46&gt;0),ASSUMPTIONS!$D$46/12*(ASSUMPTIONS!$B$53),0),0)</f>
        <v>10833.3333333333</v>
      </c>
      <c r="N11" s="28" t="n">
        <f aca="false">IFERROR(IF(AND(13&gt;=ASSUMPTIONS!$C$46,ASSUMPTIONS!$C$46&gt;0),ASSUMPTIONS!$D$46/12*(ASSUMPTIONS!$B$53),0),0)</f>
        <v>10833.3333333333</v>
      </c>
      <c r="O11" s="28" t="n">
        <f aca="false">IFERROR(IF(AND(14&gt;=ASSUMPTIONS!$C$46,ASSUMPTIONS!$C$46&gt;0),ASSUMPTIONS!$D$46/12*(ASSUMPTIONS!$B$53),0),0)</f>
        <v>10833.3333333333</v>
      </c>
      <c r="P11" s="28" t="n">
        <f aca="false">IFERROR(IF(AND(15&gt;=ASSUMPTIONS!$C$46,ASSUMPTIONS!$C$46&gt;0),ASSUMPTIONS!$D$46/12*(ASSUMPTIONS!$B$53),0),0)</f>
        <v>10833.3333333333</v>
      </c>
      <c r="Q11" s="28" t="n">
        <f aca="false">IFERROR(IF(AND(16&gt;=ASSUMPTIONS!$C$46,ASSUMPTIONS!$C$46&gt;0),ASSUMPTIONS!$D$46/12*(ASSUMPTIONS!$B$53),0),0)</f>
        <v>10833.3333333333</v>
      </c>
      <c r="R11" s="28" t="n">
        <f aca="false">IFERROR(IF(AND(17&gt;=ASSUMPTIONS!$C$46,ASSUMPTIONS!$C$46&gt;0),ASSUMPTIONS!$D$46/12*(ASSUMPTIONS!$B$53),0),0)</f>
        <v>10833.3333333333</v>
      </c>
      <c r="S11" s="28" t="n">
        <f aca="false">IFERROR(IF(AND(18&gt;=ASSUMPTIONS!$C$46,ASSUMPTIONS!$C$46&gt;0),ASSUMPTIONS!$D$46/12*(ASSUMPTIONS!$B$53),0),0)</f>
        <v>10833.3333333333</v>
      </c>
      <c r="T11" s="28" t="n">
        <f aca="false">IFERROR(IF(AND(19&gt;=ASSUMPTIONS!$C$46,ASSUMPTIONS!$C$46&gt;0),ASSUMPTIONS!$D$46/12*(ASSUMPTIONS!$B$53),0),0)</f>
        <v>10833.3333333333</v>
      </c>
      <c r="U11" s="28" t="n">
        <f aca="false">IFERROR(IF(AND(20&gt;=ASSUMPTIONS!$C$46,ASSUMPTIONS!$C$46&gt;0),ASSUMPTIONS!$D$46/12*(ASSUMPTIONS!$B$53),0),0)</f>
        <v>10833.3333333333</v>
      </c>
      <c r="V11" s="28" t="n">
        <f aca="false">IFERROR(IF(AND(21&gt;=ASSUMPTIONS!$C$46,ASSUMPTIONS!$C$46&gt;0),ASSUMPTIONS!$D$46/12*(ASSUMPTIONS!$B$53),0),0)</f>
        <v>10833.3333333333</v>
      </c>
      <c r="W11" s="28" t="n">
        <f aca="false">IFERROR(IF(AND(22&gt;=ASSUMPTIONS!$C$46,ASSUMPTIONS!$C$46&gt;0),ASSUMPTIONS!$D$46/12*(ASSUMPTIONS!$B$53),0),0)</f>
        <v>10833.3333333333</v>
      </c>
      <c r="X11" s="28" t="n">
        <f aca="false">IFERROR(IF(AND(23&gt;=ASSUMPTIONS!$C$46,ASSUMPTIONS!$C$46&gt;0),ASSUMPTIONS!$D$46/12*(ASSUMPTIONS!$B$53),0),0)</f>
        <v>10833.3333333333</v>
      </c>
      <c r="Y11" s="28" t="n">
        <f aca="false">IFERROR(IF(AND(24&gt;=ASSUMPTIONS!$C$46,ASSUMPTIONS!$C$46&gt;0),ASSUMPTIONS!$D$46/12*(ASSUMPTIONS!$B$53),0),0)</f>
        <v>10833.3333333333</v>
      </c>
    </row>
    <row r="12" customFormat="false" ht="15" hidden="false" customHeight="false" outlineLevel="0" collapsed="false">
      <c r="A12" s="5" t="str">
        <f aca="false">IFERROR(ASSUMPTIONS!B47,"")</f>
        <v>Designer</v>
      </c>
      <c r="B12" s="28" t="n">
        <f aca="false">IFERROR(IF(AND(1&gt;=ASSUMPTIONS!$C$47,ASSUMPTIONS!$C$47&gt;0),ASSUMPTIONS!$D$47/12*(ASSUMPTIONS!$B$53),0),0)</f>
        <v>0</v>
      </c>
      <c r="C12" s="28" t="n">
        <f aca="false">IFERROR(IF(AND(2&gt;=ASSUMPTIONS!$C$47,ASSUMPTIONS!$C$47&gt;0),ASSUMPTIONS!$D$47/12*(ASSUMPTIONS!$B$53),0),0)</f>
        <v>0</v>
      </c>
      <c r="D12" s="28" t="n">
        <f aca="false">IFERROR(IF(AND(3&gt;=ASSUMPTIONS!$C$47,ASSUMPTIONS!$C$47&gt;0),ASSUMPTIONS!$D$47/12*(ASSUMPTIONS!$B$53),0),0)</f>
        <v>8666.66666666667</v>
      </c>
      <c r="E12" s="28" t="n">
        <f aca="false">IFERROR(IF(AND(4&gt;=ASSUMPTIONS!$C$47,ASSUMPTIONS!$C$47&gt;0),ASSUMPTIONS!$D$47/12*(ASSUMPTIONS!$B$53),0),0)</f>
        <v>8666.66666666667</v>
      </c>
      <c r="F12" s="28" t="n">
        <f aca="false">IFERROR(IF(AND(5&gt;=ASSUMPTIONS!$C$47,ASSUMPTIONS!$C$47&gt;0),ASSUMPTIONS!$D$47/12*(ASSUMPTIONS!$B$53),0),0)</f>
        <v>8666.66666666667</v>
      </c>
      <c r="G12" s="28" t="n">
        <f aca="false">IFERROR(IF(AND(6&gt;=ASSUMPTIONS!$C$47,ASSUMPTIONS!$C$47&gt;0),ASSUMPTIONS!$D$47/12*(ASSUMPTIONS!$B$53),0),0)</f>
        <v>8666.66666666667</v>
      </c>
      <c r="H12" s="28" t="n">
        <f aca="false">IFERROR(IF(AND(7&gt;=ASSUMPTIONS!$C$47,ASSUMPTIONS!$C$47&gt;0),ASSUMPTIONS!$D$47/12*(ASSUMPTIONS!$B$53),0),0)</f>
        <v>8666.66666666667</v>
      </c>
      <c r="I12" s="28" t="n">
        <f aca="false">IFERROR(IF(AND(8&gt;=ASSUMPTIONS!$C$47,ASSUMPTIONS!$C$47&gt;0),ASSUMPTIONS!$D$47/12*(ASSUMPTIONS!$B$53),0),0)</f>
        <v>8666.66666666667</v>
      </c>
      <c r="J12" s="28" t="n">
        <f aca="false">IFERROR(IF(AND(9&gt;=ASSUMPTIONS!$C$47,ASSUMPTIONS!$C$47&gt;0),ASSUMPTIONS!$D$47/12*(ASSUMPTIONS!$B$53),0),0)</f>
        <v>8666.66666666667</v>
      </c>
      <c r="K12" s="28" t="n">
        <f aca="false">IFERROR(IF(AND(10&gt;=ASSUMPTIONS!$C$47,ASSUMPTIONS!$C$47&gt;0),ASSUMPTIONS!$D$47/12*(ASSUMPTIONS!$B$53),0),0)</f>
        <v>8666.66666666667</v>
      </c>
      <c r="L12" s="28" t="n">
        <f aca="false">IFERROR(IF(AND(11&gt;=ASSUMPTIONS!$C$47,ASSUMPTIONS!$C$47&gt;0),ASSUMPTIONS!$D$47/12*(ASSUMPTIONS!$B$53),0),0)</f>
        <v>8666.66666666667</v>
      </c>
      <c r="M12" s="28" t="n">
        <f aca="false">IFERROR(IF(AND(12&gt;=ASSUMPTIONS!$C$47,ASSUMPTIONS!$C$47&gt;0),ASSUMPTIONS!$D$47/12*(ASSUMPTIONS!$B$53),0),0)</f>
        <v>8666.66666666667</v>
      </c>
      <c r="N12" s="28" t="n">
        <f aca="false">IFERROR(IF(AND(13&gt;=ASSUMPTIONS!$C$47,ASSUMPTIONS!$C$47&gt;0),ASSUMPTIONS!$D$47/12*(ASSUMPTIONS!$B$53),0),0)</f>
        <v>8666.66666666667</v>
      </c>
      <c r="O12" s="28" t="n">
        <f aca="false">IFERROR(IF(AND(14&gt;=ASSUMPTIONS!$C$47,ASSUMPTIONS!$C$47&gt;0),ASSUMPTIONS!$D$47/12*(ASSUMPTIONS!$B$53),0),0)</f>
        <v>8666.66666666667</v>
      </c>
      <c r="P12" s="28" t="n">
        <f aca="false">IFERROR(IF(AND(15&gt;=ASSUMPTIONS!$C$47,ASSUMPTIONS!$C$47&gt;0),ASSUMPTIONS!$D$47/12*(ASSUMPTIONS!$B$53),0),0)</f>
        <v>8666.66666666667</v>
      </c>
      <c r="Q12" s="28" t="n">
        <f aca="false">IFERROR(IF(AND(16&gt;=ASSUMPTIONS!$C$47,ASSUMPTIONS!$C$47&gt;0),ASSUMPTIONS!$D$47/12*(ASSUMPTIONS!$B$53),0),0)</f>
        <v>8666.66666666667</v>
      </c>
      <c r="R12" s="28" t="n">
        <f aca="false">IFERROR(IF(AND(17&gt;=ASSUMPTIONS!$C$47,ASSUMPTIONS!$C$47&gt;0),ASSUMPTIONS!$D$47/12*(ASSUMPTIONS!$B$53),0),0)</f>
        <v>8666.66666666667</v>
      </c>
      <c r="S12" s="28" t="n">
        <f aca="false">IFERROR(IF(AND(18&gt;=ASSUMPTIONS!$C$47,ASSUMPTIONS!$C$47&gt;0),ASSUMPTIONS!$D$47/12*(ASSUMPTIONS!$B$53),0),0)</f>
        <v>8666.66666666667</v>
      </c>
      <c r="T12" s="28" t="n">
        <f aca="false">IFERROR(IF(AND(19&gt;=ASSUMPTIONS!$C$47,ASSUMPTIONS!$C$47&gt;0),ASSUMPTIONS!$D$47/12*(ASSUMPTIONS!$B$53),0),0)</f>
        <v>8666.66666666667</v>
      </c>
      <c r="U12" s="28" t="n">
        <f aca="false">IFERROR(IF(AND(20&gt;=ASSUMPTIONS!$C$47,ASSUMPTIONS!$C$47&gt;0),ASSUMPTIONS!$D$47/12*(ASSUMPTIONS!$B$53),0),0)</f>
        <v>8666.66666666667</v>
      </c>
      <c r="V12" s="28" t="n">
        <f aca="false">IFERROR(IF(AND(21&gt;=ASSUMPTIONS!$C$47,ASSUMPTIONS!$C$47&gt;0),ASSUMPTIONS!$D$47/12*(ASSUMPTIONS!$B$53),0),0)</f>
        <v>8666.66666666667</v>
      </c>
      <c r="W12" s="28" t="n">
        <f aca="false">IFERROR(IF(AND(22&gt;=ASSUMPTIONS!$C$47,ASSUMPTIONS!$C$47&gt;0),ASSUMPTIONS!$D$47/12*(ASSUMPTIONS!$B$53),0),0)</f>
        <v>8666.66666666667</v>
      </c>
      <c r="X12" s="28" t="n">
        <f aca="false">IFERROR(IF(AND(23&gt;=ASSUMPTIONS!$C$47,ASSUMPTIONS!$C$47&gt;0),ASSUMPTIONS!$D$47/12*(ASSUMPTIONS!$B$53),0),0)</f>
        <v>8666.66666666667</v>
      </c>
      <c r="Y12" s="28" t="n">
        <f aca="false">IFERROR(IF(AND(24&gt;=ASSUMPTIONS!$C$47,ASSUMPTIONS!$C$47&gt;0),ASSUMPTIONS!$D$47/12*(ASSUMPTIONS!$B$53),0),0)</f>
        <v>8666.66666666667</v>
      </c>
    </row>
    <row r="13" customFormat="false" ht="15" hidden="false" customHeight="false" outlineLevel="0" collapsed="false">
      <c r="A13" s="5" t="str">
        <f aca="false">IFERROR(ASSUMPTIONS!B48,"")</f>
        <v>Sales Lead</v>
      </c>
      <c r="B13" s="28" t="n">
        <f aca="false">IFERROR(IF(AND(1&gt;=ASSUMPTIONS!$C$48,ASSUMPTIONS!$C$48&gt;0),ASSUMPTIONS!$D$48/12*(ASSUMPTIONS!$B$53),0),0)</f>
        <v>0</v>
      </c>
      <c r="C13" s="28" t="n">
        <f aca="false">IFERROR(IF(AND(2&gt;=ASSUMPTIONS!$C$48,ASSUMPTIONS!$C$48&gt;0),ASSUMPTIONS!$D$48/12*(ASSUMPTIONS!$B$53),0),0)</f>
        <v>0</v>
      </c>
      <c r="D13" s="28" t="n">
        <f aca="false">IFERROR(IF(AND(3&gt;=ASSUMPTIONS!$C$48,ASSUMPTIONS!$C$48&gt;0),ASSUMPTIONS!$D$48/12*(ASSUMPTIONS!$B$53),0),0)</f>
        <v>0</v>
      </c>
      <c r="E13" s="28" t="n">
        <f aca="false">IFERROR(IF(AND(4&gt;=ASSUMPTIONS!$C$48,ASSUMPTIONS!$C$48&gt;0),ASSUMPTIONS!$D$48/12*(ASSUMPTIONS!$B$53),0),0)</f>
        <v>9208.33333333333</v>
      </c>
      <c r="F13" s="28" t="n">
        <f aca="false">IFERROR(IF(AND(5&gt;=ASSUMPTIONS!$C$48,ASSUMPTIONS!$C$48&gt;0),ASSUMPTIONS!$D$48/12*(ASSUMPTIONS!$B$53),0),0)</f>
        <v>9208.33333333333</v>
      </c>
      <c r="G13" s="28" t="n">
        <f aca="false">IFERROR(IF(AND(6&gt;=ASSUMPTIONS!$C$48,ASSUMPTIONS!$C$48&gt;0),ASSUMPTIONS!$D$48/12*(ASSUMPTIONS!$B$53),0),0)</f>
        <v>9208.33333333333</v>
      </c>
      <c r="H13" s="28" t="n">
        <f aca="false">IFERROR(IF(AND(7&gt;=ASSUMPTIONS!$C$48,ASSUMPTIONS!$C$48&gt;0),ASSUMPTIONS!$D$48/12*(ASSUMPTIONS!$B$53),0),0)</f>
        <v>9208.33333333333</v>
      </c>
      <c r="I13" s="28" t="n">
        <f aca="false">IFERROR(IF(AND(8&gt;=ASSUMPTIONS!$C$48,ASSUMPTIONS!$C$48&gt;0),ASSUMPTIONS!$D$48/12*(ASSUMPTIONS!$B$53),0),0)</f>
        <v>9208.33333333333</v>
      </c>
      <c r="J13" s="28" t="n">
        <f aca="false">IFERROR(IF(AND(9&gt;=ASSUMPTIONS!$C$48,ASSUMPTIONS!$C$48&gt;0),ASSUMPTIONS!$D$48/12*(ASSUMPTIONS!$B$53),0),0)</f>
        <v>9208.33333333333</v>
      </c>
      <c r="K13" s="28" t="n">
        <f aca="false">IFERROR(IF(AND(10&gt;=ASSUMPTIONS!$C$48,ASSUMPTIONS!$C$48&gt;0),ASSUMPTIONS!$D$48/12*(ASSUMPTIONS!$B$53),0),0)</f>
        <v>9208.33333333333</v>
      </c>
      <c r="L13" s="28" t="n">
        <f aca="false">IFERROR(IF(AND(11&gt;=ASSUMPTIONS!$C$48,ASSUMPTIONS!$C$48&gt;0),ASSUMPTIONS!$D$48/12*(ASSUMPTIONS!$B$53),0),0)</f>
        <v>9208.33333333333</v>
      </c>
      <c r="M13" s="28" t="n">
        <f aca="false">IFERROR(IF(AND(12&gt;=ASSUMPTIONS!$C$48,ASSUMPTIONS!$C$48&gt;0),ASSUMPTIONS!$D$48/12*(ASSUMPTIONS!$B$53),0),0)</f>
        <v>9208.33333333333</v>
      </c>
      <c r="N13" s="28" t="n">
        <f aca="false">IFERROR(IF(AND(13&gt;=ASSUMPTIONS!$C$48,ASSUMPTIONS!$C$48&gt;0),ASSUMPTIONS!$D$48/12*(ASSUMPTIONS!$B$53),0),0)</f>
        <v>9208.33333333333</v>
      </c>
      <c r="O13" s="28" t="n">
        <f aca="false">IFERROR(IF(AND(14&gt;=ASSUMPTIONS!$C$48,ASSUMPTIONS!$C$48&gt;0),ASSUMPTIONS!$D$48/12*(ASSUMPTIONS!$B$53),0),0)</f>
        <v>9208.33333333333</v>
      </c>
      <c r="P13" s="28" t="n">
        <f aca="false">IFERROR(IF(AND(15&gt;=ASSUMPTIONS!$C$48,ASSUMPTIONS!$C$48&gt;0),ASSUMPTIONS!$D$48/12*(ASSUMPTIONS!$B$53),0),0)</f>
        <v>9208.33333333333</v>
      </c>
      <c r="Q13" s="28" t="n">
        <f aca="false">IFERROR(IF(AND(16&gt;=ASSUMPTIONS!$C$48,ASSUMPTIONS!$C$48&gt;0),ASSUMPTIONS!$D$48/12*(ASSUMPTIONS!$B$53),0),0)</f>
        <v>9208.33333333333</v>
      </c>
      <c r="R13" s="28" t="n">
        <f aca="false">IFERROR(IF(AND(17&gt;=ASSUMPTIONS!$C$48,ASSUMPTIONS!$C$48&gt;0),ASSUMPTIONS!$D$48/12*(ASSUMPTIONS!$B$53),0),0)</f>
        <v>9208.33333333333</v>
      </c>
      <c r="S13" s="28" t="n">
        <f aca="false">IFERROR(IF(AND(18&gt;=ASSUMPTIONS!$C$48,ASSUMPTIONS!$C$48&gt;0),ASSUMPTIONS!$D$48/12*(ASSUMPTIONS!$B$53),0),0)</f>
        <v>9208.33333333333</v>
      </c>
      <c r="T13" s="28" t="n">
        <f aca="false">IFERROR(IF(AND(19&gt;=ASSUMPTIONS!$C$48,ASSUMPTIONS!$C$48&gt;0),ASSUMPTIONS!$D$48/12*(ASSUMPTIONS!$B$53),0),0)</f>
        <v>9208.33333333333</v>
      </c>
      <c r="U13" s="28" t="n">
        <f aca="false">IFERROR(IF(AND(20&gt;=ASSUMPTIONS!$C$48,ASSUMPTIONS!$C$48&gt;0),ASSUMPTIONS!$D$48/12*(ASSUMPTIONS!$B$53),0),0)</f>
        <v>9208.33333333333</v>
      </c>
      <c r="V13" s="28" t="n">
        <f aca="false">IFERROR(IF(AND(21&gt;=ASSUMPTIONS!$C$48,ASSUMPTIONS!$C$48&gt;0),ASSUMPTIONS!$D$48/12*(ASSUMPTIONS!$B$53),0),0)</f>
        <v>9208.33333333333</v>
      </c>
      <c r="W13" s="28" t="n">
        <f aca="false">IFERROR(IF(AND(22&gt;=ASSUMPTIONS!$C$48,ASSUMPTIONS!$C$48&gt;0),ASSUMPTIONS!$D$48/12*(ASSUMPTIONS!$B$53),0),0)</f>
        <v>9208.33333333333</v>
      </c>
      <c r="X13" s="28" t="n">
        <f aca="false">IFERROR(IF(AND(23&gt;=ASSUMPTIONS!$C$48,ASSUMPTIONS!$C$48&gt;0),ASSUMPTIONS!$D$48/12*(ASSUMPTIONS!$B$53),0),0)</f>
        <v>9208.33333333333</v>
      </c>
      <c r="Y13" s="28" t="n">
        <f aca="false">IFERROR(IF(AND(24&gt;=ASSUMPTIONS!$C$48,ASSUMPTIONS!$C$48&gt;0),ASSUMPTIONS!$D$48/12*(ASSUMPTIONS!$B$53),0),0)</f>
        <v>9208.33333333333</v>
      </c>
    </row>
    <row r="14" customFormat="false" ht="15" hidden="false" customHeight="false" outlineLevel="0" collapsed="false">
      <c r="A14" s="5" t="str">
        <f aca="false">IFERROR(ASSUMPTIONS!B49,"")</f>
        <v>Marketing</v>
      </c>
      <c r="B14" s="28" t="n">
        <f aca="false">IFERROR(IF(AND(1&gt;=ASSUMPTIONS!$C$49,ASSUMPTIONS!$C$49&gt;0),ASSUMPTIONS!$D$49/12*(ASSUMPTIONS!$B$53),0),0)</f>
        <v>0</v>
      </c>
      <c r="C14" s="28" t="n">
        <f aca="false">IFERROR(IF(AND(2&gt;=ASSUMPTIONS!$C$49,ASSUMPTIONS!$C$49&gt;0),ASSUMPTIONS!$D$49/12*(ASSUMPTIONS!$B$53),0),0)</f>
        <v>0</v>
      </c>
      <c r="D14" s="28" t="n">
        <f aca="false">IFERROR(IF(AND(3&gt;=ASSUMPTIONS!$C$49,ASSUMPTIONS!$C$49&gt;0),ASSUMPTIONS!$D$49/12*(ASSUMPTIONS!$B$53),0),0)</f>
        <v>0</v>
      </c>
      <c r="E14" s="28" t="n">
        <f aca="false">IFERROR(IF(AND(4&gt;=ASSUMPTIONS!$C$49,ASSUMPTIONS!$C$49&gt;0),ASSUMPTIONS!$D$49/12*(ASSUMPTIONS!$B$53),0),0)</f>
        <v>0</v>
      </c>
      <c r="F14" s="28" t="n">
        <f aca="false">IFERROR(IF(AND(5&gt;=ASSUMPTIONS!$C$49,ASSUMPTIONS!$C$49&gt;0),ASSUMPTIONS!$D$49/12*(ASSUMPTIONS!$B$53),0),0)</f>
        <v>0</v>
      </c>
      <c r="G14" s="28" t="n">
        <f aca="false">IFERROR(IF(AND(6&gt;=ASSUMPTIONS!$C$49,ASSUMPTIONS!$C$49&gt;0),ASSUMPTIONS!$D$49/12*(ASSUMPTIONS!$B$53),0),0)</f>
        <v>8125</v>
      </c>
      <c r="H14" s="28" t="n">
        <f aca="false">IFERROR(IF(AND(7&gt;=ASSUMPTIONS!$C$49,ASSUMPTIONS!$C$49&gt;0),ASSUMPTIONS!$D$49/12*(ASSUMPTIONS!$B$53),0),0)</f>
        <v>8125</v>
      </c>
      <c r="I14" s="28" t="n">
        <f aca="false">IFERROR(IF(AND(8&gt;=ASSUMPTIONS!$C$49,ASSUMPTIONS!$C$49&gt;0),ASSUMPTIONS!$D$49/12*(ASSUMPTIONS!$B$53),0),0)</f>
        <v>8125</v>
      </c>
      <c r="J14" s="28" t="n">
        <f aca="false">IFERROR(IF(AND(9&gt;=ASSUMPTIONS!$C$49,ASSUMPTIONS!$C$49&gt;0),ASSUMPTIONS!$D$49/12*(ASSUMPTIONS!$B$53),0),0)</f>
        <v>8125</v>
      </c>
      <c r="K14" s="28" t="n">
        <f aca="false">IFERROR(IF(AND(10&gt;=ASSUMPTIONS!$C$49,ASSUMPTIONS!$C$49&gt;0),ASSUMPTIONS!$D$49/12*(ASSUMPTIONS!$B$53),0),0)</f>
        <v>8125</v>
      </c>
      <c r="L14" s="28" t="n">
        <f aca="false">IFERROR(IF(AND(11&gt;=ASSUMPTIONS!$C$49,ASSUMPTIONS!$C$49&gt;0),ASSUMPTIONS!$D$49/12*(ASSUMPTIONS!$B$53),0),0)</f>
        <v>8125</v>
      </c>
      <c r="M14" s="28" t="n">
        <f aca="false">IFERROR(IF(AND(12&gt;=ASSUMPTIONS!$C$49,ASSUMPTIONS!$C$49&gt;0),ASSUMPTIONS!$D$49/12*(ASSUMPTIONS!$B$53),0),0)</f>
        <v>8125</v>
      </c>
      <c r="N14" s="28" t="n">
        <f aca="false">IFERROR(IF(AND(13&gt;=ASSUMPTIONS!$C$49,ASSUMPTIONS!$C$49&gt;0),ASSUMPTIONS!$D$49/12*(ASSUMPTIONS!$B$53),0),0)</f>
        <v>8125</v>
      </c>
      <c r="O14" s="28" t="n">
        <f aca="false">IFERROR(IF(AND(14&gt;=ASSUMPTIONS!$C$49,ASSUMPTIONS!$C$49&gt;0),ASSUMPTIONS!$D$49/12*(ASSUMPTIONS!$B$53),0),0)</f>
        <v>8125</v>
      </c>
      <c r="P14" s="28" t="n">
        <f aca="false">IFERROR(IF(AND(15&gt;=ASSUMPTIONS!$C$49,ASSUMPTIONS!$C$49&gt;0),ASSUMPTIONS!$D$49/12*(ASSUMPTIONS!$B$53),0),0)</f>
        <v>8125</v>
      </c>
      <c r="Q14" s="28" t="n">
        <f aca="false">IFERROR(IF(AND(16&gt;=ASSUMPTIONS!$C$49,ASSUMPTIONS!$C$49&gt;0),ASSUMPTIONS!$D$49/12*(ASSUMPTIONS!$B$53),0),0)</f>
        <v>8125</v>
      </c>
      <c r="R14" s="28" t="n">
        <f aca="false">IFERROR(IF(AND(17&gt;=ASSUMPTIONS!$C$49,ASSUMPTIONS!$C$49&gt;0),ASSUMPTIONS!$D$49/12*(ASSUMPTIONS!$B$53),0),0)</f>
        <v>8125</v>
      </c>
      <c r="S14" s="28" t="n">
        <f aca="false">IFERROR(IF(AND(18&gt;=ASSUMPTIONS!$C$49,ASSUMPTIONS!$C$49&gt;0),ASSUMPTIONS!$D$49/12*(ASSUMPTIONS!$B$53),0),0)</f>
        <v>8125</v>
      </c>
      <c r="T14" s="28" t="n">
        <f aca="false">IFERROR(IF(AND(19&gt;=ASSUMPTIONS!$C$49,ASSUMPTIONS!$C$49&gt;0),ASSUMPTIONS!$D$49/12*(ASSUMPTIONS!$B$53),0),0)</f>
        <v>8125</v>
      </c>
      <c r="U14" s="28" t="n">
        <f aca="false">IFERROR(IF(AND(20&gt;=ASSUMPTIONS!$C$49,ASSUMPTIONS!$C$49&gt;0),ASSUMPTIONS!$D$49/12*(ASSUMPTIONS!$B$53),0),0)</f>
        <v>8125</v>
      </c>
      <c r="V14" s="28" t="n">
        <f aca="false">IFERROR(IF(AND(21&gt;=ASSUMPTIONS!$C$49,ASSUMPTIONS!$C$49&gt;0),ASSUMPTIONS!$D$49/12*(ASSUMPTIONS!$B$53),0),0)</f>
        <v>8125</v>
      </c>
      <c r="W14" s="28" t="n">
        <f aca="false">IFERROR(IF(AND(22&gt;=ASSUMPTIONS!$C$49,ASSUMPTIONS!$C$49&gt;0),ASSUMPTIONS!$D$49/12*(ASSUMPTIONS!$B$53),0),0)</f>
        <v>8125</v>
      </c>
      <c r="X14" s="28" t="n">
        <f aca="false">IFERROR(IF(AND(23&gt;=ASSUMPTIONS!$C$49,ASSUMPTIONS!$C$49&gt;0),ASSUMPTIONS!$D$49/12*(ASSUMPTIONS!$B$53),0),0)</f>
        <v>8125</v>
      </c>
      <c r="Y14" s="28" t="n">
        <f aca="false">IFERROR(IF(AND(24&gt;=ASSUMPTIONS!$C$49,ASSUMPTIONS!$C$49&gt;0),ASSUMPTIONS!$D$49/12*(ASSUMPTIONS!$B$53),0),0)</f>
        <v>8125</v>
      </c>
    </row>
    <row r="15" customFormat="false" ht="15" hidden="false" customHeight="false" outlineLevel="0" collapsed="false">
      <c r="A15" s="5" t="str">
        <f aca="false">IFERROR(ASSUMPTIONS!B50,"")</f>
        <v>CS #1</v>
      </c>
      <c r="B15" s="28" t="n">
        <f aca="false">IFERROR(IF(AND(1&gt;=ASSUMPTIONS!$C$50,ASSUMPTIONS!$C$50&gt;0),ASSUMPTIONS!$D$50/12*(ASSUMPTIONS!$B$53),0),0)</f>
        <v>0</v>
      </c>
      <c r="C15" s="28" t="n">
        <f aca="false">IFERROR(IF(AND(2&gt;=ASSUMPTIONS!$C$50,ASSUMPTIONS!$C$50&gt;0),ASSUMPTIONS!$D$50/12*(ASSUMPTIONS!$B$53),0),0)</f>
        <v>0</v>
      </c>
      <c r="D15" s="28" t="n">
        <f aca="false">IFERROR(IF(AND(3&gt;=ASSUMPTIONS!$C$50,ASSUMPTIONS!$C$50&gt;0),ASSUMPTIONS!$D$50/12*(ASSUMPTIONS!$B$53),0),0)</f>
        <v>0</v>
      </c>
      <c r="E15" s="28" t="n">
        <f aca="false">IFERROR(IF(AND(4&gt;=ASSUMPTIONS!$C$50,ASSUMPTIONS!$C$50&gt;0),ASSUMPTIONS!$D$50/12*(ASSUMPTIONS!$B$53),0),0)</f>
        <v>0</v>
      </c>
      <c r="F15" s="28" t="n">
        <f aca="false">IFERROR(IF(AND(5&gt;=ASSUMPTIONS!$C$50,ASSUMPTIONS!$C$50&gt;0),ASSUMPTIONS!$D$50/12*(ASSUMPTIONS!$B$53),0),0)</f>
        <v>0</v>
      </c>
      <c r="G15" s="28" t="n">
        <f aca="false">IFERROR(IF(AND(6&gt;=ASSUMPTIONS!$C$50,ASSUMPTIONS!$C$50&gt;0),ASSUMPTIONS!$D$50/12*(ASSUMPTIONS!$B$53),0),0)</f>
        <v>7041.66666666667</v>
      </c>
      <c r="H15" s="28" t="n">
        <f aca="false">IFERROR(IF(AND(7&gt;=ASSUMPTIONS!$C$50,ASSUMPTIONS!$C$50&gt;0),ASSUMPTIONS!$D$50/12*(ASSUMPTIONS!$B$53),0),0)</f>
        <v>7041.66666666667</v>
      </c>
      <c r="I15" s="28" t="n">
        <f aca="false">IFERROR(IF(AND(8&gt;=ASSUMPTIONS!$C$50,ASSUMPTIONS!$C$50&gt;0),ASSUMPTIONS!$D$50/12*(ASSUMPTIONS!$B$53),0),0)</f>
        <v>7041.66666666667</v>
      </c>
      <c r="J15" s="28" t="n">
        <f aca="false">IFERROR(IF(AND(9&gt;=ASSUMPTIONS!$C$50,ASSUMPTIONS!$C$50&gt;0),ASSUMPTIONS!$D$50/12*(ASSUMPTIONS!$B$53),0),0)</f>
        <v>7041.66666666667</v>
      </c>
      <c r="K15" s="28" t="n">
        <f aca="false">IFERROR(IF(AND(10&gt;=ASSUMPTIONS!$C$50,ASSUMPTIONS!$C$50&gt;0),ASSUMPTIONS!$D$50/12*(ASSUMPTIONS!$B$53),0),0)</f>
        <v>7041.66666666667</v>
      </c>
      <c r="L15" s="28" t="n">
        <f aca="false">IFERROR(IF(AND(11&gt;=ASSUMPTIONS!$C$50,ASSUMPTIONS!$C$50&gt;0),ASSUMPTIONS!$D$50/12*(ASSUMPTIONS!$B$53),0),0)</f>
        <v>7041.66666666667</v>
      </c>
      <c r="M15" s="28" t="n">
        <f aca="false">IFERROR(IF(AND(12&gt;=ASSUMPTIONS!$C$50,ASSUMPTIONS!$C$50&gt;0),ASSUMPTIONS!$D$50/12*(ASSUMPTIONS!$B$53),0),0)</f>
        <v>7041.66666666667</v>
      </c>
      <c r="N15" s="28" t="n">
        <f aca="false">IFERROR(IF(AND(13&gt;=ASSUMPTIONS!$C$50,ASSUMPTIONS!$C$50&gt;0),ASSUMPTIONS!$D$50/12*(ASSUMPTIONS!$B$53),0),0)</f>
        <v>7041.66666666667</v>
      </c>
      <c r="O15" s="28" t="n">
        <f aca="false">IFERROR(IF(AND(14&gt;=ASSUMPTIONS!$C$50,ASSUMPTIONS!$C$50&gt;0),ASSUMPTIONS!$D$50/12*(ASSUMPTIONS!$B$53),0),0)</f>
        <v>7041.66666666667</v>
      </c>
      <c r="P15" s="28" t="n">
        <f aca="false">IFERROR(IF(AND(15&gt;=ASSUMPTIONS!$C$50,ASSUMPTIONS!$C$50&gt;0),ASSUMPTIONS!$D$50/12*(ASSUMPTIONS!$B$53),0),0)</f>
        <v>7041.66666666667</v>
      </c>
      <c r="Q15" s="28" t="n">
        <f aca="false">IFERROR(IF(AND(16&gt;=ASSUMPTIONS!$C$50,ASSUMPTIONS!$C$50&gt;0),ASSUMPTIONS!$D$50/12*(ASSUMPTIONS!$B$53),0),0)</f>
        <v>7041.66666666667</v>
      </c>
      <c r="R15" s="28" t="n">
        <f aca="false">IFERROR(IF(AND(17&gt;=ASSUMPTIONS!$C$50,ASSUMPTIONS!$C$50&gt;0),ASSUMPTIONS!$D$50/12*(ASSUMPTIONS!$B$53),0),0)</f>
        <v>7041.66666666667</v>
      </c>
      <c r="S15" s="28" t="n">
        <f aca="false">IFERROR(IF(AND(18&gt;=ASSUMPTIONS!$C$50,ASSUMPTIONS!$C$50&gt;0),ASSUMPTIONS!$D$50/12*(ASSUMPTIONS!$B$53),0),0)</f>
        <v>7041.66666666667</v>
      </c>
      <c r="T15" s="28" t="n">
        <f aca="false">IFERROR(IF(AND(19&gt;=ASSUMPTIONS!$C$50,ASSUMPTIONS!$C$50&gt;0),ASSUMPTIONS!$D$50/12*(ASSUMPTIONS!$B$53),0),0)</f>
        <v>7041.66666666667</v>
      </c>
      <c r="U15" s="28" t="n">
        <f aca="false">IFERROR(IF(AND(20&gt;=ASSUMPTIONS!$C$50,ASSUMPTIONS!$C$50&gt;0),ASSUMPTIONS!$D$50/12*(ASSUMPTIONS!$B$53),0),0)</f>
        <v>7041.66666666667</v>
      </c>
      <c r="V15" s="28" t="n">
        <f aca="false">IFERROR(IF(AND(21&gt;=ASSUMPTIONS!$C$50,ASSUMPTIONS!$C$50&gt;0),ASSUMPTIONS!$D$50/12*(ASSUMPTIONS!$B$53),0),0)</f>
        <v>7041.66666666667</v>
      </c>
      <c r="W15" s="28" t="n">
        <f aca="false">IFERROR(IF(AND(22&gt;=ASSUMPTIONS!$C$50,ASSUMPTIONS!$C$50&gt;0),ASSUMPTIONS!$D$50/12*(ASSUMPTIONS!$B$53),0),0)</f>
        <v>7041.66666666667</v>
      </c>
      <c r="X15" s="28" t="n">
        <f aca="false">IFERROR(IF(AND(23&gt;=ASSUMPTIONS!$C$50,ASSUMPTIONS!$C$50&gt;0),ASSUMPTIONS!$D$50/12*(ASSUMPTIONS!$B$53),0),0)</f>
        <v>7041.66666666667</v>
      </c>
      <c r="Y15" s="28" t="n">
        <f aca="false">IFERROR(IF(AND(24&gt;=ASSUMPTIONS!$C$50,ASSUMPTIONS!$C$50&gt;0),ASSUMPTIONS!$D$50/12*(ASSUMPTIONS!$B$53),0),0)</f>
        <v>7041.66666666667</v>
      </c>
    </row>
    <row r="16" customFormat="false" ht="15" hidden="false" customHeight="false" outlineLevel="0" collapsed="false">
      <c r="A16" s="5" t="n">
        <f aca="false">IFERROR(ASSUMPTIONS!B51,"")</f>
        <v>0</v>
      </c>
      <c r="B16" s="28" t="n">
        <f aca="false">IFERROR(IF(AND(1&gt;=ASSUMPTIONS!$C$51,ASSUMPTIONS!$C$51&gt;0),ASSUMPTIONS!$D$51/12*(ASSUMPTIONS!$B$53),0),0)</f>
        <v>0</v>
      </c>
      <c r="C16" s="28" t="n">
        <f aca="false">IFERROR(IF(AND(2&gt;=ASSUMPTIONS!$C$51,ASSUMPTIONS!$C$51&gt;0),ASSUMPTIONS!$D$51/12*(ASSUMPTIONS!$B$53),0),0)</f>
        <v>0</v>
      </c>
      <c r="D16" s="28" t="n">
        <f aca="false">IFERROR(IF(AND(3&gt;=ASSUMPTIONS!$C$51,ASSUMPTIONS!$C$51&gt;0),ASSUMPTIONS!$D$51/12*(ASSUMPTIONS!$B$53),0),0)</f>
        <v>0</v>
      </c>
      <c r="E16" s="28" t="n">
        <f aca="false">IFERROR(IF(AND(4&gt;=ASSUMPTIONS!$C$51,ASSUMPTIONS!$C$51&gt;0),ASSUMPTIONS!$D$51/12*(ASSUMPTIONS!$B$53),0),0)</f>
        <v>0</v>
      </c>
      <c r="F16" s="28" t="n">
        <f aca="false">IFERROR(IF(AND(5&gt;=ASSUMPTIONS!$C$51,ASSUMPTIONS!$C$51&gt;0),ASSUMPTIONS!$D$51/12*(ASSUMPTIONS!$B$53),0),0)</f>
        <v>0</v>
      </c>
      <c r="G16" s="28" t="n">
        <f aca="false">IFERROR(IF(AND(6&gt;=ASSUMPTIONS!$C$51,ASSUMPTIONS!$C$51&gt;0),ASSUMPTIONS!$D$51/12*(ASSUMPTIONS!$B$53),0),0)</f>
        <v>0</v>
      </c>
      <c r="H16" s="28" t="n">
        <f aca="false">IFERROR(IF(AND(7&gt;=ASSUMPTIONS!$C$51,ASSUMPTIONS!$C$51&gt;0),ASSUMPTIONS!$D$51/12*(ASSUMPTIONS!$B$53),0),0)</f>
        <v>0</v>
      </c>
      <c r="I16" s="28" t="n">
        <f aca="false">IFERROR(IF(AND(8&gt;=ASSUMPTIONS!$C$51,ASSUMPTIONS!$C$51&gt;0),ASSUMPTIONS!$D$51/12*(ASSUMPTIONS!$B$53),0),0)</f>
        <v>0</v>
      </c>
      <c r="J16" s="28" t="n">
        <f aca="false">IFERROR(IF(AND(9&gt;=ASSUMPTIONS!$C$51,ASSUMPTIONS!$C$51&gt;0),ASSUMPTIONS!$D$51/12*(ASSUMPTIONS!$B$53),0),0)</f>
        <v>0</v>
      </c>
      <c r="K16" s="28" t="n">
        <f aca="false">IFERROR(IF(AND(10&gt;=ASSUMPTIONS!$C$51,ASSUMPTIONS!$C$51&gt;0),ASSUMPTIONS!$D$51/12*(ASSUMPTIONS!$B$53),0),0)</f>
        <v>0</v>
      </c>
      <c r="L16" s="28" t="n">
        <f aca="false">IFERROR(IF(AND(11&gt;=ASSUMPTIONS!$C$51,ASSUMPTIONS!$C$51&gt;0),ASSUMPTIONS!$D$51/12*(ASSUMPTIONS!$B$53),0),0)</f>
        <v>0</v>
      </c>
      <c r="M16" s="28" t="n">
        <f aca="false">IFERROR(IF(AND(12&gt;=ASSUMPTIONS!$C$51,ASSUMPTIONS!$C$51&gt;0),ASSUMPTIONS!$D$51/12*(ASSUMPTIONS!$B$53),0),0)</f>
        <v>0</v>
      </c>
      <c r="N16" s="28" t="n">
        <f aca="false">IFERROR(IF(AND(13&gt;=ASSUMPTIONS!$C$51,ASSUMPTIONS!$C$51&gt;0),ASSUMPTIONS!$D$51/12*(ASSUMPTIONS!$B$53),0),0)</f>
        <v>0</v>
      </c>
      <c r="O16" s="28" t="n">
        <f aca="false">IFERROR(IF(AND(14&gt;=ASSUMPTIONS!$C$51,ASSUMPTIONS!$C$51&gt;0),ASSUMPTIONS!$D$51/12*(ASSUMPTIONS!$B$53),0),0)</f>
        <v>0</v>
      </c>
      <c r="P16" s="28" t="n">
        <f aca="false">IFERROR(IF(AND(15&gt;=ASSUMPTIONS!$C$51,ASSUMPTIONS!$C$51&gt;0),ASSUMPTIONS!$D$51/12*(ASSUMPTIONS!$B$53),0),0)</f>
        <v>0</v>
      </c>
      <c r="Q16" s="28" t="n">
        <f aca="false">IFERROR(IF(AND(16&gt;=ASSUMPTIONS!$C$51,ASSUMPTIONS!$C$51&gt;0),ASSUMPTIONS!$D$51/12*(ASSUMPTIONS!$B$53),0),0)</f>
        <v>0</v>
      </c>
      <c r="R16" s="28" t="n">
        <f aca="false">IFERROR(IF(AND(17&gt;=ASSUMPTIONS!$C$51,ASSUMPTIONS!$C$51&gt;0),ASSUMPTIONS!$D$51/12*(ASSUMPTIONS!$B$53),0),0)</f>
        <v>0</v>
      </c>
      <c r="S16" s="28" t="n">
        <f aca="false">IFERROR(IF(AND(18&gt;=ASSUMPTIONS!$C$51,ASSUMPTIONS!$C$51&gt;0),ASSUMPTIONS!$D$51/12*(ASSUMPTIONS!$B$53),0),0)</f>
        <v>0</v>
      </c>
      <c r="T16" s="28" t="n">
        <f aca="false">IFERROR(IF(AND(19&gt;=ASSUMPTIONS!$C$51,ASSUMPTIONS!$C$51&gt;0),ASSUMPTIONS!$D$51/12*(ASSUMPTIONS!$B$53),0),0)</f>
        <v>0</v>
      </c>
      <c r="U16" s="28" t="n">
        <f aca="false">IFERROR(IF(AND(20&gt;=ASSUMPTIONS!$C$51,ASSUMPTIONS!$C$51&gt;0),ASSUMPTIONS!$D$51/12*(ASSUMPTIONS!$B$53),0),0)</f>
        <v>0</v>
      </c>
      <c r="V16" s="28" t="n">
        <f aca="false">IFERROR(IF(AND(21&gt;=ASSUMPTIONS!$C$51,ASSUMPTIONS!$C$51&gt;0),ASSUMPTIONS!$D$51/12*(ASSUMPTIONS!$B$53),0),0)</f>
        <v>0</v>
      </c>
      <c r="W16" s="28" t="n">
        <f aca="false">IFERROR(IF(AND(22&gt;=ASSUMPTIONS!$C$51,ASSUMPTIONS!$C$51&gt;0),ASSUMPTIONS!$D$51/12*(ASSUMPTIONS!$B$53),0),0)</f>
        <v>0</v>
      </c>
      <c r="X16" s="28" t="n">
        <f aca="false">IFERROR(IF(AND(23&gt;=ASSUMPTIONS!$C$51,ASSUMPTIONS!$C$51&gt;0),ASSUMPTIONS!$D$51/12*(ASSUMPTIONS!$B$53),0),0)</f>
        <v>0</v>
      </c>
      <c r="Y16" s="28" t="n">
        <f aca="false">IFERROR(IF(AND(24&gt;=ASSUMPTIONS!$C$51,ASSUMPTIONS!$C$51&gt;0),ASSUMPTIONS!$D$51/12*(ASSUMPTIONS!$B$53),0),0)</f>
        <v>0</v>
      </c>
    </row>
    <row r="18" customFormat="false" ht="15" hidden="false" customHeight="false" outlineLevel="0" collapsed="false">
      <c r="A18" s="25" t="s">
        <v>107</v>
      </c>
      <c r="B18" s="26" t="n">
        <f aca="false">SUM(B7:B16)</f>
        <v>28166.6666666667</v>
      </c>
      <c r="C18" s="26" t="n">
        <f aca="false">SUM(C7:C16)</f>
        <v>28166.6666666667</v>
      </c>
      <c r="D18" s="26" t="n">
        <f aca="false">SUM(D7:D16)</f>
        <v>47666.6666666667</v>
      </c>
      <c r="E18" s="26" t="n">
        <f aca="false">SUM(E7:E16)</f>
        <v>56875</v>
      </c>
      <c r="F18" s="26" t="n">
        <f aca="false">SUM(F7:F16)</f>
        <v>56875</v>
      </c>
      <c r="G18" s="26" t="n">
        <f aca="false">SUM(G7:G16)</f>
        <v>82875</v>
      </c>
      <c r="H18" s="26" t="n">
        <f aca="false">SUM(H7:H16)</f>
        <v>82875</v>
      </c>
      <c r="I18" s="26" t="n">
        <f aca="false">SUM(I7:I16)</f>
        <v>82875</v>
      </c>
      <c r="J18" s="26" t="n">
        <f aca="false">SUM(J7:J16)</f>
        <v>82875</v>
      </c>
      <c r="K18" s="26" t="n">
        <f aca="false">SUM(K7:K16)</f>
        <v>82875</v>
      </c>
      <c r="L18" s="26" t="n">
        <f aca="false">SUM(L7:L16)</f>
        <v>82875</v>
      </c>
      <c r="M18" s="26" t="n">
        <f aca="false">SUM(M7:M16)</f>
        <v>82875</v>
      </c>
      <c r="N18" s="26" t="n">
        <f aca="false">SUM(N7:N16)</f>
        <v>82875</v>
      </c>
      <c r="O18" s="26" t="n">
        <f aca="false">SUM(O7:O16)</f>
        <v>82875</v>
      </c>
      <c r="P18" s="26" t="n">
        <f aca="false">SUM(P7:P16)</f>
        <v>82875</v>
      </c>
      <c r="Q18" s="26" t="n">
        <f aca="false">SUM(Q7:Q16)</f>
        <v>82875</v>
      </c>
      <c r="R18" s="26" t="n">
        <f aca="false">SUM(R7:R16)</f>
        <v>82875</v>
      </c>
      <c r="S18" s="26" t="n">
        <f aca="false">SUM(S7:S16)</f>
        <v>82875</v>
      </c>
      <c r="T18" s="26" t="n">
        <f aca="false">SUM(T7:T16)</f>
        <v>82875</v>
      </c>
      <c r="U18" s="26" t="n">
        <f aca="false">SUM(U7:U16)</f>
        <v>82875</v>
      </c>
      <c r="V18" s="26" t="n">
        <f aca="false">SUM(V7:V16)</f>
        <v>82875</v>
      </c>
      <c r="W18" s="26" t="n">
        <f aca="false">SUM(W7:W16)</f>
        <v>82875</v>
      </c>
      <c r="X18" s="26" t="n">
        <f aca="false">SUM(X7:X16)</f>
        <v>82875</v>
      </c>
      <c r="Y18" s="26" t="n">
        <f aca="false">SUM(Y7:Y16)</f>
        <v>82875</v>
      </c>
      <c r="Z18" s="27"/>
      <c r="AA18" s="27"/>
      <c r="AB18" s="27"/>
      <c r="AC18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A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0" min="2" style="0" width="13"/>
  </cols>
  <sheetData>
    <row r="1" customFormat="false" ht="17.35" hidden="false" customHeight="false" outlineLevel="0" collapsed="false">
      <c r="A1" s="2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7" t="s">
        <v>109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4" customFormat="false" ht="15" hidden="false" customHeight="false" outlineLevel="0" collapsed="false">
      <c r="B4" s="22" t="s">
        <v>82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2" t="s">
        <v>83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6"/>
      <c r="AA4" s="16"/>
    </row>
    <row r="5" customFormat="false" ht="15" hidden="false" customHeight="false" outlineLevel="0" collapsed="false">
      <c r="B5" s="22" t="s">
        <v>84</v>
      </c>
      <c r="C5" s="22" t="s">
        <v>85</v>
      </c>
      <c r="D5" s="22" t="s">
        <v>86</v>
      </c>
      <c r="E5" s="22" t="s">
        <v>87</v>
      </c>
      <c r="F5" s="22" t="s">
        <v>88</v>
      </c>
      <c r="G5" s="22" t="s">
        <v>89</v>
      </c>
      <c r="H5" s="22" t="s">
        <v>90</v>
      </c>
      <c r="I5" s="22" t="s">
        <v>91</v>
      </c>
      <c r="J5" s="22" t="s">
        <v>92</v>
      </c>
      <c r="K5" s="22" t="s">
        <v>93</v>
      </c>
      <c r="L5" s="22" t="s">
        <v>94</v>
      </c>
      <c r="M5" s="22" t="s">
        <v>95</v>
      </c>
      <c r="N5" s="22" t="s">
        <v>84</v>
      </c>
      <c r="O5" s="22" t="s">
        <v>85</v>
      </c>
      <c r="P5" s="22" t="s">
        <v>86</v>
      </c>
      <c r="Q5" s="22" t="s">
        <v>87</v>
      </c>
      <c r="R5" s="22" t="s">
        <v>88</v>
      </c>
      <c r="S5" s="22" t="s">
        <v>89</v>
      </c>
      <c r="T5" s="22" t="s">
        <v>90</v>
      </c>
      <c r="U5" s="22" t="s">
        <v>91</v>
      </c>
      <c r="V5" s="22" t="s">
        <v>92</v>
      </c>
      <c r="W5" s="22" t="s">
        <v>93</v>
      </c>
      <c r="X5" s="22" t="s">
        <v>94</v>
      </c>
      <c r="Y5" s="22" t="s">
        <v>95</v>
      </c>
      <c r="Z5" s="23" t="s">
        <v>96</v>
      </c>
      <c r="AA5" s="23" t="s">
        <v>97</v>
      </c>
    </row>
    <row r="6" customFormat="false" ht="15" hidden="false" customHeight="false" outlineLevel="0" collapsed="false">
      <c r="A6" s="8" t="s">
        <v>102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8" customFormat="false" ht="15" hidden="false" customHeight="false" outlineLevel="0" collapsed="false">
      <c r="A8" s="9" t="s">
        <v>110</v>
      </c>
      <c r="B8" s="28" t="n">
        <f aca="false">IFERROR(REVENUE!B12,0)</f>
        <v>3366</v>
      </c>
      <c r="C8" s="28" t="n">
        <f aca="false">IFERROR(REVENUE!C12,0)</f>
        <v>5346</v>
      </c>
      <c r="D8" s="28" t="n">
        <f aca="false">IFERROR(REVENUE!D12,0)</f>
        <v>7524</v>
      </c>
      <c r="E8" s="28" t="n">
        <f aca="false">IFERROR(REVENUE!E12,0)</f>
        <v>9801</v>
      </c>
      <c r="F8" s="28" t="n">
        <f aca="false">IFERROR(REVENUE!F12,0)</f>
        <v>12276</v>
      </c>
      <c r="G8" s="28" t="n">
        <f aca="false">IFERROR(REVENUE!G12,0)</f>
        <v>14850</v>
      </c>
      <c r="H8" s="28" t="n">
        <f aca="false">IFERROR(REVENUE!H12,0)</f>
        <v>17622</v>
      </c>
      <c r="I8" s="28" t="n">
        <f aca="false">IFERROR(REVENUE!I12,0)</f>
        <v>20691</v>
      </c>
      <c r="J8" s="28" t="n">
        <f aca="false">IFERROR(REVENUE!J12,0)</f>
        <v>24057</v>
      </c>
      <c r="K8" s="28" t="n">
        <f aca="false">IFERROR(REVENUE!K12,0)</f>
        <v>27621</v>
      </c>
      <c r="L8" s="28" t="n">
        <f aca="false">IFERROR(REVENUE!L12,0)</f>
        <v>31482</v>
      </c>
      <c r="M8" s="28" t="n">
        <f aca="false">IFERROR(REVENUE!M12,0)</f>
        <v>35739</v>
      </c>
      <c r="N8" s="28" t="n">
        <f aca="false">IFERROR(REVENUE!N12,0)</f>
        <v>40392</v>
      </c>
      <c r="O8" s="28" t="n">
        <f aca="false">IFERROR(REVENUE!O12,0)</f>
        <v>45441</v>
      </c>
      <c r="P8" s="28" t="n">
        <f aca="false">IFERROR(REVENUE!P12,0)</f>
        <v>50886</v>
      </c>
      <c r="Q8" s="28" t="n">
        <f aca="false">IFERROR(REVENUE!Q12,0)</f>
        <v>56925</v>
      </c>
      <c r="R8" s="28" t="n">
        <f aca="false">IFERROR(REVENUE!R12,0)</f>
        <v>63459</v>
      </c>
      <c r="S8" s="28" t="n">
        <f aca="false">IFERROR(REVENUE!S12,0)</f>
        <v>70587</v>
      </c>
      <c r="T8" s="28" t="n">
        <f aca="false">IFERROR(REVENUE!T12,0)</f>
        <v>78408</v>
      </c>
      <c r="U8" s="28" t="n">
        <f aca="false">IFERROR(REVENUE!U12,0)</f>
        <v>86922</v>
      </c>
      <c r="V8" s="28" t="n">
        <f aca="false">IFERROR(REVENUE!V12,0)</f>
        <v>96228</v>
      </c>
      <c r="W8" s="28" t="n">
        <f aca="false">IFERROR(REVENUE!W12,0)</f>
        <v>106425</v>
      </c>
      <c r="X8" s="28" t="n">
        <f aca="false">IFERROR(REVENUE!X12,0)</f>
        <v>117711</v>
      </c>
      <c r="Y8" s="28" t="n">
        <f aca="false">IFERROR(REVENUE!Y12,0)</f>
        <v>129987</v>
      </c>
    </row>
    <row r="10" customFormat="false" ht="15" hidden="false" customHeight="false" outlineLevel="0" collapsed="false">
      <c r="A10" s="8" t="s">
        <v>111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customFormat="false" ht="15" hidden="false" customHeight="false" outlineLevel="0" collapsed="false">
      <c r="A11" s="9" t="s">
        <v>112</v>
      </c>
      <c r="B11" s="17" t="n">
        <f aca="false">IFERROR(REVENUE!B9*(ASSUMPTIONS!$B$36+ASSUMPTIONS!$B$38)+B8*ASSUMPTIONS!$B$37,0)</f>
        <v>369.614</v>
      </c>
      <c r="C11" s="17" t="n">
        <f aca="false">IFERROR(REVENUE!C9*(ASSUMPTIONS!$B$36+ASSUMPTIONS!$B$38)+C8*ASSUMPTIONS!$B$37,0)</f>
        <v>587.034</v>
      </c>
      <c r="D11" s="17" t="n">
        <f aca="false">IFERROR(REVENUE!D9*(ASSUMPTIONS!$B$36+ASSUMPTIONS!$B$38)+D8*ASSUMPTIONS!$B$37,0)</f>
        <v>826.196</v>
      </c>
      <c r="E11" s="17" t="n">
        <f aca="false">IFERROR(REVENUE!E9*(ASSUMPTIONS!$B$36+ASSUMPTIONS!$B$38)+E8*ASSUMPTIONS!$B$37,0)</f>
        <v>1076.229</v>
      </c>
      <c r="F11" s="17" t="n">
        <f aca="false">IFERROR(REVENUE!F9*(ASSUMPTIONS!$B$36+ASSUMPTIONS!$B$38)+F8*ASSUMPTIONS!$B$37,0)</f>
        <v>1348.004</v>
      </c>
      <c r="G11" s="17" t="n">
        <f aca="false">IFERROR(REVENUE!G9*(ASSUMPTIONS!$B$36+ASSUMPTIONS!$B$38)+G8*ASSUMPTIONS!$B$37,0)</f>
        <v>1630.65</v>
      </c>
      <c r="H11" s="17" t="n">
        <f aca="false">IFERROR(REVENUE!H9*(ASSUMPTIONS!$B$36+ASSUMPTIONS!$B$38)+H8*ASSUMPTIONS!$B$37,0)</f>
        <v>1935.038</v>
      </c>
      <c r="I11" s="17" t="n">
        <f aca="false">IFERROR(REVENUE!I9*(ASSUMPTIONS!$B$36+ASSUMPTIONS!$B$38)+I8*ASSUMPTIONS!$B$37,0)</f>
        <v>2272.039</v>
      </c>
      <c r="J11" s="17" t="n">
        <f aca="false">IFERROR(REVENUE!J9*(ASSUMPTIONS!$B$36+ASSUMPTIONS!$B$38)+J8*ASSUMPTIONS!$B$37,0)</f>
        <v>2641.653</v>
      </c>
      <c r="K11" s="17" t="n">
        <f aca="false">IFERROR(REVENUE!K9*(ASSUMPTIONS!$B$36+ASSUMPTIONS!$B$38)+K8*ASSUMPTIONS!$B$37,0)</f>
        <v>3033.009</v>
      </c>
      <c r="L11" s="17" t="n">
        <f aca="false">IFERROR(REVENUE!L9*(ASSUMPTIONS!$B$36+ASSUMPTIONS!$B$38)+L8*ASSUMPTIONS!$B$37,0)</f>
        <v>3456.978</v>
      </c>
      <c r="M11" s="17" t="n">
        <f aca="false">IFERROR(REVENUE!M9*(ASSUMPTIONS!$B$36+ASSUMPTIONS!$B$38)+M8*ASSUMPTIONS!$B$37,0)</f>
        <v>3924.431</v>
      </c>
      <c r="N11" s="17" t="n">
        <f aca="false">IFERROR(REVENUE!N9*(ASSUMPTIONS!$B$36+ASSUMPTIONS!$B$38)+N8*ASSUMPTIONS!$B$37,0)</f>
        <v>4435.368</v>
      </c>
      <c r="O11" s="17" t="n">
        <f aca="false">IFERROR(REVENUE!O9*(ASSUMPTIONS!$B$36+ASSUMPTIONS!$B$38)+O8*ASSUMPTIONS!$B$37,0)</f>
        <v>4989.789</v>
      </c>
      <c r="P11" s="17" t="n">
        <f aca="false">IFERROR(REVENUE!P9*(ASSUMPTIONS!$B$36+ASSUMPTIONS!$B$38)+P8*ASSUMPTIONS!$B$37,0)</f>
        <v>5587.694</v>
      </c>
      <c r="Q11" s="17" t="n">
        <f aca="false">IFERROR(REVENUE!Q9*(ASSUMPTIONS!$B$36+ASSUMPTIONS!$B$38)+Q8*ASSUMPTIONS!$B$37,0)</f>
        <v>6250.825</v>
      </c>
      <c r="R11" s="17" t="n">
        <f aca="false">IFERROR(REVENUE!R9*(ASSUMPTIONS!$B$36+ASSUMPTIONS!$B$38)+R8*ASSUMPTIONS!$B$37,0)</f>
        <v>6968.311</v>
      </c>
      <c r="S11" s="17" t="n">
        <f aca="false">IFERROR(REVENUE!S9*(ASSUMPTIONS!$B$36+ASSUMPTIONS!$B$38)+S8*ASSUMPTIONS!$B$37,0)</f>
        <v>7751.023</v>
      </c>
      <c r="T11" s="17" t="n">
        <f aca="false">IFERROR(REVENUE!T9*(ASSUMPTIONS!$B$36+ASSUMPTIONS!$B$38)+T8*ASSUMPTIONS!$B$37,0)</f>
        <v>8609.832</v>
      </c>
      <c r="U11" s="17" t="n">
        <f aca="false">IFERROR(REVENUE!U9*(ASSUMPTIONS!$B$36+ASSUMPTIONS!$B$38)+U8*ASSUMPTIONS!$B$37,0)</f>
        <v>9544.738</v>
      </c>
      <c r="V11" s="17" t="n">
        <f aca="false">IFERROR(REVENUE!V9*(ASSUMPTIONS!$B$36+ASSUMPTIONS!$B$38)+V8*ASSUMPTIONS!$B$37,0)</f>
        <v>10566.612</v>
      </c>
      <c r="W11" s="17" t="n">
        <f aca="false">IFERROR(REVENUE!W9*(ASSUMPTIONS!$B$36+ASSUMPTIONS!$B$38)+W8*ASSUMPTIONS!$B$37,0)</f>
        <v>11686.325</v>
      </c>
      <c r="X11" s="17" t="n">
        <f aca="false">IFERROR(REVENUE!X9*(ASSUMPTIONS!$B$36+ASSUMPTIONS!$B$38)+X8*ASSUMPTIONS!$B$37,0)</f>
        <v>12925.619</v>
      </c>
      <c r="Y11" s="17" t="n">
        <f aca="false">IFERROR(REVENUE!Y9*(ASSUMPTIONS!$B$36+ASSUMPTIONS!$B$38)+Y8*ASSUMPTIONS!$B$37,0)</f>
        <v>14273.623</v>
      </c>
    </row>
    <row r="12" customFormat="false" ht="15" hidden="false" customHeight="false" outlineLevel="0" collapsed="false">
      <c r="A12" s="29" t="s">
        <v>113</v>
      </c>
      <c r="B12" s="30" t="n">
        <f aca="false">B8-B11</f>
        <v>2996.386</v>
      </c>
      <c r="C12" s="30" t="n">
        <f aca="false">C8-C11</f>
        <v>4758.966</v>
      </c>
      <c r="D12" s="30" t="n">
        <f aca="false">D8-D11</f>
        <v>6697.804</v>
      </c>
      <c r="E12" s="30" t="n">
        <f aca="false">E8-E11</f>
        <v>8724.771</v>
      </c>
      <c r="F12" s="30" t="n">
        <f aca="false">F8-F11</f>
        <v>10927.996</v>
      </c>
      <c r="G12" s="30" t="n">
        <f aca="false">G8-G11</f>
        <v>13219.35</v>
      </c>
      <c r="H12" s="30" t="n">
        <f aca="false">H8-H11</f>
        <v>15686.962</v>
      </c>
      <c r="I12" s="30" t="n">
        <f aca="false">I8-I11</f>
        <v>18418.961</v>
      </c>
      <c r="J12" s="30" t="n">
        <f aca="false">J8-J11</f>
        <v>21415.347</v>
      </c>
      <c r="K12" s="30" t="n">
        <f aca="false">K8-K11</f>
        <v>24587.991</v>
      </c>
      <c r="L12" s="30" t="n">
        <f aca="false">L8-L11</f>
        <v>28025.022</v>
      </c>
      <c r="M12" s="30" t="n">
        <f aca="false">M8-M11</f>
        <v>31814.569</v>
      </c>
      <c r="N12" s="30" t="n">
        <f aca="false">N8-N11</f>
        <v>35956.632</v>
      </c>
      <c r="O12" s="30" t="n">
        <f aca="false">O8-O11</f>
        <v>40451.211</v>
      </c>
      <c r="P12" s="30" t="n">
        <f aca="false">P8-P11</f>
        <v>45298.306</v>
      </c>
      <c r="Q12" s="30" t="n">
        <f aca="false">Q8-Q11</f>
        <v>50674.175</v>
      </c>
      <c r="R12" s="30" t="n">
        <f aca="false">R8-R11</f>
        <v>56490.689</v>
      </c>
      <c r="S12" s="30" t="n">
        <f aca="false">S8-S11</f>
        <v>62835.977</v>
      </c>
      <c r="T12" s="30" t="n">
        <f aca="false">T8-T11</f>
        <v>69798.168</v>
      </c>
      <c r="U12" s="30" t="n">
        <f aca="false">U8-U11</f>
        <v>77377.262</v>
      </c>
      <c r="V12" s="30" t="n">
        <f aca="false">V8-V11</f>
        <v>85661.388</v>
      </c>
      <c r="W12" s="30" t="n">
        <f aca="false">W8-W11</f>
        <v>94738.675</v>
      </c>
      <c r="X12" s="30" t="n">
        <f aca="false">X8-X11</f>
        <v>104785.381</v>
      </c>
      <c r="Y12" s="30" t="n">
        <f aca="false">Y8-Y11</f>
        <v>115713.377</v>
      </c>
    </row>
    <row r="13" customFormat="false" ht="15" hidden="false" customHeight="false" outlineLevel="0" collapsed="false">
      <c r="A13" s="11" t="s">
        <v>114</v>
      </c>
      <c r="B13" s="18" t="n">
        <f aca="false">IFERROR(B12/B8,0)</f>
        <v>0.890191919191919</v>
      </c>
      <c r="C13" s="18" t="n">
        <f aca="false">IFERROR(C12/C8,0)</f>
        <v>0.890191919191919</v>
      </c>
      <c r="D13" s="18" t="n">
        <f aca="false">IFERROR(D12/D8,0)</f>
        <v>0.890191919191919</v>
      </c>
      <c r="E13" s="18" t="n">
        <f aca="false">IFERROR(E12/E8,0)</f>
        <v>0.890191919191919</v>
      </c>
      <c r="F13" s="18" t="n">
        <f aca="false">IFERROR(F12/F8,0)</f>
        <v>0.890191919191919</v>
      </c>
      <c r="G13" s="18" t="n">
        <f aca="false">IFERROR(G12/G8,0)</f>
        <v>0.890191919191919</v>
      </c>
      <c r="H13" s="18" t="n">
        <f aca="false">IFERROR(H12/H8,0)</f>
        <v>0.890191919191919</v>
      </c>
      <c r="I13" s="18" t="n">
        <f aca="false">IFERROR(I12/I8,0)</f>
        <v>0.890191919191919</v>
      </c>
      <c r="J13" s="18" t="n">
        <f aca="false">IFERROR(J12/J8,0)</f>
        <v>0.890191919191919</v>
      </c>
      <c r="K13" s="18" t="n">
        <f aca="false">IFERROR(K12/K8,0)</f>
        <v>0.890191919191919</v>
      </c>
      <c r="L13" s="18" t="n">
        <f aca="false">IFERROR(L12/L8,0)</f>
        <v>0.890191919191919</v>
      </c>
      <c r="M13" s="18" t="n">
        <f aca="false">IFERROR(M12/M8,0)</f>
        <v>0.890191919191919</v>
      </c>
      <c r="N13" s="18" t="n">
        <f aca="false">IFERROR(N12/N8,0)</f>
        <v>0.890191919191919</v>
      </c>
      <c r="O13" s="18" t="n">
        <f aca="false">IFERROR(O12/O8,0)</f>
        <v>0.890191919191919</v>
      </c>
      <c r="P13" s="18" t="n">
        <f aca="false">IFERROR(P12/P8,0)</f>
        <v>0.890191919191919</v>
      </c>
      <c r="Q13" s="18" t="n">
        <f aca="false">IFERROR(Q12/Q8,0)</f>
        <v>0.890191919191919</v>
      </c>
      <c r="R13" s="18" t="n">
        <f aca="false">IFERROR(R12/R8,0)</f>
        <v>0.890191919191919</v>
      </c>
      <c r="S13" s="18" t="n">
        <f aca="false">IFERROR(S12/S8,0)</f>
        <v>0.890191919191919</v>
      </c>
      <c r="T13" s="18" t="n">
        <f aca="false">IFERROR(T12/T8,0)</f>
        <v>0.890191919191919</v>
      </c>
      <c r="U13" s="18" t="n">
        <f aca="false">IFERROR(U12/U8,0)</f>
        <v>0.890191919191919</v>
      </c>
      <c r="V13" s="18" t="n">
        <f aca="false">IFERROR(V12/V8,0)</f>
        <v>0.890191919191919</v>
      </c>
      <c r="W13" s="18" t="n">
        <f aca="false">IFERROR(W12/W8,0)</f>
        <v>0.890191919191919</v>
      </c>
      <c r="X13" s="18" t="n">
        <f aca="false">IFERROR(X12/X8,0)</f>
        <v>0.890191919191919</v>
      </c>
      <c r="Y13" s="18" t="n">
        <f aca="false">IFERROR(Y12/Y8,0)</f>
        <v>0.890191919191919</v>
      </c>
    </row>
    <row r="15" customFormat="false" ht="15" hidden="false" customHeight="false" outlineLevel="0" collapsed="false">
      <c r="A15" s="8" t="s">
        <v>115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customFormat="false" ht="15" hidden="false" customHeight="false" outlineLevel="0" collapsed="false">
      <c r="A16" s="9" t="s">
        <v>116</v>
      </c>
      <c r="B16" s="28" t="n">
        <f aca="false">IFERROR(HEADCOUNT!B18,0)</f>
        <v>28166.6666666667</v>
      </c>
      <c r="C16" s="28" t="n">
        <f aca="false">IFERROR(HEADCOUNT!C18,0)</f>
        <v>28166.6666666667</v>
      </c>
      <c r="D16" s="28" t="n">
        <f aca="false">IFERROR(HEADCOUNT!D18,0)</f>
        <v>47666.6666666667</v>
      </c>
      <c r="E16" s="28" t="n">
        <f aca="false">IFERROR(HEADCOUNT!E18,0)</f>
        <v>56875</v>
      </c>
      <c r="F16" s="28" t="n">
        <f aca="false">IFERROR(HEADCOUNT!F18,0)</f>
        <v>56875</v>
      </c>
      <c r="G16" s="28" t="n">
        <f aca="false">IFERROR(HEADCOUNT!G18,0)</f>
        <v>82875</v>
      </c>
      <c r="H16" s="28" t="n">
        <f aca="false">IFERROR(HEADCOUNT!H18,0)</f>
        <v>82875</v>
      </c>
      <c r="I16" s="28" t="n">
        <f aca="false">IFERROR(HEADCOUNT!I18,0)</f>
        <v>82875</v>
      </c>
      <c r="J16" s="28" t="n">
        <f aca="false">IFERROR(HEADCOUNT!J18,0)</f>
        <v>82875</v>
      </c>
      <c r="K16" s="28" t="n">
        <f aca="false">IFERROR(HEADCOUNT!K18,0)</f>
        <v>82875</v>
      </c>
      <c r="L16" s="28" t="n">
        <f aca="false">IFERROR(HEADCOUNT!L18,0)</f>
        <v>82875</v>
      </c>
      <c r="M16" s="28" t="n">
        <f aca="false">IFERROR(HEADCOUNT!M18,0)</f>
        <v>82875</v>
      </c>
      <c r="N16" s="28" t="n">
        <f aca="false">IFERROR(HEADCOUNT!N18,0)</f>
        <v>82875</v>
      </c>
      <c r="O16" s="28" t="n">
        <f aca="false">IFERROR(HEADCOUNT!O18,0)</f>
        <v>82875</v>
      </c>
      <c r="P16" s="28" t="n">
        <f aca="false">IFERROR(HEADCOUNT!P18,0)</f>
        <v>82875</v>
      </c>
      <c r="Q16" s="28" t="n">
        <f aca="false">IFERROR(HEADCOUNT!Q18,0)</f>
        <v>82875</v>
      </c>
      <c r="R16" s="28" t="n">
        <f aca="false">IFERROR(HEADCOUNT!R18,0)</f>
        <v>82875</v>
      </c>
      <c r="S16" s="28" t="n">
        <f aca="false">IFERROR(HEADCOUNT!S18,0)</f>
        <v>82875</v>
      </c>
      <c r="T16" s="28" t="n">
        <f aca="false">IFERROR(HEADCOUNT!T18,0)</f>
        <v>82875</v>
      </c>
      <c r="U16" s="28" t="n">
        <f aca="false">IFERROR(HEADCOUNT!U18,0)</f>
        <v>82875</v>
      </c>
      <c r="V16" s="28" t="n">
        <f aca="false">IFERROR(HEADCOUNT!V18,0)</f>
        <v>82875</v>
      </c>
      <c r="W16" s="28" t="n">
        <f aca="false">IFERROR(HEADCOUNT!W18,0)</f>
        <v>82875</v>
      </c>
      <c r="X16" s="28" t="n">
        <f aca="false">IFERROR(HEADCOUNT!X18,0)</f>
        <v>82875</v>
      </c>
      <c r="Y16" s="28" t="n">
        <f aca="false">IFERROR(HEADCOUNT!Y18,0)</f>
        <v>82875</v>
      </c>
    </row>
    <row r="17" customFormat="false" ht="15" hidden="false" customHeight="false" outlineLevel="0" collapsed="false">
      <c r="A17" s="11" t="s">
        <v>117</v>
      </c>
      <c r="B17" s="17" t="n">
        <f aca="false">IFERROR(ASSUMPTIONS!$B$56,0)</f>
        <v>5000</v>
      </c>
      <c r="C17" s="17" t="n">
        <f aca="false">IFERROR(ROUND(B17*(1+ASSUMPTIONS!$B$57),0),0)</f>
        <v>5400</v>
      </c>
      <c r="D17" s="17" t="n">
        <f aca="false">IFERROR(ROUND(C17*(1+ASSUMPTIONS!$B$57),0),0)</f>
        <v>5832</v>
      </c>
      <c r="E17" s="17" t="n">
        <f aca="false">IFERROR(ROUND(D17*(1+ASSUMPTIONS!$B$57),0),0)</f>
        <v>6299</v>
      </c>
      <c r="F17" s="17" t="n">
        <f aca="false">IFERROR(ROUND(E17*(1+ASSUMPTIONS!$B$57),0),0)</f>
        <v>6803</v>
      </c>
      <c r="G17" s="17" t="n">
        <f aca="false">IFERROR(ROUND(F17*(1+ASSUMPTIONS!$B$57),0),0)</f>
        <v>7347</v>
      </c>
      <c r="H17" s="17" t="n">
        <f aca="false">IFERROR(ROUND(G17*(1+ASSUMPTIONS!$B$57),0),0)</f>
        <v>7935</v>
      </c>
      <c r="I17" s="17" t="n">
        <f aca="false">IFERROR(ROUND(H17*(1+ASSUMPTIONS!$B$57),0),0)</f>
        <v>8570</v>
      </c>
      <c r="J17" s="17" t="n">
        <f aca="false">IFERROR(ROUND(I17*(1+ASSUMPTIONS!$B$57),0),0)</f>
        <v>9256</v>
      </c>
      <c r="K17" s="17" t="n">
        <f aca="false">IFERROR(ROUND(J17*(1+ASSUMPTIONS!$B$57),0),0)</f>
        <v>9996</v>
      </c>
      <c r="L17" s="17" t="n">
        <f aca="false">IFERROR(ROUND(K17*(1+ASSUMPTIONS!$B$57),0),0)</f>
        <v>10796</v>
      </c>
      <c r="M17" s="17" t="n">
        <f aca="false">IFERROR(ROUND(L17*(1+ASSUMPTIONS!$B$57),0),0)</f>
        <v>11660</v>
      </c>
      <c r="N17" s="17" t="n">
        <f aca="false">IFERROR(ROUND(M17*(1+ASSUMPTIONS!$B$57),0),0)</f>
        <v>12593</v>
      </c>
      <c r="O17" s="17" t="n">
        <f aca="false">IFERROR(ROUND(N17*(1+ASSUMPTIONS!$B$57),0),0)</f>
        <v>13600</v>
      </c>
      <c r="P17" s="17" t="n">
        <f aca="false">IFERROR(ROUND(O17*(1+ASSUMPTIONS!$B$57),0),0)</f>
        <v>14688</v>
      </c>
      <c r="Q17" s="17" t="n">
        <f aca="false">IFERROR(ROUND(P17*(1+ASSUMPTIONS!$B$57),0),0)</f>
        <v>15863</v>
      </c>
      <c r="R17" s="17" t="n">
        <f aca="false">IFERROR(ROUND(Q17*(1+ASSUMPTIONS!$B$57),0),0)</f>
        <v>17132</v>
      </c>
      <c r="S17" s="17" t="n">
        <f aca="false">IFERROR(ROUND(R17*(1+ASSUMPTIONS!$B$57),0),0)</f>
        <v>18503</v>
      </c>
      <c r="T17" s="17" t="n">
        <f aca="false">IFERROR(ROUND(S17*(1+ASSUMPTIONS!$B$57),0),0)</f>
        <v>19983</v>
      </c>
      <c r="U17" s="17" t="n">
        <f aca="false">IFERROR(ROUND(T17*(1+ASSUMPTIONS!$B$57),0),0)</f>
        <v>21582</v>
      </c>
      <c r="V17" s="17" t="n">
        <f aca="false">IFERROR(ROUND(U17*(1+ASSUMPTIONS!$B$57),0),0)</f>
        <v>23309</v>
      </c>
      <c r="W17" s="17" t="n">
        <f aca="false">IFERROR(ROUND(V17*(1+ASSUMPTIONS!$B$57),0),0)</f>
        <v>25174</v>
      </c>
      <c r="X17" s="17" t="n">
        <f aca="false">IFERROR(ROUND(W17*(1+ASSUMPTIONS!$B$57),0),0)</f>
        <v>27188</v>
      </c>
      <c r="Y17" s="17" t="n">
        <f aca="false">IFERROR(ROUND(X17*(1+ASSUMPTIONS!$B$57),0),0)</f>
        <v>29363</v>
      </c>
    </row>
    <row r="18" customFormat="false" ht="15" hidden="false" customHeight="false" outlineLevel="0" collapsed="false">
      <c r="A18" s="9" t="s">
        <v>118</v>
      </c>
      <c r="B18" s="17" t="n">
        <f aca="false">IFERROR(ASSUMPTIONS!$B$58+ASSUMPTIONS!$B$59+ASSUMPTIONS!$B$60+ASSUMPTIONS!$B$61,0)</f>
        <v>2500</v>
      </c>
      <c r="C18" s="17" t="n">
        <f aca="false">IFERROR(ASSUMPTIONS!$B$58+ASSUMPTIONS!$B$59+ASSUMPTIONS!$B$60+ASSUMPTIONS!$B$61,0)</f>
        <v>2500</v>
      </c>
      <c r="D18" s="17" t="n">
        <f aca="false">IFERROR(ASSUMPTIONS!$B$58+ASSUMPTIONS!$B$59+ASSUMPTIONS!$B$60+ASSUMPTIONS!$B$61,0)</f>
        <v>2500</v>
      </c>
      <c r="E18" s="17" t="n">
        <f aca="false">IFERROR(ASSUMPTIONS!$B$58+ASSUMPTIONS!$B$59+ASSUMPTIONS!$B$60+ASSUMPTIONS!$B$61,0)</f>
        <v>2500</v>
      </c>
      <c r="F18" s="17" t="n">
        <f aca="false">IFERROR(ASSUMPTIONS!$B$58+ASSUMPTIONS!$B$59+ASSUMPTIONS!$B$60+ASSUMPTIONS!$B$61,0)</f>
        <v>2500</v>
      </c>
      <c r="G18" s="17" t="n">
        <f aca="false">IFERROR(ASSUMPTIONS!$B$58+ASSUMPTIONS!$B$59+ASSUMPTIONS!$B$60+ASSUMPTIONS!$B$61,0)</f>
        <v>2500</v>
      </c>
      <c r="H18" s="17" t="n">
        <f aca="false">IFERROR(ASSUMPTIONS!$B$58+ASSUMPTIONS!$B$59+ASSUMPTIONS!$B$60+ASSUMPTIONS!$B$61,0)</f>
        <v>2500</v>
      </c>
      <c r="I18" s="17" t="n">
        <f aca="false">IFERROR(ASSUMPTIONS!$B$58+ASSUMPTIONS!$B$59+ASSUMPTIONS!$B$60+ASSUMPTIONS!$B$61,0)</f>
        <v>2500</v>
      </c>
      <c r="J18" s="17" t="n">
        <f aca="false">IFERROR(ASSUMPTIONS!$B$58+ASSUMPTIONS!$B$59+ASSUMPTIONS!$B$60+ASSUMPTIONS!$B$61,0)</f>
        <v>2500</v>
      </c>
      <c r="K18" s="17" t="n">
        <f aca="false">IFERROR(ASSUMPTIONS!$B$58+ASSUMPTIONS!$B$59+ASSUMPTIONS!$B$60+ASSUMPTIONS!$B$61,0)</f>
        <v>2500</v>
      </c>
      <c r="L18" s="17" t="n">
        <f aca="false">IFERROR(ASSUMPTIONS!$B$58+ASSUMPTIONS!$B$59+ASSUMPTIONS!$B$60+ASSUMPTIONS!$B$61,0)</f>
        <v>2500</v>
      </c>
      <c r="M18" s="17" t="n">
        <f aca="false">IFERROR(ASSUMPTIONS!$B$58+ASSUMPTIONS!$B$59+ASSUMPTIONS!$B$60+ASSUMPTIONS!$B$61,0)</f>
        <v>2500</v>
      </c>
      <c r="N18" s="17" t="n">
        <f aca="false">IFERROR(ASSUMPTIONS!$B$58+ASSUMPTIONS!$B$59+ASSUMPTIONS!$B$60+ASSUMPTIONS!$B$61,0)</f>
        <v>2500</v>
      </c>
      <c r="O18" s="17" t="n">
        <f aca="false">IFERROR(ASSUMPTIONS!$B$58+ASSUMPTIONS!$B$59+ASSUMPTIONS!$B$60+ASSUMPTIONS!$B$61,0)</f>
        <v>2500</v>
      </c>
      <c r="P18" s="17" t="n">
        <f aca="false">IFERROR(ASSUMPTIONS!$B$58+ASSUMPTIONS!$B$59+ASSUMPTIONS!$B$60+ASSUMPTIONS!$B$61,0)</f>
        <v>2500</v>
      </c>
      <c r="Q18" s="17" t="n">
        <f aca="false">IFERROR(ASSUMPTIONS!$B$58+ASSUMPTIONS!$B$59+ASSUMPTIONS!$B$60+ASSUMPTIONS!$B$61,0)</f>
        <v>2500</v>
      </c>
      <c r="R18" s="17" t="n">
        <f aca="false">IFERROR(ASSUMPTIONS!$B$58+ASSUMPTIONS!$B$59+ASSUMPTIONS!$B$60+ASSUMPTIONS!$B$61,0)</f>
        <v>2500</v>
      </c>
      <c r="S18" s="17" t="n">
        <f aca="false">IFERROR(ASSUMPTIONS!$B$58+ASSUMPTIONS!$B$59+ASSUMPTIONS!$B$60+ASSUMPTIONS!$B$61,0)</f>
        <v>2500</v>
      </c>
      <c r="T18" s="17" t="n">
        <f aca="false">IFERROR(ASSUMPTIONS!$B$58+ASSUMPTIONS!$B$59+ASSUMPTIONS!$B$60+ASSUMPTIONS!$B$61,0)</f>
        <v>2500</v>
      </c>
      <c r="U18" s="17" t="n">
        <f aca="false">IFERROR(ASSUMPTIONS!$B$58+ASSUMPTIONS!$B$59+ASSUMPTIONS!$B$60+ASSUMPTIONS!$B$61,0)</f>
        <v>2500</v>
      </c>
      <c r="V18" s="17" t="n">
        <f aca="false">IFERROR(ASSUMPTIONS!$B$58+ASSUMPTIONS!$B$59+ASSUMPTIONS!$B$60+ASSUMPTIONS!$B$61,0)</f>
        <v>2500</v>
      </c>
      <c r="W18" s="17" t="n">
        <f aca="false">IFERROR(ASSUMPTIONS!$B$58+ASSUMPTIONS!$B$59+ASSUMPTIONS!$B$60+ASSUMPTIONS!$B$61,0)</f>
        <v>2500</v>
      </c>
      <c r="X18" s="17" t="n">
        <f aca="false">IFERROR(ASSUMPTIONS!$B$58+ASSUMPTIONS!$B$59+ASSUMPTIONS!$B$60+ASSUMPTIONS!$B$61,0)</f>
        <v>2500</v>
      </c>
      <c r="Y18" s="17" t="n">
        <f aca="false">IFERROR(ASSUMPTIONS!$B$58+ASSUMPTIONS!$B$59+ASSUMPTIONS!$B$60+ASSUMPTIONS!$B$61,0)</f>
        <v>2500</v>
      </c>
    </row>
    <row r="19" customFormat="false" ht="15" hidden="false" customHeight="false" outlineLevel="0" collapsed="false">
      <c r="A19" s="25" t="s">
        <v>119</v>
      </c>
      <c r="B19" s="31" t="n">
        <f aca="false">B16+B17+B18</f>
        <v>35666.6666666667</v>
      </c>
      <c r="C19" s="31" t="n">
        <f aca="false">C16+C17+C18</f>
        <v>36066.6666666667</v>
      </c>
      <c r="D19" s="31" t="n">
        <f aca="false">D16+D17+D18</f>
        <v>55998.6666666667</v>
      </c>
      <c r="E19" s="31" t="n">
        <f aca="false">E16+E17+E18</f>
        <v>65674</v>
      </c>
      <c r="F19" s="31" t="n">
        <f aca="false">F16+F17+F18</f>
        <v>66178</v>
      </c>
      <c r="G19" s="31" t="n">
        <f aca="false">G16+G17+G18</f>
        <v>92722</v>
      </c>
      <c r="H19" s="31" t="n">
        <f aca="false">H16+H17+H18</f>
        <v>93310</v>
      </c>
      <c r="I19" s="31" t="n">
        <f aca="false">I16+I17+I18</f>
        <v>93945</v>
      </c>
      <c r="J19" s="31" t="n">
        <f aca="false">J16+J17+J18</f>
        <v>94631</v>
      </c>
      <c r="K19" s="31" t="n">
        <f aca="false">K16+K17+K18</f>
        <v>95371</v>
      </c>
      <c r="L19" s="31" t="n">
        <f aca="false">L16+L17+L18</f>
        <v>96171</v>
      </c>
      <c r="M19" s="31" t="n">
        <f aca="false">M16+M17+M18</f>
        <v>97035</v>
      </c>
      <c r="N19" s="31" t="n">
        <f aca="false">N16+N17+N18</f>
        <v>97968</v>
      </c>
      <c r="O19" s="31" t="n">
        <f aca="false">O16+O17+O18</f>
        <v>98975</v>
      </c>
      <c r="P19" s="31" t="n">
        <f aca="false">P16+P17+P18</f>
        <v>100063</v>
      </c>
      <c r="Q19" s="31" t="n">
        <f aca="false">Q16+Q17+Q18</f>
        <v>101238</v>
      </c>
      <c r="R19" s="31" t="n">
        <f aca="false">R16+R17+R18</f>
        <v>102507</v>
      </c>
      <c r="S19" s="31" t="n">
        <f aca="false">S16+S17+S18</f>
        <v>103878</v>
      </c>
      <c r="T19" s="31" t="n">
        <f aca="false">T16+T17+T18</f>
        <v>105358</v>
      </c>
      <c r="U19" s="31" t="n">
        <f aca="false">U16+U17+U18</f>
        <v>106957</v>
      </c>
      <c r="V19" s="31" t="n">
        <f aca="false">V16+V17+V18</f>
        <v>108684</v>
      </c>
      <c r="W19" s="31" t="n">
        <f aca="false">W16+W17+W18</f>
        <v>110549</v>
      </c>
      <c r="X19" s="31" t="n">
        <f aca="false">X16+X17+X18</f>
        <v>112563</v>
      </c>
      <c r="Y19" s="31" t="n">
        <f aca="false">Y16+Y17+Y18</f>
        <v>114738</v>
      </c>
      <c r="Z19" s="27"/>
      <c r="AA19" s="27"/>
      <c r="AB19" s="27"/>
      <c r="AC19" s="27"/>
    </row>
    <row r="21" customFormat="false" ht="15" hidden="false" customHeight="false" outlineLevel="0" collapsed="false">
      <c r="A21" s="29" t="s">
        <v>120</v>
      </c>
      <c r="B21" s="30" t="n">
        <f aca="false">B12-B19</f>
        <v>-32670.2806666667</v>
      </c>
      <c r="C21" s="30" t="n">
        <f aca="false">C12-C19</f>
        <v>-31307.7006666667</v>
      </c>
      <c r="D21" s="30" t="n">
        <f aca="false">D12-D19</f>
        <v>-49300.8626666667</v>
      </c>
      <c r="E21" s="30" t="n">
        <f aca="false">E12-E19</f>
        <v>-56949.229</v>
      </c>
      <c r="F21" s="30" t="n">
        <f aca="false">F12-F19</f>
        <v>-55250.004</v>
      </c>
      <c r="G21" s="30" t="n">
        <f aca="false">G12-G19</f>
        <v>-79502.65</v>
      </c>
      <c r="H21" s="30" t="n">
        <f aca="false">H12-H19</f>
        <v>-77623.038</v>
      </c>
      <c r="I21" s="30" t="n">
        <f aca="false">I12-I19</f>
        <v>-75526.039</v>
      </c>
      <c r="J21" s="30" t="n">
        <f aca="false">J12-J19</f>
        <v>-73215.653</v>
      </c>
      <c r="K21" s="30" t="n">
        <f aca="false">K12-K19</f>
        <v>-70783.009</v>
      </c>
      <c r="L21" s="30" t="n">
        <f aca="false">L12-L19</f>
        <v>-68145.978</v>
      </c>
      <c r="M21" s="30" t="n">
        <f aca="false">M12-M19</f>
        <v>-65220.431</v>
      </c>
      <c r="N21" s="30" t="n">
        <f aca="false">N12-N19</f>
        <v>-62011.368</v>
      </c>
      <c r="O21" s="30" t="n">
        <f aca="false">O12-O19</f>
        <v>-58523.789</v>
      </c>
      <c r="P21" s="30" t="n">
        <f aca="false">P12-P19</f>
        <v>-54764.694</v>
      </c>
      <c r="Q21" s="30" t="n">
        <f aca="false">Q12-Q19</f>
        <v>-50563.825</v>
      </c>
      <c r="R21" s="30" t="n">
        <f aca="false">R12-R19</f>
        <v>-46016.311</v>
      </c>
      <c r="S21" s="30" t="n">
        <f aca="false">S12-S19</f>
        <v>-41042.023</v>
      </c>
      <c r="T21" s="30" t="n">
        <f aca="false">T12-T19</f>
        <v>-35559.832</v>
      </c>
      <c r="U21" s="30" t="n">
        <f aca="false">U12-U19</f>
        <v>-29579.738</v>
      </c>
      <c r="V21" s="30" t="n">
        <f aca="false">V12-V19</f>
        <v>-23022.612</v>
      </c>
      <c r="W21" s="30" t="n">
        <f aca="false">W12-W19</f>
        <v>-15810.325</v>
      </c>
      <c r="X21" s="30" t="n">
        <f aca="false">X12-X19</f>
        <v>-7777.61900000002</v>
      </c>
      <c r="Y21" s="30" t="n">
        <f aca="false">Y12-Y19</f>
        <v>975.376999999993</v>
      </c>
    </row>
    <row r="22" customFormat="false" ht="15" hidden="false" customHeight="false" outlineLevel="0" collapsed="false">
      <c r="A22" s="11" t="s">
        <v>121</v>
      </c>
      <c r="B22" s="18" t="n">
        <f aca="false">IFERROR(B21/B8,0)</f>
        <v>-9.70596573578927</v>
      </c>
      <c r="C22" s="18" t="n">
        <f aca="false">IFERROR(C21/C8,0)</f>
        <v>-5.85628519765557</v>
      </c>
      <c r="D22" s="18" t="n">
        <f aca="false">IFERROR(D21/D8,0)</f>
        <v>-6.55248041821726</v>
      </c>
      <c r="E22" s="18" t="n">
        <f aca="false">IFERROR(E21/E8,0)</f>
        <v>-5.81055290276502</v>
      </c>
      <c r="F22" s="18" t="n">
        <f aca="false">IFERROR(F21/F8,0)</f>
        <v>-4.50065200391007</v>
      </c>
      <c r="G22" s="18" t="n">
        <f aca="false">IFERROR(G21/G8,0)</f>
        <v>-5.35371380471381</v>
      </c>
      <c r="H22" s="18" t="n">
        <f aca="false">IFERROR(H21/H8,0)</f>
        <v>-4.4048937691522</v>
      </c>
      <c r="I22" s="18" t="n">
        <f aca="false">IFERROR(I21/I8,0)</f>
        <v>-3.65018795611619</v>
      </c>
      <c r="J22" s="18" t="n">
        <f aca="false">IFERROR(J21/J8,0)</f>
        <v>-3.04342407615247</v>
      </c>
      <c r="K22" s="18" t="n">
        <f aca="false">IFERROR(K21/K8,0)</f>
        <v>-2.56265193150139</v>
      </c>
      <c r="L22" s="18" t="n">
        <f aca="false">IFERROR(L21/L8,0)</f>
        <v>-2.16460129597866</v>
      </c>
      <c r="M22" s="18" t="n">
        <f aca="false">IFERROR(M21/M8,0)</f>
        <v>-1.82490923081228</v>
      </c>
      <c r="N22" s="18" t="n">
        <f aca="false">IFERROR(N21/N8,0)</f>
        <v>-1.53523885918004</v>
      </c>
      <c r="O22" s="18" t="n">
        <f aca="false">IFERROR(O21/O8,0)</f>
        <v>-1.28790715433199</v>
      </c>
      <c r="P22" s="18" t="n">
        <f aca="false">IFERROR(P21/P8,0)</f>
        <v>-1.07622320481075</v>
      </c>
      <c r="Q22" s="18" t="n">
        <f aca="false">IFERROR(Q21/Q8,0)</f>
        <v>-0.88825340360123</v>
      </c>
      <c r="R22" s="18" t="n">
        <f aca="false">IFERROR(R21/R8,0)</f>
        <v>-0.725134512047149</v>
      </c>
      <c r="S22" s="18" t="n">
        <f aca="false">IFERROR(S21/S8,0)</f>
        <v>-0.581438834346268</v>
      </c>
      <c r="T22" s="18" t="n">
        <f aca="false">IFERROR(T21/T8,0)</f>
        <v>-0.453523007856341</v>
      </c>
      <c r="U22" s="18" t="n">
        <f aca="false">IFERROR(U21/U8,0)</f>
        <v>-0.340302086928511</v>
      </c>
      <c r="V22" s="18" t="n">
        <f aca="false">IFERROR(V21/V8,0)</f>
        <v>-0.239250654695099</v>
      </c>
      <c r="W22" s="18" t="n">
        <f aca="false">IFERROR(W21/W8,0)</f>
        <v>-0.148558374442096</v>
      </c>
      <c r="X22" s="18" t="n">
        <f aca="false">IFERROR(X21/X8,0)</f>
        <v>-0.0660738503623283</v>
      </c>
      <c r="Y22" s="18" t="n">
        <f aca="false">IFERROR(Y21/Y8,0)</f>
        <v>0.00750365036503645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A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0" min="2" style="0" width="13"/>
  </cols>
  <sheetData>
    <row r="1" customFormat="false" ht="17.35" hidden="false" customHeight="false" outlineLevel="0" collapsed="false">
      <c r="A1" s="21" t="s">
        <v>122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7" t="s">
        <v>123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4" customFormat="false" ht="15" hidden="false" customHeight="false" outlineLevel="0" collapsed="false">
      <c r="B4" s="22" t="s">
        <v>82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2" t="s">
        <v>83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6"/>
      <c r="AA4" s="16"/>
    </row>
    <row r="5" customFormat="false" ht="15" hidden="false" customHeight="false" outlineLevel="0" collapsed="false">
      <c r="B5" s="22" t="s">
        <v>84</v>
      </c>
      <c r="C5" s="22" t="s">
        <v>85</v>
      </c>
      <c r="D5" s="22" t="s">
        <v>86</v>
      </c>
      <c r="E5" s="22" t="s">
        <v>87</v>
      </c>
      <c r="F5" s="22" t="s">
        <v>88</v>
      </c>
      <c r="G5" s="22" t="s">
        <v>89</v>
      </c>
      <c r="H5" s="22" t="s">
        <v>90</v>
      </c>
      <c r="I5" s="22" t="s">
        <v>91</v>
      </c>
      <c r="J5" s="22" t="s">
        <v>92</v>
      </c>
      <c r="K5" s="22" t="s">
        <v>93</v>
      </c>
      <c r="L5" s="22" t="s">
        <v>94</v>
      </c>
      <c r="M5" s="22" t="s">
        <v>95</v>
      </c>
      <c r="N5" s="22" t="s">
        <v>84</v>
      </c>
      <c r="O5" s="22" t="s">
        <v>85</v>
      </c>
      <c r="P5" s="22" t="s">
        <v>86</v>
      </c>
      <c r="Q5" s="22" t="s">
        <v>87</v>
      </c>
      <c r="R5" s="22" t="s">
        <v>88</v>
      </c>
      <c r="S5" s="22" t="s">
        <v>89</v>
      </c>
      <c r="T5" s="22" t="s">
        <v>90</v>
      </c>
      <c r="U5" s="22" t="s">
        <v>91</v>
      </c>
      <c r="V5" s="22" t="s">
        <v>92</v>
      </c>
      <c r="W5" s="22" t="s">
        <v>93</v>
      </c>
      <c r="X5" s="22" t="s">
        <v>94</v>
      </c>
      <c r="Y5" s="22" t="s">
        <v>95</v>
      </c>
      <c r="Z5" s="23" t="s">
        <v>96</v>
      </c>
      <c r="AA5" s="23" t="s">
        <v>97</v>
      </c>
    </row>
    <row r="6" customFormat="false" ht="15" hidden="false" customHeight="false" outlineLevel="0" collapsed="false">
      <c r="A6" s="8" t="s">
        <v>124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customFormat="false" ht="15" hidden="false" customHeight="false" outlineLevel="0" collapsed="false">
      <c r="A7" s="9" t="s">
        <v>125</v>
      </c>
      <c r="B7" s="32" t="n">
        <f aca="false">ASSUMPTIONS!$B$64</f>
        <v>100000</v>
      </c>
      <c r="C7" s="32" t="n">
        <f aca="false">IFERROR(B17,0)</f>
        <v>67329.7193333333</v>
      </c>
      <c r="D7" s="32" t="n">
        <f aca="false">IFERROR(C17,0)</f>
        <v>36022.0186666667</v>
      </c>
      <c r="E7" s="32" t="n">
        <f aca="false">IFERROR(D17,0)</f>
        <v>-13278.844</v>
      </c>
      <c r="F7" s="32" t="n">
        <f aca="false">IFERROR(E17,0)</f>
        <v>1429771.927</v>
      </c>
      <c r="G7" s="32" t="n">
        <f aca="false">IFERROR(F17,0)</f>
        <v>1374521.923</v>
      </c>
      <c r="H7" s="32" t="n">
        <f aca="false">IFERROR(G17,0)</f>
        <v>1295019.273</v>
      </c>
      <c r="I7" s="32" t="n">
        <f aca="false">IFERROR(H17,0)</f>
        <v>1217396.235</v>
      </c>
      <c r="J7" s="32" t="n">
        <f aca="false">IFERROR(I17,0)</f>
        <v>1141870.196</v>
      </c>
      <c r="K7" s="32" t="n">
        <f aca="false">IFERROR(J17,0)</f>
        <v>1068654.543</v>
      </c>
      <c r="L7" s="32" t="n">
        <f aca="false">IFERROR(K17,0)</f>
        <v>997871.534</v>
      </c>
      <c r="M7" s="32" t="n">
        <f aca="false">IFERROR(L17,0)</f>
        <v>929725.556</v>
      </c>
      <c r="N7" s="32" t="n">
        <f aca="false">IFERROR(M17,0)</f>
        <v>864505.125</v>
      </c>
      <c r="O7" s="32" t="n">
        <f aca="false">IFERROR(N17,0)</f>
        <v>802493.757</v>
      </c>
      <c r="P7" s="32" t="n">
        <f aca="false">IFERROR(O17,0)</f>
        <v>743969.968</v>
      </c>
      <c r="Q7" s="32" t="n">
        <f aca="false">IFERROR(P17,0)</f>
        <v>689205.274</v>
      </c>
      <c r="R7" s="32" t="n">
        <f aca="false">IFERROR(Q17,0)</f>
        <v>638641.449</v>
      </c>
      <c r="S7" s="32" t="n">
        <f aca="false">IFERROR(R17,0)</f>
        <v>592625.138</v>
      </c>
      <c r="T7" s="32" t="n">
        <f aca="false">IFERROR(S17,0)</f>
        <v>551583.115</v>
      </c>
      <c r="U7" s="32" t="n">
        <f aca="false">IFERROR(T17,0)</f>
        <v>516023.283</v>
      </c>
      <c r="V7" s="32" t="n">
        <f aca="false">IFERROR(U17,0)</f>
        <v>486443.545</v>
      </c>
      <c r="W7" s="32" t="n">
        <f aca="false">IFERROR(V17,0)</f>
        <v>463420.933</v>
      </c>
      <c r="X7" s="32" t="n">
        <f aca="false">IFERROR(W17,0)</f>
        <v>447610.608</v>
      </c>
      <c r="Y7" s="32" t="n">
        <f aca="false">IFERROR(X17,0)</f>
        <v>439832.989</v>
      </c>
    </row>
    <row r="9" customFormat="false" ht="15" hidden="false" customHeight="false" outlineLevel="0" collapsed="false">
      <c r="A9" s="8" t="s">
        <v>126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customFormat="false" ht="15" hidden="false" customHeight="false" outlineLevel="0" collapsed="false">
      <c r="A10" s="9" t="s">
        <v>127</v>
      </c>
      <c r="B10" s="28" t="n">
        <f aca="false">IFERROR('P&amp;L'!B21,0)</f>
        <v>-32670.2806666667</v>
      </c>
      <c r="C10" s="28" t="n">
        <f aca="false">IFERROR('P&amp;L'!C21,0)</f>
        <v>-31307.7006666667</v>
      </c>
      <c r="D10" s="28" t="n">
        <f aca="false">IFERROR('P&amp;L'!D21,0)</f>
        <v>-49300.8626666667</v>
      </c>
      <c r="E10" s="28" t="n">
        <f aca="false">IFERROR('P&amp;L'!E21,0)</f>
        <v>-56949.229</v>
      </c>
      <c r="F10" s="28" t="n">
        <f aca="false">IFERROR('P&amp;L'!F21,0)</f>
        <v>-55250.004</v>
      </c>
      <c r="G10" s="28" t="n">
        <f aca="false">IFERROR('P&amp;L'!G21,0)</f>
        <v>-79502.65</v>
      </c>
      <c r="H10" s="28" t="n">
        <f aca="false">IFERROR('P&amp;L'!H21,0)</f>
        <v>-77623.038</v>
      </c>
      <c r="I10" s="28" t="n">
        <f aca="false">IFERROR('P&amp;L'!I21,0)</f>
        <v>-75526.039</v>
      </c>
      <c r="J10" s="28" t="n">
        <f aca="false">IFERROR('P&amp;L'!J21,0)</f>
        <v>-73215.653</v>
      </c>
      <c r="K10" s="28" t="n">
        <f aca="false">IFERROR('P&amp;L'!K21,0)</f>
        <v>-70783.009</v>
      </c>
      <c r="L10" s="28" t="n">
        <f aca="false">IFERROR('P&amp;L'!L21,0)</f>
        <v>-68145.978</v>
      </c>
      <c r="M10" s="28" t="n">
        <f aca="false">IFERROR('P&amp;L'!M21,0)</f>
        <v>-65220.431</v>
      </c>
      <c r="N10" s="28" t="n">
        <f aca="false">IFERROR('P&amp;L'!N21,0)</f>
        <v>-62011.368</v>
      </c>
      <c r="O10" s="28" t="n">
        <f aca="false">IFERROR('P&amp;L'!O21,0)</f>
        <v>-58523.789</v>
      </c>
      <c r="P10" s="28" t="n">
        <f aca="false">IFERROR('P&amp;L'!P21,0)</f>
        <v>-54764.694</v>
      </c>
      <c r="Q10" s="28" t="n">
        <f aca="false">IFERROR('P&amp;L'!Q21,0)</f>
        <v>-50563.825</v>
      </c>
      <c r="R10" s="28" t="n">
        <f aca="false">IFERROR('P&amp;L'!R21,0)</f>
        <v>-46016.311</v>
      </c>
      <c r="S10" s="28" t="n">
        <f aca="false">IFERROR('P&amp;L'!S21,0)</f>
        <v>-41042.023</v>
      </c>
      <c r="T10" s="28" t="n">
        <f aca="false">IFERROR('P&amp;L'!T21,0)</f>
        <v>-35559.832</v>
      </c>
      <c r="U10" s="28" t="n">
        <f aca="false">IFERROR('P&amp;L'!U21,0)</f>
        <v>-29579.738</v>
      </c>
      <c r="V10" s="28" t="n">
        <f aca="false">IFERROR('P&amp;L'!V21,0)</f>
        <v>-23022.612</v>
      </c>
      <c r="W10" s="28" t="n">
        <f aca="false">IFERROR('P&amp;L'!W21,0)</f>
        <v>-15810.325</v>
      </c>
      <c r="X10" s="28" t="n">
        <f aca="false">IFERROR('P&amp;L'!X21,0)</f>
        <v>-7777.61900000002</v>
      </c>
      <c r="Y10" s="28" t="n">
        <f aca="false">IFERROR('P&amp;L'!Y21,0)</f>
        <v>975.376999999993</v>
      </c>
    </row>
    <row r="11" customFormat="false" ht="15" hidden="false" customHeight="false" outlineLevel="0" collapsed="false">
      <c r="A11" s="25" t="s">
        <v>128</v>
      </c>
      <c r="B11" s="31" t="n">
        <f aca="false">B10</f>
        <v>-32670.2806666667</v>
      </c>
      <c r="C11" s="31" t="n">
        <f aca="false">C10</f>
        <v>-31307.7006666667</v>
      </c>
      <c r="D11" s="31" t="n">
        <f aca="false">D10</f>
        <v>-49300.8626666667</v>
      </c>
      <c r="E11" s="31" t="n">
        <f aca="false">E10</f>
        <v>-56949.229</v>
      </c>
      <c r="F11" s="31" t="n">
        <f aca="false">F10</f>
        <v>-55250.004</v>
      </c>
      <c r="G11" s="31" t="n">
        <f aca="false">G10</f>
        <v>-79502.65</v>
      </c>
      <c r="H11" s="31" t="n">
        <f aca="false">H10</f>
        <v>-77623.038</v>
      </c>
      <c r="I11" s="31" t="n">
        <f aca="false">I10</f>
        <v>-75526.039</v>
      </c>
      <c r="J11" s="31" t="n">
        <f aca="false">J10</f>
        <v>-73215.653</v>
      </c>
      <c r="K11" s="31" t="n">
        <f aca="false">K10</f>
        <v>-70783.009</v>
      </c>
      <c r="L11" s="31" t="n">
        <f aca="false">L10</f>
        <v>-68145.978</v>
      </c>
      <c r="M11" s="31" t="n">
        <f aca="false">M10</f>
        <v>-65220.431</v>
      </c>
      <c r="N11" s="31" t="n">
        <f aca="false">N10</f>
        <v>-62011.368</v>
      </c>
      <c r="O11" s="31" t="n">
        <f aca="false">O10</f>
        <v>-58523.789</v>
      </c>
      <c r="P11" s="31" t="n">
        <f aca="false">P10</f>
        <v>-54764.694</v>
      </c>
      <c r="Q11" s="31" t="n">
        <f aca="false">Q10</f>
        <v>-50563.825</v>
      </c>
      <c r="R11" s="31" t="n">
        <f aca="false">R10</f>
        <v>-46016.311</v>
      </c>
      <c r="S11" s="31" t="n">
        <f aca="false">S10</f>
        <v>-41042.023</v>
      </c>
      <c r="T11" s="31" t="n">
        <f aca="false">T10</f>
        <v>-35559.832</v>
      </c>
      <c r="U11" s="31" t="n">
        <f aca="false">U10</f>
        <v>-29579.738</v>
      </c>
      <c r="V11" s="31" t="n">
        <f aca="false">V10</f>
        <v>-23022.612</v>
      </c>
      <c r="W11" s="31" t="n">
        <f aca="false">W10</f>
        <v>-15810.325</v>
      </c>
      <c r="X11" s="31" t="n">
        <f aca="false">X10</f>
        <v>-7777.61900000002</v>
      </c>
      <c r="Y11" s="31" t="n">
        <f aca="false">Y10</f>
        <v>975.376999999993</v>
      </c>
      <c r="Z11" s="27"/>
      <c r="AA11" s="27"/>
      <c r="AB11" s="27"/>
      <c r="AC11" s="27"/>
    </row>
    <row r="13" customFormat="false" ht="15" hidden="false" customHeight="false" outlineLevel="0" collapsed="false">
      <c r="A13" s="8" t="s">
        <v>129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customFormat="false" ht="15" hidden="false" customHeight="false" outlineLevel="0" collapsed="false">
      <c r="A14" s="9" t="s">
        <v>130</v>
      </c>
      <c r="B14" s="28" t="n">
        <f aca="false">IF(1=ASSUMPTIONS!$B$66,ASSUMPTIONS!$B$65,0)</f>
        <v>0</v>
      </c>
      <c r="C14" s="28" t="n">
        <f aca="false">IF(2=ASSUMPTIONS!$B$66,ASSUMPTIONS!$B$65,0)</f>
        <v>0</v>
      </c>
      <c r="D14" s="28" t="n">
        <f aca="false">IF(3=ASSUMPTIONS!$B$66,ASSUMPTIONS!$B$65,0)</f>
        <v>0</v>
      </c>
      <c r="E14" s="28" t="n">
        <f aca="false">IF(4=ASSUMPTIONS!$B$66,ASSUMPTIONS!$B$65,0)</f>
        <v>1500000</v>
      </c>
      <c r="F14" s="28" t="n">
        <f aca="false">IF(5=ASSUMPTIONS!$B$66,ASSUMPTIONS!$B$65,0)</f>
        <v>0</v>
      </c>
      <c r="G14" s="28" t="n">
        <f aca="false">IF(6=ASSUMPTIONS!$B$66,ASSUMPTIONS!$B$65,0)</f>
        <v>0</v>
      </c>
      <c r="H14" s="28" t="n">
        <f aca="false">IF(7=ASSUMPTIONS!$B$66,ASSUMPTIONS!$B$65,0)</f>
        <v>0</v>
      </c>
      <c r="I14" s="28" t="n">
        <f aca="false">IF(8=ASSUMPTIONS!$B$66,ASSUMPTIONS!$B$65,0)</f>
        <v>0</v>
      </c>
      <c r="J14" s="28" t="n">
        <f aca="false">IF(9=ASSUMPTIONS!$B$66,ASSUMPTIONS!$B$65,0)</f>
        <v>0</v>
      </c>
      <c r="K14" s="28" t="n">
        <f aca="false">IF(10=ASSUMPTIONS!$B$66,ASSUMPTIONS!$B$65,0)</f>
        <v>0</v>
      </c>
      <c r="L14" s="28" t="n">
        <f aca="false">IF(11=ASSUMPTIONS!$B$66,ASSUMPTIONS!$B$65,0)</f>
        <v>0</v>
      </c>
      <c r="M14" s="28" t="n">
        <f aca="false">IF(12=ASSUMPTIONS!$B$66,ASSUMPTIONS!$B$65,0)</f>
        <v>0</v>
      </c>
      <c r="N14" s="28" t="n">
        <f aca="false">IF(13=ASSUMPTIONS!$B$66,ASSUMPTIONS!$B$65,0)</f>
        <v>0</v>
      </c>
      <c r="O14" s="28" t="n">
        <f aca="false">IF(14=ASSUMPTIONS!$B$66,ASSUMPTIONS!$B$65,0)</f>
        <v>0</v>
      </c>
      <c r="P14" s="28" t="n">
        <f aca="false">IF(15=ASSUMPTIONS!$B$66,ASSUMPTIONS!$B$65,0)</f>
        <v>0</v>
      </c>
      <c r="Q14" s="28" t="n">
        <f aca="false">IF(16=ASSUMPTIONS!$B$66,ASSUMPTIONS!$B$65,0)</f>
        <v>0</v>
      </c>
      <c r="R14" s="28" t="n">
        <f aca="false">IF(17=ASSUMPTIONS!$B$66,ASSUMPTIONS!$B$65,0)</f>
        <v>0</v>
      </c>
      <c r="S14" s="28" t="n">
        <f aca="false">IF(18=ASSUMPTIONS!$B$66,ASSUMPTIONS!$B$65,0)</f>
        <v>0</v>
      </c>
      <c r="T14" s="28" t="n">
        <f aca="false">IF(19=ASSUMPTIONS!$B$66,ASSUMPTIONS!$B$65,0)</f>
        <v>0</v>
      </c>
      <c r="U14" s="28" t="n">
        <f aca="false">IF(20=ASSUMPTIONS!$B$66,ASSUMPTIONS!$B$65,0)</f>
        <v>0</v>
      </c>
      <c r="V14" s="28" t="n">
        <f aca="false">IF(21=ASSUMPTIONS!$B$66,ASSUMPTIONS!$B$65,0)</f>
        <v>0</v>
      </c>
      <c r="W14" s="28" t="n">
        <f aca="false">IF(22=ASSUMPTIONS!$B$66,ASSUMPTIONS!$B$65,0)</f>
        <v>0</v>
      </c>
      <c r="X14" s="28" t="n">
        <f aca="false">IF(23=ASSUMPTIONS!$B$66,ASSUMPTIONS!$B$65,0)</f>
        <v>0</v>
      </c>
      <c r="Y14" s="28" t="n">
        <f aca="false">IF(24=ASSUMPTIONS!$B$66,ASSUMPTIONS!$B$65,0)</f>
        <v>0</v>
      </c>
    </row>
    <row r="16" customFormat="false" ht="15" hidden="false" customHeight="false" outlineLevel="0" collapsed="false">
      <c r="A16" s="29" t="s">
        <v>131</v>
      </c>
      <c r="B16" s="30" t="n">
        <f aca="false">B11+B14</f>
        <v>-32670.2806666667</v>
      </c>
      <c r="C16" s="30" t="n">
        <f aca="false">C11+C14</f>
        <v>-31307.7006666667</v>
      </c>
      <c r="D16" s="30" t="n">
        <f aca="false">D11+D14</f>
        <v>-49300.8626666667</v>
      </c>
      <c r="E16" s="30" t="n">
        <f aca="false">E11+E14</f>
        <v>1443050.771</v>
      </c>
      <c r="F16" s="30" t="n">
        <f aca="false">F11+F14</f>
        <v>-55250.004</v>
      </c>
      <c r="G16" s="30" t="n">
        <f aca="false">G11+G14</f>
        <v>-79502.65</v>
      </c>
      <c r="H16" s="30" t="n">
        <f aca="false">H11+H14</f>
        <v>-77623.038</v>
      </c>
      <c r="I16" s="30" t="n">
        <f aca="false">I11+I14</f>
        <v>-75526.039</v>
      </c>
      <c r="J16" s="30" t="n">
        <f aca="false">J11+J14</f>
        <v>-73215.653</v>
      </c>
      <c r="K16" s="30" t="n">
        <f aca="false">K11+K14</f>
        <v>-70783.009</v>
      </c>
      <c r="L16" s="30" t="n">
        <f aca="false">L11+L14</f>
        <v>-68145.978</v>
      </c>
      <c r="M16" s="30" t="n">
        <f aca="false">M11+M14</f>
        <v>-65220.431</v>
      </c>
      <c r="N16" s="30" t="n">
        <f aca="false">N11+N14</f>
        <v>-62011.368</v>
      </c>
      <c r="O16" s="30" t="n">
        <f aca="false">O11+O14</f>
        <v>-58523.789</v>
      </c>
      <c r="P16" s="30" t="n">
        <f aca="false">P11+P14</f>
        <v>-54764.694</v>
      </c>
      <c r="Q16" s="30" t="n">
        <f aca="false">Q11+Q14</f>
        <v>-50563.825</v>
      </c>
      <c r="R16" s="30" t="n">
        <f aca="false">R11+R14</f>
        <v>-46016.311</v>
      </c>
      <c r="S16" s="30" t="n">
        <f aca="false">S11+S14</f>
        <v>-41042.023</v>
      </c>
      <c r="T16" s="30" t="n">
        <f aca="false">T11+T14</f>
        <v>-35559.832</v>
      </c>
      <c r="U16" s="30" t="n">
        <f aca="false">U11+U14</f>
        <v>-29579.738</v>
      </c>
      <c r="V16" s="30" t="n">
        <f aca="false">V11+V14</f>
        <v>-23022.612</v>
      </c>
      <c r="W16" s="30" t="n">
        <f aca="false">W11+W14</f>
        <v>-15810.325</v>
      </c>
      <c r="X16" s="30" t="n">
        <f aca="false">X11+X14</f>
        <v>-7777.61900000002</v>
      </c>
      <c r="Y16" s="30" t="n">
        <f aca="false">Y11+Y14</f>
        <v>975.376999999993</v>
      </c>
    </row>
    <row r="17" customFormat="false" ht="15" hidden="false" customHeight="false" outlineLevel="0" collapsed="false">
      <c r="A17" s="25" t="s">
        <v>132</v>
      </c>
      <c r="B17" s="26" t="n">
        <f aca="false">B7+B16</f>
        <v>67329.7193333333</v>
      </c>
      <c r="C17" s="26" t="n">
        <f aca="false">C7+C16</f>
        <v>36022.0186666667</v>
      </c>
      <c r="D17" s="26" t="n">
        <f aca="false">D7+D16</f>
        <v>-13278.844</v>
      </c>
      <c r="E17" s="26" t="n">
        <f aca="false">E7+E16</f>
        <v>1429771.927</v>
      </c>
      <c r="F17" s="26" t="n">
        <f aca="false">F7+F16</f>
        <v>1374521.923</v>
      </c>
      <c r="G17" s="26" t="n">
        <f aca="false">G7+G16</f>
        <v>1295019.273</v>
      </c>
      <c r="H17" s="26" t="n">
        <f aca="false">H7+H16</f>
        <v>1217396.235</v>
      </c>
      <c r="I17" s="26" t="n">
        <f aca="false">I7+I16</f>
        <v>1141870.196</v>
      </c>
      <c r="J17" s="26" t="n">
        <f aca="false">J7+J16</f>
        <v>1068654.543</v>
      </c>
      <c r="K17" s="26" t="n">
        <f aca="false">K7+K16</f>
        <v>997871.534</v>
      </c>
      <c r="L17" s="26" t="n">
        <f aca="false">L7+L16</f>
        <v>929725.556</v>
      </c>
      <c r="M17" s="26" t="n">
        <f aca="false">M7+M16</f>
        <v>864505.125</v>
      </c>
      <c r="N17" s="26" t="n">
        <f aca="false">N7+N16</f>
        <v>802493.757</v>
      </c>
      <c r="O17" s="26" t="n">
        <f aca="false">O7+O16</f>
        <v>743969.968</v>
      </c>
      <c r="P17" s="26" t="n">
        <f aca="false">P7+P16</f>
        <v>689205.274</v>
      </c>
      <c r="Q17" s="26" t="n">
        <f aca="false">Q7+Q16</f>
        <v>638641.449</v>
      </c>
      <c r="R17" s="26" t="n">
        <f aca="false">R7+R16</f>
        <v>592625.138</v>
      </c>
      <c r="S17" s="26" t="n">
        <f aca="false">S7+S16</f>
        <v>551583.115</v>
      </c>
      <c r="T17" s="26" t="n">
        <f aca="false">T7+T16</f>
        <v>516023.283</v>
      </c>
      <c r="U17" s="26" t="n">
        <f aca="false">U7+U16</f>
        <v>486443.545</v>
      </c>
      <c r="V17" s="26" t="n">
        <f aca="false">V7+V16</f>
        <v>463420.933</v>
      </c>
      <c r="W17" s="26" t="n">
        <f aca="false">W7+W16</f>
        <v>447610.608</v>
      </c>
      <c r="X17" s="26" t="n">
        <f aca="false">X7+X16</f>
        <v>439832.989</v>
      </c>
      <c r="Y17" s="26" t="n">
        <f aca="false">Y7+Y16</f>
        <v>440808.366</v>
      </c>
      <c r="Z17" s="27"/>
      <c r="AA17" s="27"/>
      <c r="AB17" s="27"/>
      <c r="AC17" s="27"/>
    </row>
    <row r="19" customFormat="false" ht="15" hidden="false" customHeight="false" outlineLevel="0" collapsed="false">
      <c r="A19" s="11" t="s">
        <v>133</v>
      </c>
      <c r="B19" s="17" t="n">
        <f aca="false">B11</f>
        <v>-32670.2806666667</v>
      </c>
      <c r="C19" s="17" t="n">
        <f aca="false">C11</f>
        <v>-31307.7006666667</v>
      </c>
      <c r="D19" s="17" t="n">
        <f aca="false">D11</f>
        <v>-49300.8626666667</v>
      </c>
      <c r="E19" s="17" t="n">
        <f aca="false">E11</f>
        <v>-56949.229</v>
      </c>
      <c r="F19" s="17" t="n">
        <f aca="false">F11</f>
        <v>-55250.004</v>
      </c>
      <c r="G19" s="17" t="n">
        <f aca="false">G11</f>
        <v>-79502.65</v>
      </c>
      <c r="H19" s="17" t="n">
        <f aca="false">H11</f>
        <v>-77623.038</v>
      </c>
      <c r="I19" s="17" t="n">
        <f aca="false">I11</f>
        <v>-75526.039</v>
      </c>
      <c r="J19" s="17" t="n">
        <f aca="false">J11</f>
        <v>-73215.653</v>
      </c>
      <c r="K19" s="17" t="n">
        <f aca="false">K11</f>
        <v>-70783.009</v>
      </c>
      <c r="L19" s="17" t="n">
        <f aca="false">L11</f>
        <v>-68145.978</v>
      </c>
      <c r="M19" s="17" t="n">
        <f aca="false">M11</f>
        <v>-65220.431</v>
      </c>
      <c r="N19" s="17" t="n">
        <f aca="false">N11</f>
        <v>-62011.368</v>
      </c>
      <c r="O19" s="17" t="n">
        <f aca="false">O11</f>
        <v>-58523.789</v>
      </c>
      <c r="P19" s="17" t="n">
        <f aca="false">P11</f>
        <v>-54764.694</v>
      </c>
      <c r="Q19" s="17" t="n">
        <f aca="false">Q11</f>
        <v>-50563.825</v>
      </c>
      <c r="R19" s="17" t="n">
        <f aca="false">R11</f>
        <v>-46016.311</v>
      </c>
      <c r="S19" s="17" t="n">
        <f aca="false">S11</f>
        <v>-41042.023</v>
      </c>
      <c r="T19" s="17" t="n">
        <f aca="false">T11</f>
        <v>-35559.832</v>
      </c>
      <c r="U19" s="17" t="n">
        <f aca="false">U11</f>
        <v>-29579.738</v>
      </c>
      <c r="V19" s="17" t="n">
        <f aca="false">V11</f>
        <v>-23022.612</v>
      </c>
      <c r="W19" s="17" t="n">
        <f aca="false">W11</f>
        <v>-15810.325</v>
      </c>
      <c r="X19" s="17" t="n">
        <f aca="false">X11</f>
        <v>-7777.61900000002</v>
      </c>
      <c r="Y19" s="17" t="n">
        <f aca="false">Y11</f>
        <v>975.376999999993</v>
      </c>
    </row>
    <row r="20" customFormat="false" ht="15" hidden="false" customHeight="false" outlineLevel="0" collapsed="false">
      <c r="A20" s="9" t="s">
        <v>134</v>
      </c>
      <c r="B20" s="33" t="n">
        <f aca="false">IFERROR(IF(B19&lt;0,B17/ABS(B19),"∞"),0)</f>
        <v>2.06088585587297</v>
      </c>
      <c r="C20" s="33" t="n">
        <f aca="false">IFERROR(IF(C19&lt;0,C17/ABS(C19),"∞"),0)</f>
        <v>1.15058014161415</v>
      </c>
      <c r="D20" s="33" t="n">
        <f aca="false">IFERROR(IF(D19&lt;0,D17/ABS(D19),"∞"),0)</f>
        <v>-0.269343035430861</v>
      </c>
      <c r="E20" s="33" t="n">
        <f aca="false">IFERROR(IF(E19&lt;0,E17/ABS(E19),"∞"),0)</f>
        <v>25.1060804879378</v>
      </c>
      <c r="F20" s="33" t="n">
        <f aca="false">IFERROR(IF(F19&lt;0,F17/ABS(F19),"∞"),0)</f>
        <v>24.8782230495404</v>
      </c>
      <c r="G20" s="33" t="n">
        <f aca="false">IFERROR(IF(G19&lt;0,G17/ABS(G19),"∞"),0)</f>
        <v>16.2890076368524</v>
      </c>
      <c r="H20" s="33" t="n">
        <f aca="false">IFERROR(IF(H19&lt;0,H17/ABS(H19),"∞"),0)</f>
        <v>15.6834396896447</v>
      </c>
      <c r="I20" s="33" t="n">
        <f aca="false">IFERROR(IF(I19&lt;0,I17/ABS(I19),"∞"),0)</f>
        <v>15.1188942399058</v>
      </c>
      <c r="J20" s="33" t="n">
        <f aca="false">IFERROR(IF(J19&lt;0,J17/ABS(J19),"∞"),0)</f>
        <v>14.5959845908907</v>
      </c>
      <c r="K20" s="33" t="n">
        <f aca="false">IFERROR(IF(K19&lt;0,K17/ABS(K19),"∞"),0)</f>
        <v>14.0976139344401</v>
      </c>
      <c r="L20" s="33" t="n">
        <f aca="false">IFERROR(IF(L19&lt;0,L17/ABS(L19),"∞"),0)</f>
        <v>13.6431464231095</v>
      </c>
      <c r="M20" s="33" t="n">
        <f aca="false">IFERROR(IF(M19&lt;0,M17/ABS(M19),"∞"),0)</f>
        <v>13.2551274461832</v>
      </c>
      <c r="N20" s="33" t="n">
        <f aca="false">IFERROR(IF(N19&lt;0,N17/ABS(N19),"∞"),0)</f>
        <v>12.9410748848501</v>
      </c>
      <c r="O20" s="33" t="n">
        <f aca="false">IFERROR(IF(O19&lt;0,O17/ABS(O19),"∞"),0)</f>
        <v>12.7122659129264</v>
      </c>
      <c r="P20" s="33" t="n">
        <f aca="false">IFERROR(IF(P19&lt;0,P17/ABS(P19),"∞"),0)</f>
        <v>12.5848466166907</v>
      </c>
      <c r="Q20" s="33" t="n">
        <f aca="false">IFERROR(IF(Q19&lt;0,Q17/ABS(Q19),"∞"),0)</f>
        <v>12.6304022490387</v>
      </c>
      <c r="R20" s="33" t="n">
        <f aca="false">IFERROR(IF(R19&lt;0,R17/ABS(R19),"∞"),0)</f>
        <v>12.8785885943791</v>
      </c>
      <c r="S20" s="33" t="n">
        <f aca="false">IFERROR(IF(S19&lt;0,S17/ABS(S19),"∞"),0)</f>
        <v>13.4394719041993</v>
      </c>
      <c r="T20" s="33" t="n">
        <f aca="false">IFERROR(IF(T19&lt;0,T17/ABS(T19),"∞"),0)</f>
        <v>14.5114094746004</v>
      </c>
      <c r="U20" s="33" t="n">
        <f aca="false">IFERROR(IF(U19&lt;0,U17/ABS(U19),"∞"),0)</f>
        <v>16.4451607042632</v>
      </c>
      <c r="V20" s="33" t="n">
        <f aca="false">IFERROR(IF(V19&lt;0,V17/ABS(V19),"∞"),0)</f>
        <v>20.1289468371356</v>
      </c>
      <c r="W20" s="33" t="n">
        <f aca="false">IFERROR(IF(W19&lt;0,W17/ABS(W19),"∞"),0)</f>
        <v>28.3112844296369</v>
      </c>
      <c r="X20" s="33" t="n">
        <f aca="false">IFERROR(IF(X19&lt;0,X17/ABS(X19),"∞"),0)</f>
        <v>56.5511101790919</v>
      </c>
      <c r="Y20" s="33" t="str">
        <f aca="false">IFERROR(IF(Y19&lt;0,Y17/ABS(Y19),"∞"),0)</f>
        <v>∞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2026-03-10T21:58:45Z</dcterms:created>
  <dc:creator>openpyxl</dc:creator>
  <dc:description/>
  <dc:language>en-US</dc:language>
  <cp:lastModifiedBy/>
  <dcterms:modified xsi:type="dcterms:W3CDTF">2026-03-10T21:58:45Z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