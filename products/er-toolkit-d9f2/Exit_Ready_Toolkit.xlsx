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21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b 1" sheetId="2" state="visible" r:id="rId4"/>
    <sheet name="Tab 2" sheetId="3" state="visible" r:id="rId5"/>
    <sheet name="Tab 3" sheetId="4" state="visible" r:id="rId6"/>
    <sheet name="Tab 4" sheetId="5" state="visible" r:id="rId7"/>
    <sheet name="Tab 5" sheetId="6" state="visible" r:id="rId8"/>
    <sheet name="Tab 6" sheetId="7" state="visible" r:id="rId9"/>
    <sheet name="Tab 7" sheetId="8" state="visible" r:id="rId10"/>
    <sheet name="Tab 8" sheetId="9" state="visible" r:id="rId11"/>
    <sheet name="Tab 9" sheetId="10" state="visible" r:id="rId12"/>
    <sheet name="Tab 10" sheetId="11" state="visible" r:id="rId13"/>
    <sheet name="Tab 11" sheetId="12" state="visible" r:id="rId14"/>
    <sheet name="Tab 12" sheetId="13" state="visible" r:id="rId15"/>
    <sheet name="Tab 13" sheetId="14" state="visible" r:id="rId16"/>
    <sheet name="Tab 14" sheetId="15" state="visible" r:id="rId17"/>
    <sheet name="Tab 15" sheetId="16" state="visible" r:id="rId18"/>
    <sheet name="Tab 16" sheetId="17" state="visible" r:id="rId19"/>
    <sheet name="Tab 17" sheetId="18" state="visible" r:id="rId20"/>
    <sheet name="Tab 18" sheetId="19" state="visible" r:id="rId21"/>
    <sheet name="Tab 19" sheetId="20" state="visible" r:id="rId22"/>
    <sheet name="Tab 20" sheetId="21" state="visible" r:id="rId23"/>
    <sheet name="Tab 21" sheetId="22" state="visible" r:id="rId24"/>
    <sheet name="Tab 22" sheetId="23" state="visible" r:id="rId25"/>
    <sheet name="Tab 23" sheetId="24" state="visible" r:id="rId26"/>
    <sheet name="Tab 24" sheetId="25" state="visible" r:id="rId27"/>
    <sheet name="Tab 25" sheetId="26" state="visible" r:id="rId28"/>
    <sheet name="Tab 26" sheetId="27" state="visible" r:id="rId29"/>
    <sheet name="Tab 27" sheetId="28" state="visible" r:id="rId30"/>
    <sheet name="Tab 28" sheetId="29" state="visible" r:id="rId31"/>
    <sheet name="Tab 29" sheetId="30" state="visible" r:id="rId32"/>
    <sheet name="Tab 30" sheetId="31" state="visible" r:id="rId3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<sst xmlns="http://schemas.openxmlformats.org/spreadsheetml/2006/main" count="632" uniqueCount="549">
  <si>
    <t xml:space="preserve">Exit Ready Toolkit</t>
  </si>
  <si>
    <t xml:space="preserve">30 Business Exit Planning Calculators</t>
  </si>
  <si>
    <t xml:space="preserve">raisereadybook.com</t>
  </si>
  <si>
    <t xml:space="preserve">HOW TO USE THIS TOOLKIT:</t>
  </si>
  <si>
    <t xml:space="preserve">1. Each tab is a standalone calculator for a specific exit planning scenario</t>
  </si>
  <si>
    <t xml:space="preserve">2. Enter your values in yellow cells (blue text indicates input cells)</t>
  </si>
  <si>
    <t xml:space="preserve">3. Results appear automatically in gold cells (formulas only, no hardcoded values)</t>
  </si>
  <si>
    <t xml:space="preserve">4. All formulas use Excel native functions - fully transparent and auditab</t>
  </si>
  <si>
    <t xml:space="preserve">5. Work through tabs relevant to your situation and exit strategy</t>
  </si>
  <si>
    <t xml:space="preserve">6. Use Dashboard results to build your exit strategy document</t>
  </si>
  <si>
    <t xml:space="preserve">7. Share individual calculator tabs with advisors for discussion</t>
  </si>
  <si>
    <t xml:space="preserve">8. Update inputs as assumptions change to model different scenarios</t>
  </si>
  <si>
    <t xml:space="preserve">9. Keep a copy of each scenario's results for comparison</t>
  </si>
  <si>
    <t xml:space="preserve">10. Revisit quarterly as your business changes and markets shift</t>
  </si>
  <si>
    <t xml:space="preserve">TOOL INDEX</t>
  </si>
  <si>
    <t xml:space="preserve">#</t>
  </si>
  <si>
    <t xml:space="preserve">Calculator Name</t>
  </si>
  <si>
    <t xml:space="preserve">Category</t>
  </si>
  <si>
    <t xml:space="preserve">Key Outputs</t>
  </si>
  <si>
    <t xml:space="preserve">Exit Proceeds Calculator</t>
  </si>
  <si>
    <t xml:space="preserve">Valuation</t>
  </si>
  <si>
    <t xml:space="preserve">Net proceeds after taxes, escrow</t>
  </si>
  <si>
    <t xml:space="preserve">EBITDA Bridge Builder</t>
  </si>
  <si>
    <t xml:space="preserve">Adjusted EBITDA</t>
  </si>
  <si>
    <t xml:space="preserve">Multiple Estimator</t>
  </si>
  <si>
    <t xml:space="preserve">Enterprise value</t>
  </si>
  <si>
    <t xml:space="preserve">Asset vs Stock Comparator</t>
  </si>
  <si>
    <t xml:space="preserve">Tax</t>
  </si>
  <si>
    <t xml:space="preserve">Tax savings</t>
  </si>
  <si>
    <t xml:space="preserve">QSBS Calculator</t>
  </si>
  <si>
    <t xml:space="preserve">Tax benefits</t>
  </si>
  <si>
    <t xml:space="preserve">Earnout Expected Value</t>
  </si>
  <si>
    <t xml:space="preserve">Deal Structure</t>
  </si>
  <si>
    <t xml:space="preserve">Expected value</t>
  </si>
  <si>
    <t xml:space="preserve">PE Rollover Simulator</t>
  </si>
  <si>
    <t xml:space="preserve">Total proceeds</t>
  </si>
  <si>
    <t xml:space="preserve">SDE vs EBITDA Calculator</t>
  </si>
  <si>
    <t xml:space="preserve">Implied valuation</t>
  </si>
  <si>
    <t xml:space="preserve">Exit Readiness Scorecard</t>
  </si>
  <si>
    <t xml:space="preserve">Preparation</t>
  </si>
  <si>
    <t xml:space="preserve">Readiness score</t>
  </si>
  <si>
    <t xml:space="preserve">Founder Dependence Audit</t>
  </si>
  <si>
    <t xml:space="preserve">Risk assessment</t>
  </si>
  <si>
    <t xml:space="preserve">Customer Concentration</t>
  </si>
  <si>
    <t xml:space="preserve">Risk</t>
  </si>
  <si>
    <t xml:space="preserve">HHI index</t>
  </si>
  <si>
    <t xml:space="preserve">Data Room Checklist</t>
  </si>
  <si>
    <t xml:space="preserve">Completion %</t>
  </si>
  <si>
    <t xml:space="preserve">Should I Sell Decision Framework</t>
  </si>
  <si>
    <t xml:space="preserve">Strategy</t>
  </si>
  <si>
    <t xml:space="preserve">Sell/Hold/Explore</t>
  </si>
  <si>
    <t xml:space="preserve">Exit Timeline Planner</t>
  </si>
  <si>
    <t xml:space="preserve">Timeline</t>
  </si>
  <si>
    <t xml:space="preserve">Working Capital Simulator</t>
  </si>
  <si>
    <t xml:space="preserve">Adjustment impact</t>
  </si>
  <si>
    <t xml:space="preserve">LOI Comparator</t>
  </si>
  <si>
    <t xml:space="preserve">Best offer</t>
  </si>
  <si>
    <t xml:space="preserve">Advisor Fee Calculator</t>
  </si>
  <si>
    <t xml:space="preserve">Costs</t>
  </si>
  <si>
    <t xml:space="preserve">Net proceeds</t>
  </si>
  <si>
    <t xml:space="preserve">Installment Sale Optimizer</t>
  </si>
  <si>
    <t xml:space="preserve">NPV comparison</t>
  </si>
  <si>
    <t xml:space="preserve">Opportunity Zone Modeler</t>
  </si>
  <si>
    <t xml:space="preserve">Tax benefit</t>
  </si>
  <si>
    <t xml:space="preserve">Cross-Border Tax Assessment</t>
  </si>
  <si>
    <t xml:space="preserve">Tax liability</t>
  </si>
  <si>
    <t xml:space="preserve">Sustainable Spending Calculator</t>
  </si>
  <si>
    <t xml:space="preserve">Wealth</t>
  </si>
  <si>
    <t xml:space="preserve">Safe spending</t>
  </si>
  <si>
    <t xml:space="preserve">Wealth Advisor Fee Impact</t>
  </si>
  <si>
    <t xml:space="preserve">Fee drag</t>
  </si>
  <si>
    <t xml:space="preserve">Post-Exit 90-Day Calendar</t>
  </si>
  <si>
    <t xml:space="preserve">Planning</t>
  </si>
  <si>
    <t xml:space="preserve">Action calendar</t>
  </si>
  <si>
    <t xml:space="preserve">Psychology Self-Assessment</t>
  </si>
  <si>
    <t xml:space="preserve">Personal</t>
  </si>
  <si>
    <t xml:space="preserve">Readiness level</t>
  </si>
  <si>
    <t xml:space="preserve">Absence Test Protocol</t>
  </si>
  <si>
    <t xml:space="preserve">Independence score</t>
  </si>
  <si>
    <t xml:space="preserve">CIM Narrative Scorecard</t>
  </si>
  <si>
    <t xml:space="preserve">Quality score</t>
  </si>
  <si>
    <t xml:space="preserve">Risk Register Builder</t>
  </si>
  <si>
    <t xml:space="preserve">Risk level</t>
  </si>
  <si>
    <t xml:space="preserve">Presentation Scorecard</t>
  </si>
  <si>
    <t xml:space="preserve">Presentation grade</t>
  </si>
  <si>
    <t xml:space="preserve">Purchase Price Allocation</t>
  </si>
  <si>
    <t xml:space="preserve">Goodwill amount</t>
  </si>
  <si>
    <t xml:space="preserve">Letter to Your Company</t>
  </si>
  <si>
    <t xml:space="preserve">Legacy message</t>
  </si>
  <si>
    <t xml:space="preserve">From Exit Ready by Yanni Papoutsi | raisereadybook.com | $9.99</t>
  </si>
  <si>
    <t xml:space="preserve">DEAL STRUCTURE</t>
  </si>
  <si>
    <t xml:space="preserve">Headline Price ($)</t>
  </si>
  <si>
    <t xml:space="preserve">Founder Ownership (%)</t>
  </si>
  <si>
    <t xml:space="preserve">Liquidation Preference ($)</t>
  </si>
  <si>
    <t xml:space="preserve">Escrow Holdback (%)</t>
  </si>
  <si>
    <t xml:space="preserve">Transaction Fees (%)</t>
  </si>
  <si>
    <t xml:space="preserve">TAX ASSUMPTIONS</t>
  </si>
  <si>
    <t xml:space="preserve">Federal Tax Rate (%)</t>
  </si>
  <si>
    <t xml:space="preserve">State Tax Rate (%)</t>
  </si>
  <si>
    <t xml:space="preserve">Advisor Fees ($)</t>
  </si>
  <si>
    <t xml:space="preserve">WATERFALL CALCULATION</t>
  </si>
  <si>
    <t xml:space="preserve">Gross Proceeds</t>
  </si>
  <si>
    <t xml:space="preserve">Escrow Holdback</t>
  </si>
  <si>
    <t xml:space="preserve">Transaction Costs</t>
  </si>
  <si>
    <t xml:space="preserve">After Escrow &amp; Fees</t>
  </si>
  <si>
    <t xml:space="preserve">Advisor Fees</t>
  </si>
  <si>
    <t xml:space="preserve">Pre-Tax Proceeds</t>
  </si>
  <si>
    <t xml:space="preserve">Federal Tax</t>
  </si>
  <si>
    <t xml:space="preserve">State Tax</t>
  </si>
  <si>
    <t xml:space="preserve">NET TAKE-HOME</t>
  </si>
  <si>
    <t xml:space="preserve">REPORTED EBITDA</t>
  </si>
  <si>
    <t xml:space="preserve">Reported EBITDA</t>
  </si>
  <si>
    <t xml:space="preserve">ADDBACKS (Positive)</t>
  </si>
  <si>
    <t xml:space="preserve">Owner Compensation Addback</t>
  </si>
  <si>
    <t xml:space="preserve">One-Time Legal Fees</t>
  </si>
  <si>
    <t xml:space="preserve">Above-Market Rent</t>
  </si>
  <si>
    <t xml:space="preserve">Personal Expenses</t>
  </si>
  <si>
    <t xml:space="preserve">DEDUCTIONS (Negative)</t>
  </si>
  <si>
    <t xml:space="preserve">Non-Recurring Revenue Loss</t>
  </si>
  <si>
    <t xml:space="preserve">Deferred Maintenance</t>
  </si>
  <si>
    <t xml:space="preserve">ADJUSTED EBITDA</t>
  </si>
  <si>
    <t xml:space="preserve">Total Addbacks</t>
  </si>
  <si>
    <t xml:space="preserve">Total Deductions</t>
  </si>
  <si>
    <t xml:space="preserve">INPUTS</t>
  </si>
  <si>
    <t xml:space="preserve">Industry</t>
  </si>
  <si>
    <t xml:space="preserve">SaaS</t>
  </si>
  <si>
    <t xml:space="preserve">Revenue Growth (%)</t>
  </si>
  <si>
    <t xml:space="preserve">Gross Margin (%)</t>
  </si>
  <si>
    <t xml:space="preserve">Customer Concentration (%)</t>
  </si>
  <si>
    <t xml:space="preserve">Recurring Revenue (%)</t>
  </si>
  <si>
    <t xml:space="preserve">MULTIPLE ADJUSTMENTS</t>
  </si>
  <si>
    <t xml:space="preserve">Base Multiple</t>
  </si>
  <si>
    <t xml:space="preserve">Growth Adjustment (+%)</t>
  </si>
  <si>
    <t xml:space="preserve">Margin Adjustment (+%)</t>
  </si>
  <si>
    <t xml:space="preserve">Concentration Adj (-% if &gt;25)</t>
  </si>
  <si>
    <t xml:space="preserve">Recurring Revenue Adj (+%)</t>
  </si>
  <si>
    <t xml:space="preserve">VALUATION</t>
  </si>
  <si>
    <t xml:space="preserve">Final Multiple</t>
  </si>
  <si>
    <t xml:space="preserve">ENTERPRISE VALUE</t>
  </si>
  <si>
    <t xml:space="preserve">ASSUMPTIONS</t>
  </si>
  <si>
    <t xml:space="preserve">Purchase Price</t>
  </si>
  <si>
    <t xml:space="preserve">Asset Basis (Book)</t>
  </si>
  <si>
    <t xml:space="preserve">Stock Basis (Book)</t>
  </si>
  <si>
    <t xml:space="preserve">Ordinary Income Tax Rate (%)</t>
  </si>
  <si>
    <t xml:space="preserve">Long-Term Cap Gains Rate (%)</t>
  </si>
  <si>
    <t xml:space="preserve">Depreciation Recapture Amount</t>
  </si>
  <si>
    <t xml:space="preserve">ASSET SALE ANALYSIS</t>
  </si>
  <si>
    <t xml:space="preserve">Gain on Assets</t>
  </si>
  <si>
    <t xml:space="preserve">Depreciation Recapture Tax</t>
  </si>
  <si>
    <t xml:space="preserve">Capital Gain (Remaining)</t>
  </si>
  <si>
    <t xml:space="preserve">Capital Gains Tax (20%)</t>
  </si>
  <si>
    <t xml:space="preserve">Total Asset Sale Tax</t>
  </si>
  <si>
    <t xml:space="preserve">STOCK SALE ANALYSIS</t>
  </si>
  <si>
    <t xml:space="preserve">Gain on Stock Sale</t>
  </si>
  <si>
    <t xml:space="preserve">Stock Sale Tax (20% LTCG)</t>
  </si>
  <si>
    <t xml:space="preserve">COMPARISON</t>
  </si>
  <si>
    <t xml:space="preserve">Tax Difference (Asset - Stock)</t>
  </si>
  <si>
    <t xml:space="preserve">Better Strategy</t>
  </si>
  <si>
    <t xml:space="preserve">STOCK DETAILS</t>
  </si>
  <si>
    <t xml:space="preserve">Stock Basis</t>
  </si>
  <si>
    <t xml:space="preserve">Sale Price</t>
  </si>
  <si>
    <t xml:space="preserve">Holding Period (years)</t>
  </si>
  <si>
    <t xml:space="preserve">Acquisition Date</t>
  </si>
  <si>
    <t xml:space="preserve">2018-01-01</t>
  </si>
  <si>
    <t xml:space="preserve">QSBS Eligible (1=Yes, 0=No)</t>
  </si>
  <si>
    <t xml:space="preserve">QSBS CALCULATION</t>
  </si>
  <si>
    <t xml:space="preserve">Total Gain</t>
  </si>
  <si>
    <t xml:space="preserve">Exclusion Limit (10x or $10M)</t>
  </si>
  <si>
    <t xml:space="preserve">Excluded Gain</t>
  </si>
  <si>
    <t xml:space="preserve">Taxable Gain</t>
  </si>
  <si>
    <t xml:space="preserve">Tax Savings at 20% LTCG</t>
  </si>
  <si>
    <t xml:space="preserve">NET PROCEEDS (after QSBS)</t>
  </si>
  <si>
    <t xml:space="preserve">DEAL TERMS</t>
  </si>
  <si>
    <t xml:space="preserve">Base Purchase Price ($)</t>
  </si>
  <si>
    <t xml:space="preserve">Earnout Target Revenue ($)</t>
  </si>
  <si>
    <t xml:space="preserve">Earnout Payment if Met ($)</t>
  </si>
  <si>
    <t xml:space="preserve">Probability of Achievement (%)</t>
  </si>
  <si>
    <t xml:space="preserve">Discount Rate (%)</t>
  </si>
  <si>
    <t xml:space="preserve">Earnout Period (years)</t>
  </si>
  <si>
    <t xml:space="preserve">Expected Earnout Value</t>
  </si>
  <si>
    <t xml:space="preserve">PV of Expected Earnout</t>
  </si>
  <si>
    <t xml:space="preserve">Total Expected Deal Value</t>
  </si>
  <si>
    <t xml:space="preserve">FIRST TRANSACTION</t>
  </si>
  <si>
    <t xml:space="preserve">Current Equity Value ($)</t>
  </si>
  <si>
    <t xml:space="preserve">Rollover Percentage (%)</t>
  </si>
  <si>
    <t xml:space="preserve">Exit Multiple on 2nd Sale (x)</t>
  </si>
  <si>
    <t xml:space="preserve">Years to 2nd Exit</t>
  </si>
  <si>
    <t xml:space="preserve">Annual Value Growth (%)</t>
  </si>
  <si>
    <t xml:space="preserve">PROCEEDS AT FIRST CLOSE</t>
  </si>
  <si>
    <t xml:space="preserve">Cash at First Close</t>
  </si>
  <si>
    <t xml:space="preserve">Rollover Amount</t>
  </si>
  <si>
    <t xml:space="preserve">SECOND TRANSACTION (5yr horizon)</t>
  </si>
  <si>
    <t xml:space="preserve">Projected Value at 2nd Exit</t>
  </si>
  <si>
    <t xml:space="preserve">Cash at 2nd Close</t>
  </si>
  <si>
    <t xml:space="preserve">TOTAL PROCEEDS (Both Events)</t>
  </si>
  <si>
    <t xml:space="preserve">ALL-CASH COMPARISON</t>
  </si>
  <si>
    <t xml:space="preserve">All-Cash at First Close</t>
  </si>
  <si>
    <t xml:space="preserve">If Invested at Same Growth</t>
  </si>
  <si>
    <t xml:space="preserve">INCOME STATEMENT</t>
  </si>
  <si>
    <t xml:space="preserve">Total Revenue</t>
  </si>
  <si>
    <t xml:space="preserve">Cost of Goods Sold</t>
  </si>
  <si>
    <t xml:space="preserve">Owner Salary</t>
  </si>
  <si>
    <t xml:space="preserve">Payroll (excl owner)</t>
  </si>
  <si>
    <t xml:space="preserve">Rent Expense</t>
  </si>
  <si>
    <t xml:space="preserve">Marketing Expense</t>
  </si>
  <si>
    <t xml:space="preserve">Insurance</t>
  </si>
  <si>
    <t xml:space="preserve">Other Operating Expenses</t>
  </si>
  <si>
    <t xml:space="preserve">Depreciation</t>
  </si>
  <si>
    <t xml:space="preserve">Interest Expense</t>
  </si>
  <si>
    <t xml:space="preserve">Income Tax</t>
  </si>
  <si>
    <t xml:space="preserve">GROSS PROFIT &amp; OPERATING INCOME</t>
  </si>
  <si>
    <t xml:space="preserve">Gross Profit</t>
  </si>
  <si>
    <t xml:space="preserve">Operating Income (EBIT)</t>
  </si>
  <si>
    <t xml:space="preserve">SDE CALCULATION</t>
  </si>
  <si>
    <t xml:space="preserve">SDE (Owner Sal + EBIT)</t>
  </si>
  <si>
    <t xml:space="preserve">SDE Multiple (2-4x typical)</t>
  </si>
  <si>
    <t xml:space="preserve">SDE Implied Value</t>
  </si>
  <si>
    <t xml:space="preserve">EBITDA CALCULATION</t>
  </si>
  <si>
    <t xml:space="preserve">EBITDA (EBIT + D&amp;A)</t>
  </si>
  <si>
    <t xml:space="preserve">EBITDA Multiple (4-6x typical)</t>
  </si>
  <si>
    <t xml:space="preserve">EBITDA Implied Value</t>
  </si>
  <si>
    <t xml:space="preserve">Difference (EBITDA - SDE)</t>
  </si>
  <si>
    <t xml:space="preserve">RATE EACH DIMENSION (1-5 scale)</t>
  </si>
  <si>
    <t xml:space="preserve">Financial Documentation Quality</t>
  </si>
  <si>
    <t xml:space="preserve">Revenue Quality &amp; Stability</t>
  </si>
  <si>
    <t xml:space="preserve">Customer Diversity</t>
  </si>
  <si>
    <t xml:space="preserve">Team Independence from Founder</t>
  </si>
  <si>
    <t xml:space="preserve">Legal &amp; IP Cleanliness</t>
  </si>
  <si>
    <t xml:space="preserve">Operational Systems Maturity</t>
  </si>
  <si>
    <t xml:space="preserve">Growth Story &amp; Trajectory</t>
  </si>
  <si>
    <t xml:space="preserve">SCORECARD RESULTS</t>
  </si>
  <si>
    <t xml:space="preserve">Total Score (/35)</t>
  </si>
  <si>
    <t xml:space="preserve">Percentage Ready (%)</t>
  </si>
  <si>
    <t xml:space="preserve">Readiness Verdict</t>
  </si>
  <si>
    <t xml:space="preserve">RATE EACH FUNCTION (1-5 scale: 1=high risk, 5=independent)</t>
  </si>
  <si>
    <t xml:space="preserve">Sales &amp; New Business Development</t>
  </si>
  <si>
    <t xml:space="preserve">Client Relationships</t>
  </si>
  <si>
    <t xml:space="preserve">Strategic Decision Making</t>
  </si>
  <si>
    <t xml:space="preserve">Product/Technology Development</t>
  </si>
  <si>
    <t xml:space="preserve">Hiring &amp; Talent Development</t>
  </si>
  <si>
    <t xml:space="preserve">Financial Management</t>
  </si>
  <si>
    <t xml:space="preserve">Daily Operations</t>
  </si>
  <si>
    <t xml:space="preserve">Marketing &amp; Brand</t>
  </si>
  <si>
    <t xml:space="preserve">Partnerships &amp; Alliances</t>
  </si>
  <si>
    <t xml:space="preserve">Company Culture &amp; Values</t>
  </si>
  <si>
    <t xml:space="preserve">DEPENDENCE ANALYSIS</t>
  </si>
  <si>
    <t xml:space="preserve">Total Independence Score (/50)</t>
  </si>
  <si>
    <t xml:space="preserve">Dependence Level</t>
  </si>
  <si>
    <t xml:space="preserve">TOP CUSTOMERS</t>
  </si>
  <si>
    <t xml:space="preserve">Top Customer 1 Revenue</t>
  </si>
  <si>
    <t xml:space="preserve">Top Customer 2 Revenue</t>
  </si>
  <si>
    <t xml:space="preserve">Top Customer 3 Revenue</t>
  </si>
  <si>
    <t xml:space="preserve">Top Customer 4 Revenue</t>
  </si>
  <si>
    <t xml:space="preserve">Top Customer 5 Revenue</t>
  </si>
  <si>
    <t xml:space="preserve">Total Annual Revenue</t>
  </si>
  <si>
    <t xml:space="preserve">CONCENTRATION ANALYSIS</t>
  </si>
  <si>
    <t xml:space="preserve">HHI Index (sum of shares squared)</t>
  </si>
  <si>
    <t xml:space="preserve">Top Customer % of Revenue</t>
  </si>
  <si>
    <t xml:space="preserve">Concentration Risk Level</t>
  </si>
  <si>
    <t xml:space="preserve">DOCUMENT CATEGORIES (1=Ready, 0=Not Ready)</t>
  </si>
  <si>
    <t xml:space="preserve">Articles of Incorporation</t>
  </si>
  <si>
    <t xml:space="preserve">Operating Agreement</t>
  </si>
  <si>
    <t xml:space="preserve">Cap Table (fully diluted)</t>
  </si>
  <si>
    <t xml:space="preserve">Financial Statements (3 years)</t>
  </si>
  <si>
    <t xml:space="preserve">Tax Returns (3 years)</t>
  </si>
  <si>
    <t xml:space="preserve">Customer Contracts</t>
  </si>
  <si>
    <t xml:space="preserve">Employee Agreements</t>
  </si>
  <si>
    <t xml:space="preserve">IP Assignments</t>
  </si>
  <si>
    <t xml:space="preserve">Insurance Policies</t>
  </si>
  <si>
    <t xml:space="preserve">Lease Agreements</t>
  </si>
  <si>
    <t xml:space="preserve">Permits &amp; Licenses</t>
  </si>
  <si>
    <t xml:space="preserve">Litigation History</t>
  </si>
  <si>
    <t xml:space="preserve">Org Chart</t>
  </si>
  <si>
    <t xml:space="preserve">Employee Handbook</t>
  </si>
  <si>
    <t xml:space="preserve">Benefit Plans</t>
  </si>
  <si>
    <t xml:space="preserve">Bank Statements (12mo)</t>
  </si>
  <si>
    <t xml:space="preserve">AR/AP Aging</t>
  </si>
  <si>
    <t xml:space="preserve">Revenue by Customer</t>
  </si>
  <si>
    <t xml:space="preserve">Budget/Forecast</t>
  </si>
  <si>
    <t xml:space="preserve">Asset Register</t>
  </si>
  <si>
    <t xml:space="preserve">COMPLETION STATUS</t>
  </si>
  <si>
    <t xml:space="preserve">Documents Ready</t>
  </si>
  <si>
    <t xml:space="preserve">Total Required</t>
  </si>
  <si>
    <t xml:space="preserve">Data Room Status</t>
  </si>
  <si>
    <t xml:space="preserve">Should I Sell? Decision Framework</t>
  </si>
  <si>
    <t xml:space="preserve">RATE EACH FACTOR (1-5 scale)</t>
  </si>
  <si>
    <t xml:space="preserve">Market Timing (1=terrible, 5=excellent)</t>
  </si>
  <si>
    <t xml:space="preserve">Personal Readiness (1=no, 5=yes)</t>
  </si>
  <si>
    <t xml:space="preserve">Business Performance (1=declining, 5=soaring)</t>
  </si>
  <si>
    <t xml:space="preserve">Succession Plan Quality (1=none, 5=ready)</t>
  </si>
  <si>
    <t xml:space="preserve">Financial Need (1=desperate, 5=not needed)</t>
  </si>
  <si>
    <t xml:space="preserve">Burnout Level (1=fresh, 5=exhausted)</t>
  </si>
  <si>
    <t xml:space="preserve">External Offer Quality (1=lowball, 5=excellent)</t>
  </si>
  <si>
    <t xml:space="preserve">Strategic Alternatives (1=none, 5=many options)</t>
  </si>
  <si>
    <t xml:space="preserve">DECISION ANALYSIS</t>
  </si>
  <si>
    <t xml:space="preserve">Total Score (/40)</t>
  </si>
  <si>
    <t xml:space="preserve">Recommendation</t>
  </si>
  <si>
    <t xml:space="preserve">TIMELINE INPUTS</t>
  </si>
  <si>
    <t xml:space="preserve">Target Exit (months from now)</t>
  </si>
  <si>
    <t xml:space="preserve">Current Readiness Score (/35)</t>
  </si>
  <si>
    <t xml:space="preserve">Monthly Improvement Rate (%)</t>
  </si>
  <si>
    <t xml:space="preserve">TIMELINE ANALYSIS</t>
  </si>
  <si>
    <t xml:space="preserve">Months to 100% Ready (estimated)</t>
  </si>
  <si>
    <t xml:space="preserve">Recommended Start Date (months from now)</t>
  </si>
  <si>
    <t xml:space="preserve">KEY MILESTONES</t>
  </si>
  <si>
    <t xml:space="preserve">Milestone at 18 months: Legal/IP audit complete</t>
  </si>
  <si>
    <t xml:space="preserve">Milestone at 12 months: Data room 80% ready</t>
  </si>
  <si>
    <t xml:space="preserve">Milestone at 6 months: Ready for LOI discussions</t>
  </si>
  <si>
    <t xml:space="preserve">Milestone at 3 months: Final preparations</t>
  </si>
  <si>
    <t xml:space="preserve">Milestone at 1 month: Close imminent</t>
  </si>
  <si>
    <t xml:space="preserve">WORKING CAPITAL ASSUMPTIONS</t>
  </si>
  <si>
    <t xml:space="preserve">Trailing 12mo Avg WC</t>
  </si>
  <si>
    <t xml:space="preserve">Target WC (agreed in LOI)</t>
  </si>
  <si>
    <t xml:space="preserve">Actual WC at Close</t>
  </si>
  <si>
    <t xml:space="preserve">ADJUSTMENT CALCULATION</t>
  </si>
  <si>
    <t xml:space="preserve">Working Capital Adjustment</t>
  </si>
  <si>
    <t xml:space="preserve">Direction</t>
  </si>
  <si>
    <t xml:space="preserve">Net Impact on Proceeds</t>
  </si>
  <si>
    <t xml:space="preserve">OFFER 1: STRATEGIC BUYER</t>
  </si>
  <si>
    <t xml:space="preserve">Offer Name</t>
  </si>
  <si>
    <t xml:space="preserve">Strategic Buyer</t>
  </si>
  <si>
    <t xml:space="preserve">Enterprise Value</t>
  </si>
  <si>
    <t xml:space="preserve">Cash at Close (%)</t>
  </si>
  <si>
    <t xml:space="preserve">Earnout (%)</t>
  </si>
  <si>
    <t xml:space="preserve">Rollover (%)</t>
  </si>
  <si>
    <t xml:space="preserve">Escrow (%)</t>
  </si>
  <si>
    <t xml:space="preserve">Working Capital Adj ($)</t>
  </si>
  <si>
    <t xml:space="preserve">OFFER 2: PRIVATE EQUITY</t>
  </si>
  <si>
    <t xml:space="preserve">PE Firm A</t>
  </si>
  <si>
    <t xml:space="preserve">OFFER 3: INDEPENDENT BUYER</t>
  </si>
  <si>
    <t xml:space="preserve">Industry Buyer</t>
  </si>
  <si>
    <t xml:space="preserve">Metric</t>
  </si>
  <si>
    <t xml:space="preserve">Strategic</t>
  </si>
  <si>
    <t xml:space="preserve">PE Firm</t>
  </si>
  <si>
    <t xml:space="preserve">Cash at Close ($)</t>
  </si>
  <si>
    <t xml:space="preserve">Expected Earnout (50% prob) ($)</t>
  </si>
  <si>
    <t xml:space="preserve">Total Expected Value ($)</t>
  </si>
  <si>
    <t xml:space="preserve">TRANSACTION &amp; FEE INPUTS</t>
  </si>
  <si>
    <t xml:space="preserve">Transaction Value</t>
  </si>
  <si>
    <t xml:space="preserve">Retainer Fee</t>
  </si>
  <si>
    <t xml:space="preserve">Success Fee %</t>
  </si>
  <si>
    <t xml:space="preserve">Minimum Fee</t>
  </si>
  <si>
    <t xml:space="preserve">LEHMAN SCHEDULE (traditional)</t>
  </si>
  <si>
    <t xml:space="preserve">First $1M @ 5%</t>
  </si>
  <si>
    <t xml:space="preserve">Next $1M @ 4%</t>
  </si>
  <si>
    <t xml:space="preserve">Next $1M @ 3%</t>
  </si>
  <si>
    <t xml:space="preserve">Next $2M @ 2%</t>
  </si>
  <si>
    <t xml:space="preserve">Remainder @ 1%</t>
  </si>
  <si>
    <t xml:space="preserve">Total Lehman Fee</t>
  </si>
  <si>
    <t xml:space="preserve">ALTERNATIVE: FLAT % OR RETAINER + SUCCESS</t>
  </si>
  <si>
    <t xml:space="preserve">Flat % Fee (2% example)</t>
  </si>
  <si>
    <t xml:space="preserve">Retainer + Success</t>
  </si>
  <si>
    <t xml:space="preserve">Better Option</t>
  </si>
  <si>
    <t xml:space="preserve">NET PROCEEDS AFTER FEES</t>
  </si>
  <si>
    <t xml:space="preserve">After Lehman</t>
  </si>
  <si>
    <t xml:space="preserve">After Flat %</t>
  </si>
  <si>
    <t xml:space="preserve">After Retainer + Success</t>
  </si>
  <si>
    <t xml:space="preserve">SALE ASSUMPTIONS</t>
  </si>
  <si>
    <t xml:space="preserve">Basis</t>
  </si>
  <si>
    <t xml:space="preserve">Down Payment %</t>
  </si>
  <si>
    <t xml:space="preserve">Installment Period (years)</t>
  </si>
  <si>
    <t xml:space="preserve">Interest Rate %</t>
  </si>
  <si>
    <t xml:space="preserve">LTCG Tax Rate %</t>
  </si>
  <si>
    <t xml:space="preserve">GAIN &amp; TAX CALCULATION</t>
  </si>
  <si>
    <t xml:space="preserve">Gain as % of Sale Price</t>
  </si>
  <si>
    <t xml:space="preserve">Annual Installment Payment</t>
  </si>
  <si>
    <t xml:space="preserve">Annual Tax (on gain received)</t>
  </si>
  <si>
    <t xml:space="preserve">TAX DEFERRAL BENEFIT</t>
  </si>
  <si>
    <t xml:space="preserve">Total Tax Over Period (spread)</t>
  </si>
  <si>
    <t xml:space="preserve">Lump Sum Tax (if paid at close)</t>
  </si>
  <si>
    <t xml:space="preserve">Deferral Tax Benefit (PV)</t>
  </si>
  <si>
    <t xml:space="preserve">INVESTMENT ASSUMPTIONS</t>
  </si>
  <si>
    <t xml:space="preserve">Capital Gain to Invest</t>
  </si>
  <si>
    <t xml:space="preserve">Investment Period (years)</t>
  </si>
  <si>
    <t xml:space="preserve">Expected Annual Return %</t>
  </si>
  <si>
    <t xml:space="preserve">OPPORTUNITY ZONE BENEFIT</t>
  </si>
  <si>
    <t xml:space="preserve">Projected OZ Value (10 yrs)</t>
  </si>
  <si>
    <t xml:space="preserve">Appreciation in OZ</t>
  </si>
  <si>
    <t xml:space="preserve">Tax on OZ Appreciation (deferred 10yrs)</t>
  </si>
  <si>
    <t xml:space="preserve">Net After OZ Tax</t>
  </si>
  <si>
    <t xml:space="preserve">STANDARD INVESTMENT (no OZ benefit)</t>
  </si>
  <si>
    <t xml:space="preserve">Projected Standard Value (10 yrs)</t>
  </si>
  <si>
    <t xml:space="preserve">Tax on Appreciation (immediate)</t>
  </si>
  <si>
    <t xml:space="preserve">Net After Tax</t>
  </si>
  <si>
    <t xml:space="preserve">BENEFIT ANALYSIS</t>
  </si>
  <si>
    <t xml:space="preserve">OZ NET BENEFIT</t>
  </si>
  <si>
    <t xml:space="preserve">TRANSACTION DETAILS</t>
  </si>
  <si>
    <t xml:space="preserve">US Tax Rate %</t>
  </si>
  <si>
    <t xml:space="preserve">Foreign Tax Rate %</t>
  </si>
  <si>
    <t xml:space="preserve">Treaty Relief %</t>
  </si>
  <si>
    <t xml:space="preserve">TAX CALCULATION</t>
  </si>
  <si>
    <t xml:space="preserve">Capital Gain</t>
  </si>
  <si>
    <t xml:space="preserve">US Tax (on gain)</t>
  </si>
  <si>
    <t xml:space="preserve">Foreign Tax (on gain)</t>
  </si>
  <si>
    <t xml:space="preserve">Treaty Relief Credit</t>
  </si>
  <si>
    <t xml:space="preserve">Net Foreign Tax</t>
  </si>
  <si>
    <t xml:space="preserve">Total Tax Liability</t>
  </si>
  <si>
    <t xml:space="preserve">Effective Combined Rate %</t>
  </si>
  <si>
    <t xml:space="preserve">PORTFOLIO ASSUMPTIONS</t>
  </si>
  <si>
    <t xml:space="preserve">Net Exit Proceeds</t>
  </si>
  <si>
    <t xml:space="preserve">Inflation Rate %</t>
  </si>
  <si>
    <t xml:space="preserve">Target Legacy/Bequest</t>
  </si>
  <si>
    <t xml:space="preserve">Years of Spending (planning horizon)</t>
  </si>
  <si>
    <t xml:space="preserve">SUSTAINABLE SPENDING</t>
  </si>
  <si>
    <t xml:space="preserve">Safe Annual Spending (4% rule)</t>
  </si>
  <si>
    <t xml:space="preserve">Safe Monthly Spending</t>
  </si>
  <si>
    <t xml:space="preserve">Spending as % of Portfolio</t>
  </si>
  <si>
    <t xml:space="preserve">INFLATION-ADJUSTED ANALYSIS</t>
  </si>
  <si>
    <t xml:space="preserve">Real Return % (nominal minus inflation)</t>
  </si>
  <si>
    <t xml:space="preserve">Year 10 Spending (inflation-adjusted)</t>
  </si>
  <si>
    <t xml:space="preserve">Portfolio value year 10 (est.)</t>
  </si>
  <si>
    <t xml:space="preserve">Portfolio Value</t>
  </si>
  <si>
    <t xml:space="preserve">Annual AUM Fee %</t>
  </si>
  <si>
    <t xml:space="preserve">Expected Return % (no fees)</t>
  </si>
  <si>
    <t xml:space="preserve">Time Horizon (years)</t>
  </si>
  <si>
    <t xml:space="preserve">PORTFOLIO PROJECTION</t>
  </si>
  <si>
    <t xml:space="preserve">Portfolio Value (no fees)</t>
  </si>
  <si>
    <t xml:space="preserve">Net Return % (after AUM fee)</t>
  </si>
  <si>
    <t xml:space="preserve">Portfolio Value (with AUM fees)</t>
  </si>
  <si>
    <t xml:space="preserve">Fee Drag ($)</t>
  </si>
  <si>
    <t xml:space="preserve">Percentage of Gains Lost to Fees %</t>
  </si>
  <si>
    <t xml:space="preserve">WEEK-BY-WEEK ACTION PLAN</t>
  </si>
  <si>
    <t xml:space="preserve">Week 1</t>
  </si>
  <si>
    <t xml:space="preserve">Celebrate! Handle wire transfer &amp; escrow paperwork, meet with tax advisor, pause operations</t>
  </si>
  <si>
    <t xml:space="preserve">Week 2</t>
  </si>
  <si>
    <t xml:space="preserve">Notify key stakeholders (team, customers), begin transition planning, address immediate obligations</t>
  </si>
  <si>
    <t xml:space="preserve">Week 3</t>
  </si>
  <si>
    <t xml:space="preserve">Start psychological decompression, meet with wealth advisor, review financial plan</t>
  </si>
  <si>
    <t xml:space="preserve">Week 4</t>
  </si>
  <si>
    <t xml:space="preserve">Process first month post-close, handle any Day 1 issues from buyer, clear mental space</t>
  </si>
  <si>
    <t xml:space="preserve">Week 5-8</t>
  </si>
  <si>
    <t xml:space="preserve">Non-compete transition period begins, update personal goals, begin exploring next chapter</t>
  </si>
  <si>
    <t xml:space="preserve">Week 9-12</t>
  </si>
  <si>
    <t xml:space="preserve">Complete transition responsibilities, establish new routine, invest in relationships &amp; health</t>
  </si>
  <si>
    <t xml:space="preserve">EMOTIONAL READINESS (1-5 scale)</t>
  </si>
  <si>
    <t xml:space="preserve">Identity Beyond Business (not just CEO)</t>
  </si>
  <si>
    <t xml:space="preserve">Purpose &amp; Life Direction Clarity</t>
  </si>
  <si>
    <t xml:space="preserve">Relationship Health (family/friends)</t>
  </si>
  <si>
    <t xml:space="preserve">Financial Security Feeling</t>
  </si>
  <si>
    <t xml:space="preserve">Health &amp; Wellness Status</t>
  </si>
  <si>
    <t xml:space="preserve">New Project/Interest Ideas</t>
  </si>
  <si>
    <t xml:space="preserve">Grief Processing Readiness</t>
  </si>
  <si>
    <t xml:space="preserve">Support Network Strength</t>
  </si>
  <si>
    <t xml:space="preserve">READINESS ASSESSMENT</t>
  </si>
  <si>
    <t xml:space="preserve">Readiness Level</t>
  </si>
  <si>
    <t xml:space="preserve">Note</t>
  </si>
  <si>
    <t xml:space="preserve">BUSINESS INDEPENDENCE (1-5 scale: 1=fails without me, 5=thrives without me)</t>
  </si>
  <si>
    <t xml:space="preserve">Sales Pipeline Continues</t>
  </si>
  <si>
    <t xml:space="preserve">Service Delivery Maintained</t>
  </si>
  <si>
    <t xml:space="preserve">Financial Management Functions</t>
  </si>
  <si>
    <t xml:space="preserve">Team Management &amp; Development</t>
  </si>
  <si>
    <t xml:space="preserve">Client Communication Flows</t>
  </si>
  <si>
    <t xml:space="preserve">Strategic Decisions Made</t>
  </si>
  <si>
    <t xml:space="preserve">INDEPENDENCE ANALYSIS</t>
  </si>
  <si>
    <t xml:space="preserve">Independence Score (/30)</t>
  </si>
  <si>
    <t xml:space="preserve">Can business run 2 weeks without you?</t>
  </si>
  <si>
    <t xml:space="preserve">CRITICAL GAPS</t>
  </si>
  <si>
    <t xml:space="preserve">Critical Functions (score &lt;=2)</t>
  </si>
  <si>
    <t xml:space="preserve">RATE EACH SECTION (1-5 scale)</t>
  </si>
  <si>
    <t xml:space="preserve">Executive Summary (compelling hook)</t>
  </si>
  <si>
    <t xml:space="preserve">Company Overview (clear story)</t>
  </si>
  <si>
    <t xml:space="preserve">Market Analysis (opportunity size)</t>
  </si>
  <si>
    <t xml:space="preserve">Financial Summary (transparent)</t>
  </si>
  <si>
    <t xml:space="preserve">Growth Opportunities (future potential)</t>
  </si>
  <si>
    <t xml:space="preserve">Customer Analysis (who/why)</t>
  </si>
  <si>
    <t xml:space="preserve">Operations (how it works)</t>
  </si>
  <si>
    <t xml:space="preserve">Management Team (depth/credibility)</t>
  </si>
  <si>
    <t xml:space="preserve">Risk Factors (honest disclosure)</t>
  </si>
  <si>
    <t xml:space="preserve">Investment Highlights (key takeaways)</t>
  </si>
  <si>
    <t xml:space="preserve">NARRATIVE QUALITY</t>
  </si>
  <si>
    <t xml:space="preserve">Total Score (/50)</t>
  </si>
  <si>
    <t xml:space="preserve">Quality Percentage %</t>
  </si>
  <si>
    <t xml:space="preserve">Narrative Grade</t>
  </si>
  <si>
    <t xml:space="preserve">Weakest Section</t>
  </si>
  <si>
    <t xml:space="preserve">RISK ASSESSMENT (Likelihood 1-5, Impact 1-5)</t>
  </si>
  <si>
    <t xml:space="preserve">Risk Category</t>
  </si>
  <si>
    <t xml:space="preserve">Likelihood (1-5)</t>
  </si>
  <si>
    <t xml:space="preserve">Impact (1-5)</t>
  </si>
  <si>
    <t xml:space="preserve">Risk Score</t>
  </si>
  <si>
    <t xml:space="preserve">Key Person</t>
  </si>
  <si>
    <t xml:space="preserve">Regulatory</t>
  </si>
  <si>
    <t xml:space="preserve">Technology</t>
  </si>
  <si>
    <t xml:space="preserve">Market</t>
  </si>
  <si>
    <t xml:space="preserve">Legal</t>
  </si>
  <si>
    <t xml:space="preserve">Financial</t>
  </si>
  <si>
    <t xml:space="preserve">Operational</t>
  </si>
  <si>
    <t xml:space="preserve">RISK SUMMARY</t>
  </si>
  <si>
    <t xml:space="preserve">Total Risk Score</t>
  </si>
  <si>
    <t xml:space="preserve">Highest Risk Score</t>
  </si>
  <si>
    <t xml:space="preserve">Risk Level</t>
  </si>
  <si>
    <t xml:space="preserve">Opening Hook (grabs attention)</t>
  </si>
  <si>
    <t xml:space="preserve">Problem/Opportunity (clearly defined)</t>
  </si>
  <si>
    <t xml:space="preserve">Financial Story (compelling)</t>
  </si>
  <si>
    <t xml:space="preserve">Growth Narrative (credible)</t>
  </si>
  <si>
    <t xml:space="preserve">Team Strength (depth/credibility)</t>
  </si>
  <si>
    <t xml:space="preserve">Competitive Moat (defensible)</t>
  </si>
  <si>
    <t xml:space="preserve">Deal Structure (clear terms)</t>
  </si>
  <si>
    <t xml:space="preserve">Q&amp;A Readiness (anticipates questions)</t>
  </si>
  <si>
    <t xml:space="preserve">Visual Quality (professional design)</t>
  </si>
  <si>
    <t xml:space="preserve">Closing/CTA (strong ending)</t>
  </si>
  <si>
    <t xml:space="preserve">PRESENTATION QUALITY</t>
  </si>
  <si>
    <t xml:space="preserve">Presentation Grade</t>
  </si>
  <si>
    <t xml:space="preserve">ASSET ALLOCATION</t>
  </si>
  <si>
    <t xml:space="preserve">Total Purchase Price</t>
  </si>
  <si>
    <t xml:space="preserve">Tangible Assets FMV</t>
  </si>
  <si>
    <t xml:space="preserve">Identified Intangibles</t>
  </si>
  <si>
    <t xml:space="preserve">Non-Compete Value</t>
  </si>
  <si>
    <t xml:space="preserve">Consulting Agreement Value</t>
  </si>
  <si>
    <t xml:space="preserve">GOODWILL &amp; ALLOCATION</t>
  </si>
  <si>
    <t xml:space="preserve">Total Allocated to Assets</t>
  </si>
  <si>
    <t xml:space="preserve">Residual Goodwill</t>
  </si>
  <si>
    <t xml:space="preserve">ALLOCATION TABLE WITH TAX TREATMENT</t>
  </si>
  <si>
    <t xml:space="preserve">Asset Class</t>
  </si>
  <si>
    <t xml:space="preserve">Allocation ($)</t>
  </si>
  <si>
    <t xml:space="preserve">% of Total</t>
  </si>
  <si>
    <t xml:space="preserve">Tax Treatment</t>
  </si>
  <si>
    <t xml:space="preserve">Tangible Assets</t>
  </si>
  <si>
    <t xml:space="preserve">Depreciate, Section 1245</t>
  </si>
  <si>
    <t xml:space="preserve">Amortize over 180mo (IRC 197)</t>
  </si>
  <si>
    <t xml:space="preserve">Non-Compete</t>
  </si>
  <si>
    <t xml:space="preserve">Amortize over agreement term</t>
  </si>
  <si>
    <t xml:space="preserve">Consulting Agreement</t>
  </si>
  <si>
    <t xml:space="preserve">Service income, ordinary rate</t>
  </si>
  <si>
    <t xml:space="preserve">Goodwill (Residual)</t>
  </si>
  <si>
    <t xml:space="preserve">Not deductible pre-2017, TCJA</t>
  </si>
  <si>
    <t xml:space="preserve">LETTER TEMPLATE &amp; INPUTS</t>
  </si>
  <si>
    <t xml:space="preserve">Company Name</t>
  </si>
  <si>
    <t xml:space="preserve">ABC Company</t>
  </si>
  <si>
    <t xml:space="preserve">Years Led Company</t>
  </si>
  <si>
    <t xml:space="preserve">KEY ACHIEVEMENTS (fill in)</t>
  </si>
  <si>
    <t xml:space="preserve">Key Achievement #1</t>
  </si>
  <si>
    <t xml:space="preserve">Achievement here</t>
  </si>
  <si>
    <t xml:space="preserve">Key Achievement #2</t>
  </si>
  <si>
    <t xml:space="preserve">Key Achievement #3</t>
  </si>
  <si>
    <t xml:space="preserve">CORE MESSAGE</t>
  </si>
  <si>
    <t xml:space="preserve">Core Value/Belief</t>
  </si>
  <si>
    <t xml:space="preserve">State your core principle</t>
  </si>
  <si>
    <t xml:space="preserve">Final Message</t>
  </si>
  <si>
    <t xml:space="preserve">Your parting words</t>
  </si>
  <si>
    <t xml:space="preserve">LETTER OUTLINE &amp; GUIDANCE</t>
  </si>
  <si>
    <t xml:space="preserve">OPENING: Address your team warmly</t>
  </si>
  <si>
    <t xml:space="preserve">GRATITUDE: Thank them for their contributions</t>
  </si>
  <si>
    <t xml:space="preserve">REFLECTION: Share what you learned together</t>
  </si>
  <si>
    <t xml:space="preserve">IMPACT: Highlight what you built together</t>
  </si>
  <si>
    <t xml:space="preserve">TRANSITION: Explain the next chapter</t>
  </si>
  <si>
    <t xml:space="preserve">VALUES: Reinforce company culture</t>
  </si>
  <si>
    <t xml:space="preserve">ENCOURAGEMENT: Inspire them forward</t>
  </si>
  <si>
    <t xml:space="preserve">CLOSING: Warm, personal sign-off</t>
  </si>
  <si>
    <t xml:space="preserve">Pro tip: This letter will be read for years. Make it thoughtful and personal.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</si>
</sst>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8080D"/>
      <name val="Arial"/>
      <family val="0"/>
      <charset val="1"/>
    </font>
    <font>
      <b val="true"/>
      <sz val="12"/>
      <color rgb="FFC8A45A"/>
      <name val="Arial"/>
      <family val="0"/>
      <charset val="1"/>
    </font>
    <font>
      <sz val="10"/>
      <color rgb="FF6E6A6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E6A6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8080D"/>
      <name val="Arial"/>
      <family val="0"/>
      <charset val="1"/>
    </font>
    <font>
      <b val="true"/>
      <sz val="14"/>
      <color rgb="FF08080D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8080D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BF5E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8A45A"/>
      </bottom>
      <diagonal/>
    </border>
    <border diagonalUp="false" diagonalDown="false">
      <left style="thin">
        <color rgb="FFC8A45A"/>
      </left>
      <right style="thin">
        <color rgb="FFC8A45A"/>
      </right>
      <top style="thin">
        <color rgb="FFC8A45A"/>
      </top>
      <bottom style="thin">
        <color rgb="FFC8A45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5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A61"/>
      <rgbColor rgb="FFC8A45A"/>
      <rgbColor rgb="FF003366"/>
      <rgbColor rgb="FF339966"/>
      <rgbColor rgb="FF0808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6" customFormat="false" ht="15" hidden="false" customHeight="true" outlineLevel="0" collapsed="false">
      <c r="A6" s="4" t="s">
        <v>3</v>
      </c>
    </row>
    <row r="7" customFormat="false" ht="34.5" hidden="false" customHeight="true" outlineLevel="0" collapsed="false">
      <c r="A7" s="4" t="s">
        <v>4</v>
      </c>
    </row>
    <row r="8" customFormat="false" ht="23.25" hidden="false" customHeight="true" outlineLevel="0" collapsed="false">
      <c r="A8" s="4" t="s">
        <v>5</v>
      </c>
    </row>
    <row r="9" customFormat="false" ht="34.5" hidden="false" customHeight="true" outlineLevel="0" collapsed="false">
      <c r="A9" s="4" t="s">
        <v>6</v>
      </c>
    </row>
    <row r="10" customFormat="false" ht="34.5" hidden="false" customHeight="true" outlineLevel="0" collapsed="false">
      <c r="A10" s="4" t="s">
        <v>7</v>
      </c>
    </row>
    <row r="11" customFormat="false" ht="23.25" hidden="false" customHeight="true" outlineLevel="0" collapsed="false">
      <c r="A11" s="4" t="s">
        <v>8</v>
      </c>
    </row>
    <row r="12" customFormat="false" ht="23.25" hidden="false" customHeight="true" outlineLevel="0" collapsed="false">
      <c r="A12" s="4" t="s">
        <v>9</v>
      </c>
    </row>
    <row r="13" customFormat="false" ht="23.25" hidden="false" customHeight="true" outlineLevel="0" collapsed="false">
      <c r="A13" s="4" t="s">
        <v>10</v>
      </c>
    </row>
    <row r="14" customFormat="false" ht="23.25" hidden="false" customHeight="true" outlineLevel="0" collapsed="false">
      <c r="A14" s="4" t="s">
        <v>11</v>
      </c>
    </row>
    <row r="15" customFormat="false" ht="23.25" hidden="false" customHeight="true" outlineLevel="0" collapsed="false">
      <c r="A15" s="4" t="s">
        <v>12</v>
      </c>
    </row>
    <row r="16" customFormat="false" ht="23.25" hidden="false" customHeight="true" outlineLevel="0" collapsed="false">
      <c r="A16" s="4" t="s">
        <v>13</v>
      </c>
    </row>
    <row r="19" customFormat="false" ht="15" hidden="false" customHeight="true" outlineLevel="0" collapsed="false">
      <c r="A19" s="5" t="s">
        <v>14</v>
      </c>
    </row>
    <row r="20" customFormat="false" ht="15" hidden="false" customHeight="true" outlineLevel="0" collapsed="false">
      <c r="A20" s="6" t="s">
        <v>15</v>
      </c>
      <c r="B20" s="6" t="s">
        <v>16</v>
      </c>
      <c r="C20" s="6" t="s">
        <v>17</v>
      </c>
      <c r="D20" s="6" t="s">
        <v>18</v>
      </c>
    </row>
    <row r="21" customFormat="false" ht="15" hidden="false" customHeight="true" outlineLevel="0" collapsed="false">
      <c r="A21" s="7" t="n">
        <v>1</v>
      </c>
      <c r="B21" s="7" t="s">
        <v>19</v>
      </c>
      <c r="C21" s="7" t="s">
        <v>20</v>
      </c>
      <c r="D21" s="7" t="s">
        <v>21</v>
      </c>
    </row>
    <row r="22" customFormat="false" ht="15" hidden="false" customHeight="true" outlineLevel="0" collapsed="false">
      <c r="A22" s="7" t="n">
        <v>2</v>
      </c>
      <c r="B22" s="7" t="s">
        <v>22</v>
      </c>
      <c r="C22" s="7" t="s">
        <v>20</v>
      </c>
      <c r="D22" s="7" t="s">
        <v>23</v>
      </c>
    </row>
    <row r="23" customFormat="false" ht="15" hidden="false" customHeight="true" outlineLevel="0" collapsed="false">
      <c r="A23" s="7" t="n">
        <v>3</v>
      </c>
      <c r="B23" s="7" t="s">
        <v>24</v>
      </c>
      <c r="C23" s="7" t="s">
        <v>20</v>
      </c>
      <c r="D23" s="7" t="s">
        <v>25</v>
      </c>
    </row>
    <row r="24" customFormat="false" ht="15" hidden="false" customHeight="true" outlineLevel="0" collapsed="false">
      <c r="A24" s="7" t="n">
        <v>4</v>
      </c>
      <c r="B24" s="7" t="s">
        <v>26</v>
      </c>
      <c r="C24" s="7" t="s">
        <v>27</v>
      </c>
      <c r="D24" s="7" t="s">
        <v>28</v>
      </c>
    </row>
    <row r="25" customFormat="false" ht="15" hidden="false" customHeight="true" outlineLevel="0" collapsed="false">
      <c r="A25" s="7" t="n">
        <v>5</v>
      </c>
      <c r="B25" s="7" t="s">
        <v>29</v>
      </c>
      <c r="C25" s="7" t="s">
        <v>27</v>
      </c>
      <c r="D25" s="7" t="s">
        <v>30</v>
      </c>
    </row>
    <row r="26" customFormat="false" ht="15" hidden="false" customHeight="true" outlineLevel="0" collapsed="false">
      <c r="A26" s="7" t="n">
        <v>6</v>
      </c>
      <c r="B26" s="7" t="s">
        <v>31</v>
      </c>
      <c r="C26" s="7" t="s">
        <v>32</v>
      </c>
      <c r="D26" s="7" t="s">
        <v>33</v>
      </c>
    </row>
    <row r="27" customFormat="false" ht="15" hidden="false" customHeight="true" outlineLevel="0" collapsed="false">
      <c r="A27" s="7" t="n">
        <v>7</v>
      </c>
      <c r="B27" s="7" t="s">
        <v>34</v>
      </c>
      <c r="C27" s="7" t="s">
        <v>32</v>
      </c>
      <c r="D27" s="7" t="s">
        <v>35</v>
      </c>
    </row>
    <row r="28" customFormat="false" ht="15" hidden="false" customHeight="true" outlineLevel="0" collapsed="false">
      <c r="A28" s="7" t="n">
        <v>8</v>
      </c>
      <c r="B28" s="7" t="s">
        <v>36</v>
      </c>
      <c r="C28" s="7" t="s">
        <v>20</v>
      </c>
      <c r="D28" s="7" t="s">
        <v>37</v>
      </c>
    </row>
    <row r="29" customFormat="false" ht="15" hidden="false" customHeight="true" outlineLevel="0" collapsed="false">
      <c r="A29" s="7" t="n">
        <v>9</v>
      </c>
      <c r="B29" s="7" t="s">
        <v>38</v>
      </c>
      <c r="C29" s="7" t="s">
        <v>39</v>
      </c>
      <c r="D29" s="7" t="s">
        <v>40</v>
      </c>
    </row>
    <row r="30" customFormat="false" ht="15" hidden="false" customHeight="true" outlineLevel="0" collapsed="false">
      <c r="A30" s="7" t="n">
        <v>10</v>
      </c>
      <c r="B30" s="7" t="s">
        <v>41</v>
      </c>
      <c r="C30" s="7" t="s">
        <v>39</v>
      </c>
      <c r="D30" s="7" t="s">
        <v>42</v>
      </c>
    </row>
    <row r="31" customFormat="false" ht="15" hidden="false" customHeight="true" outlineLevel="0" collapsed="false">
      <c r="A31" s="7" t="n">
        <v>11</v>
      </c>
      <c r="B31" s="7" t="s">
        <v>43</v>
      </c>
      <c r="C31" s="7" t="s">
        <v>44</v>
      </c>
      <c r="D31" s="7" t="s">
        <v>45</v>
      </c>
    </row>
    <row r="32" customFormat="false" ht="15" hidden="false" customHeight="true" outlineLevel="0" collapsed="false">
      <c r="A32" s="7" t="n">
        <v>12</v>
      </c>
      <c r="B32" s="7" t="s">
        <v>46</v>
      </c>
      <c r="C32" s="7" t="s">
        <v>39</v>
      </c>
      <c r="D32" s="7" t="s">
        <v>47</v>
      </c>
    </row>
    <row r="33" customFormat="false" ht="15" hidden="false" customHeight="true" outlineLevel="0" collapsed="false">
      <c r="A33" s="7" t="n">
        <v>13</v>
      </c>
      <c r="B33" s="7" t="s">
        <v>48</v>
      </c>
      <c r="C33" s="7" t="s">
        <v>49</v>
      </c>
      <c r="D33" s="7" t="s">
        <v>50</v>
      </c>
    </row>
    <row r="34" customFormat="false" ht="15" hidden="false" customHeight="true" outlineLevel="0" collapsed="false">
      <c r="A34" s="7" t="n">
        <v>14</v>
      </c>
      <c r="B34" s="7" t="s">
        <v>51</v>
      </c>
      <c r="C34" s="7" t="s">
        <v>49</v>
      </c>
      <c r="D34" s="7" t="s">
        <v>52</v>
      </c>
    </row>
    <row r="35" customFormat="false" ht="15" hidden="false" customHeight="true" outlineLevel="0" collapsed="false">
      <c r="A35" s="7" t="n">
        <v>15</v>
      </c>
      <c r="B35" s="7" t="s">
        <v>53</v>
      </c>
      <c r="C35" s="7" t="s">
        <v>32</v>
      </c>
      <c r="D35" s="7" t="s">
        <v>54</v>
      </c>
    </row>
    <row r="36" customFormat="false" ht="15" hidden="false" customHeight="true" outlineLevel="0" collapsed="false">
      <c r="A36" s="7" t="n">
        <v>16</v>
      </c>
      <c r="B36" s="7" t="s">
        <v>55</v>
      </c>
      <c r="C36" s="7" t="s">
        <v>32</v>
      </c>
      <c r="D36" s="7" t="s">
        <v>56</v>
      </c>
    </row>
    <row r="37" customFormat="false" ht="15" hidden="false" customHeight="true" outlineLevel="0" collapsed="false">
      <c r="A37" s="7" t="n">
        <v>17</v>
      </c>
      <c r="B37" s="7" t="s">
        <v>57</v>
      </c>
      <c r="C37" s="7" t="s">
        <v>58</v>
      </c>
      <c r="D37" s="7" t="s">
        <v>59</v>
      </c>
    </row>
    <row r="38" customFormat="false" ht="15" hidden="false" customHeight="true" outlineLevel="0" collapsed="false">
      <c r="A38" s="7" t="n">
        <v>18</v>
      </c>
      <c r="B38" s="7" t="s">
        <v>60</v>
      </c>
      <c r="C38" s="7" t="s">
        <v>27</v>
      </c>
      <c r="D38" s="7" t="s">
        <v>61</v>
      </c>
    </row>
    <row r="39" customFormat="false" ht="15" hidden="false" customHeight="true" outlineLevel="0" collapsed="false">
      <c r="A39" s="7" t="n">
        <v>19</v>
      </c>
      <c r="B39" s="7" t="s">
        <v>62</v>
      </c>
      <c r="C39" s="7" t="s">
        <v>27</v>
      </c>
      <c r="D39" s="7" t="s">
        <v>63</v>
      </c>
    </row>
    <row r="40" customFormat="false" ht="15" hidden="false" customHeight="true" outlineLevel="0" collapsed="false">
      <c r="A40" s="7" t="n">
        <v>20</v>
      </c>
      <c r="B40" s="7" t="s">
        <v>64</v>
      </c>
      <c r="C40" s="7" t="s">
        <v>27</v>
      </c>
      <c r="D40" s="7" t="s">
        <v>65</v>
      </c>
    </row>
    <row r="41" customFormat="false" ht="15" hidden="false" customHeight="true" outlineLevel="0" collapsed="false">
      <c r="A41" s="7" t="n">
        <v>21</v>
      </c>
      <c r="B41" s="7" t="s">
        <v>66</v>
      </c>
      <c r="C41" s="7" t="s">
        <v>67</v>
      </c>
      <c r="D41" s="7" t="s">
        <v>68</v>
      </c>
    </row>
    <row r="42" customFormat="false" ht="15" hidden="false" customHeight="true" outlineLevel="0" collapsed="false">
      <c r="A42" s="7" t="n">
        <v>22</v>
      </c>
      <c r="B42" s="7" t="s">
        <v>69</v>
      </c>
      <c r="C42" s="7" t="s">
        <v>67</v>
      </c>
      <c r="D42" s="7" t="s">
        <v>70</v>
      </c>
    </row>
    <row r="43" customFormat="false" ht="15" hidden="false" customHeight="true" outlineLevel="0" collapsed="false">
      <c r="A43" s="7" t="n">
        <v>23</v>
      </c>
      <c r="B43" s="7" t="s">
        <v>71</v>
      </c>
      <c r="C43" s="7" t="s">
        <v>72</v>
      </c>
      <c r="D43" s="7" t="s">
        <v>73</v>
      </c>
    </row>
    <row r="44" customFormat="false" ht="15" hidden="false" customHeight="true" outlineLevel="0" collapsed="false">
      <c r="A44" s="7" t="n">
        <v>24</v>
      </c>
      <c r="B44" s="7" t="s">
        <v>74</v>
      </c>
      <c r="C44" s="7" t="s">
        <v>75</v>
      </c>
      <c r="D44" s="7" t="s">
        <v>76</v>
      </c>
    </row>
    <row r="45" customFormat="false" ht="15" hidden="false" customHeight="true" outlineLevel="0" collapsed="false">
      <c r="A45" s="7" t="n">
        <v>25</v>
      </c>
      <c r="B45" s="7" t="s">
        <v>77</v>
      </c>
      <c r="C45" s="7" t="s">
        <v>39</v>
      </c>
      <c r="D45" s="7" t="s">
        <v>78</v>
      </c>
    </row>
    <row r="46" customFormat="false" ht="15" hidden="false" customHeight="true" outlineLevel="0" collapsed="false">
      <c r="A46" s="7" t="n">
        <v>26</v>
      </c>
      <c r="B46" s="7" t="s">
        <v>79</v>
      </c>
      <c r="C46" s="7" t="s">
        <v>39</v>
      </c>
      <c r="D46" s="7" t="s">
        <v>80</v>
      </c>
    </row>
    <row r="47" customFormat="false" ht="15" hidden="false" customHeight="true" outlineLevel="0" collapsed="false">
      <c r="A47" s="7" t="n">
        <v>27</v>
      </c>
      <c r="B47" s="7" t="s">
        <v>81</v>
      </c>
      <c r="C47" s="7" t="s">
        <v>44</v>
      </c>
      <c r="D47" s="7" t="s">
        <v>82</v>
      </c>
    </row>
    <row r="48" customFormat="false" ht="15" hidden="false" customHeight="true" outlineLevel="0" collapsed="false">
      <c r="A48" s="7" t="n">
        <v>28</v>
      </c>
      <c r="B48" s="7" t="s">
        <v>83</v>
      </c>
      <c r="C48" s="7" t="s">
        <v>39</v>
      </c>
      <c r="D48" s="7" t="s">
        <v>84</v>
      </c>
    </row>
    <row r="49" customFormat="false" ht="15" hidden="false" customHeight="true" outlineLevel="0" collapsed="false">
      <c r="A49" s="7" t="n">
        <v>29</v>
      </c>
      <c r="B49" s="7" t="s">
        <v>85</v>
      </c>
      <c r="C49" s="7" t="s">
        <v>27</v>
      </c>
      <c r="D49" s="7" t="s">
        <v>86</v>
      </c>
    </row>
    <row r="50" customFormat="false" ht="15" hidden="false" customHeight="true" outlineLevel="0" collapsed="false">
      <c r="A50" s="7" t="n">
        <v>30</v>
      </c>
      <c r="B50" s="7" t="s">
        <v>87</v>
      </c>
      <c r="C50" s="7" t="s">
        <v>75</v>
      </c>
      <c r="D50" s="7" t="s">
        <v>88</v>
      </c>
    </row>
    <row r="53" customFormat="false" ht="15" hidden="false" customHeight="true" outlineLevel="0" collapsed="false">
      <c r="A53" s="8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19</v>
      </c>
    </row>
    <row r="3" customFormat="false" ht="15" hidden="false" customHeight="true" outlineLevel="0" collapsed="false">
      <c r="A3" s="3" t="s">
        <v>90</v>
      </c>
    </row>
    <row r="5" customFormat="false" ht="15" hidden="false" customHeight="true" outlineLevel="0" collapsed="false">
      <c r="A5" s="7" t="s">
        <v>91</v>
      </c>
      <c r="B5" s="9" t="n">
        <v>10000000</v>
      </c>
    </row>
    <row r="6" customFormat="false" ht="15" hidden="false" customHeight="true" outlineLevel="0" collapsed="false">
      <c r="A6" s="7" t="s">
        <v>92</v>
      </c>
      <c r="B6" s="9" t="n">
        <v>60</v>
      </c>
    </row>
    <row r="7" customFormat="false" ht="15" hidden="false" customHeight="true" outlineLevel="0" collapsed="false">
      <c r="A7" s="7" t="s">
        <v>93</v>
      </c>
      <c r="B7" s="9" t="n">
        <v>2000000</v>
      </c>
    </row>
    <row r="8" customFormat="false" ht="15" hidden="false" customHeight="true" outlineLevel="0" collapsed="false">
      <c r="A8" s="7" t="s">
        <v>94</v>
      </c>
      <c r="B8" s="9" t="n">
        <v>10</v>
      </c>
    </row>
    <row r="9" customFormat="false" ht="15" hidden="false" customHeight="true" outlineLevel="0" collapsed="false">
      <c r="A9" s="7" t="s">
        <v>95</v>
      </c>
      <c r="B9" s="9" t="n">
        <v>3</v>
      </c>
    </row>
    <row r="11" customFormat="false" ht="15" hidden="false" customHeight="true" outlineLevel="0" collapsed="false">
      <c r="A11" s="3" t="s">
        <v>96</v>
      </c>
    </row>
    <row r="13" customFormat="false" ht="15" hidden="false" customHeight="true" outlineLevel="0" collapsed="false">
      <c r="A13" s="7" t="s">
        <v>97</v>
      </c>
      <c r="B13" s="9" t="n">
        <v>20</v>
      </c>
    </row>
    <row r="14" customFormat="false" ht="15" hidden="false" customHeight="true" outlineLevel="0" collapsed="false">
      <c r="A14" s="7" t="s">
        <v>98</v>
      </c>
      <c r="B14" s="9" t="n">
        <v>5</v>
      </c>
    </row>
    <row r="15" customFormat="false" ht="15" hidden="false" customHeight="true" outlineLevel="0" collapsed="false">
      <c r="A15" s="7" t="s">
        <v>99</v>
      </c>
      <c r="B15" s="9" t="n">
        <v>150000</v>
      </c>
    </row>
    <row r="17" customFormat="false" ht="15" hidden="false" customHeight="true" outlineLevel="0" collapsed="false">
      <c r="A17" s="3" t="s">
        <v>100</v>
      </c>
    </row>
    <row r="19" customFormat="false" ht="15" hidden="false" customHeight="true" outlineLevel="0" collapsed="false">
      <c r="A19" s="7" t="s">
        <v>101</v>
      </c>
      <c r="B19" s="10" t="n">
        <f aca="false">B3*B4/100</f>
        <v>0</v>
      </c>
    </row>
    <row r="20" customFormat="false" ht="15" hidden="false" customHeight="true" outlineLevel="0" collapsed="false">
      <c r="A20" s="7" t="s">
        <v>102</v>
      </c>
      <c r="B20" s="10" t="n">
        <f aca="false">B8*B6/100</f>
        <v>6</v>
      </c>
    </row>
    <row r="21" customFormat="false" ht="15" hidden="false" customHeight="true" outlineLevel="0" collapsed="false">
      <c r="A21" s="7" t="s">
        <v>103</v>
      </c>
      <c r="B21" s="10" t="n">
        <f aca="false">B3*B7/100</f>
        <v>0</v>
      </c>
    </row>
    <row r="22" customFormat="false" ht="15" hidden="false" customHeight="true" outlineLevel="0" collapsed="false">
      <c r="A22" s="7" t="s">
        <v>104</v>
      </c>
      <c r="B22" s="10" t="n">
        <f aca="false">B15-B16-B17</f>
        <v>150000</v>
      </c>
    </row>
    <row r="23" customFormat="false" ht="15" hidden="false" customHeight="true" outlineLevel="0" collapsed="false">
      <c r="A23" s="7" t="s">
        <v>105</v>
      </c>
      <c r="B23" s="10" t="n">
        <f aca="false">B14</f>
        <v>5</v>
      </c>
    </row>
    <row r="24" customFormat="false" ht="15" hidden="false" customHeight="true" outlineLevel="0" collapsed="false">
      <c r="A24" s="7" t="s">
        <v>106</v>
      </c>
      <c r="B24" s="10" t="n">
        <f aca="false">B19-B20</f>
        <v>-6</v>
      </c>
    </row>
    <row r="25" customFormat="false" ht="15" hidden="false" customHeight="true" outlineLevel="0" collapsed="false">
      <c r="A25" s="7" t="s">
        <v>107</v>
      </c>
      <c r="B25" s="10" t="n">
        <f aca="false">B21*B11/100</f>
        <v>0</v>
      </c>
    </row>
    <row r="26" customFormat="false" ht="15" hidden="false" customHeight="true" outlineLevel="0" collapsed="false">
      <c r="A26" s="7" t="s">
        <v>108</v>
      </c>
      <c r="B26" s="10" t="n">
        <f aca="false">B21*B12/100</f>
        <v>0</v>
      </c>
    </row>
    <row r="27" customFormat="false" ht="17.25" hidden="false" customHeight="true" outlineLevel="0" collapsed="false">
      <c r="A27" s="7" t="s">
        <v>109</v>
      </c>
      <c r="B27" s="11" t="n">
        <f aca="false">B21-B22-B23</f>
        <v>-150005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22</v>
      </c>
    </row>
    <row r="3" customFormat="false" ht="15" hidden="false" customHeight="true" outlineLevel="0" collapsed="false">
      <c r="A3" s="3" t="s">
        <v>110</v>
      </c>
    </row>
    <row r="5" customFormat="false" ht="15" hidden="false" customHeight="true" outlineLevel="0" collapsed="false">
      <c r="A5" s="7" t="s">
        <v>111</v>
      </c>
      <c r="B5" s="9" t="n">
        <v>1500000</v>
      </c>
    </row>
    <row r="7" customFormat="false" ht="15" hidden="false" customHeight="true" outlineLevel="0" collapsed="false">
      <c r="A7" s="3" t="s">
        <v>112</v>
      </c>
    </row>
    <row r="9" customFormat="false" ht="15" hidden="false" customHeight="true" outlineLevel="0" collapsed="false">
      <c r="A9" s="7" t="s">
        <v>113</v>
      </c>
      <c r="B9" s="9" t="n">
        <v>250000</v>
      </c>
    </row>
    <row r="10" customFormat="false" ht="15" hidden="false" customHeight="true" outlineLevel="0" collapsed="false">
      <c r="A10" s="7" t="s">
        <v>114</v>
      </c>
      <c r="B10" s="9" t="n">
        <v>50000</v>
      </c>
    </row>
    <row r="11" customFormat="false" ht="15" hidden="false" customHeight="true" outlineLevel="0" collapsed="false">
      <c r="A11" s="7" t="s">
        <v>115</v>
      </c>
      <c r="B11" s="9" t="n">
        <v>30000</v>
      </c>
    </row>
    <row r="12" customFormat="false" ht="15" hidden="false" customHeight="true" outlineLevel="0" collapsed="false">
      <c r="A12" s="7" t="s">
        <v>116</v>
      </c>
      <c r="B12" s="9" t="n">
        <v>40000</v>
      </c>
    </row>
    <row r="14" customFormat="false" ht="15" hidden="false" customHeight="true" outlineLevel="0" collapsed="false">
      <c r="A14" s="3" t="s">
        <v>117</v>
      </c>
    </row>
    <row r="16" customFormat="false" ht="15" hidden="false" customHeight="true" outlineLevel="0" collapsed="false">
      <c r="A16" s="7" t="s">
        <v>118</v>
      </c>
      <c r="B16" s="9" t="n">
        <v>100000</v>
      </c>
    </row>
    <row r="17" customFormat="false" ht="15" hidden="false" customHeight="true" outlineLevel="0" collapsed="false">
      <c r="A17" s="7" t="s">
        <v>119</v>
      </c>
      <c r="B17" s="9" t="n">
        <v>75000</v>
      </c>
    </row>
    <row r="19" customFormat="false" ht="15" hidden="false" customHeight="true" outlineLevel="0" collapsed="false">
      <c r="A19" s="3" t="s">
        <v>120</v>
      </c>
    </row>
    <row r="21" customFormat="false" ht="15" hidden="false" customHeight="true" outlineLevel="0" collapsed="false">
      <c r="A21" s="7" t="s">
        <v>121</v>
      </c>
      <c r="B21" s="10" t="n">
        <f aca="false">SUM(B6:B9)</f>
        <v>250000</v>
      </c>
    </row>
    <row r="22" customFormat="false" ht="15" hidden="false" customHeight="true" outlineLevel="0" collapsed="false">
      <c r="A22" s="7" t="s">
        <v>122</v>
      </c>
      <c r="B22" s="10" t="n">
        <f aca="false">SUM(B12:B13)</f>
        <v>40000</v>
      </c>
    </row>
    <row r="23" customFormat="false" ht="17.25" hidden="false" customHeight="true" outlineLevel="0" collapsed="false">
      <c r="A23" s="7" t="s">
        <v>120</v>
      </c>
      <c r="B23" s="11" t="n">
        <f aca="false">B3+B19-B20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24</v>
      </c>
    </row>
    <row r="3" customFormat="false" ht="15" hidden="false" customHeight="true" outlineLevel="0" collapsed="false">
      <c r="A3" s="3" t="s">
        <v>123</v>
      </c>
    </row>
    <row r="5" customFormat="false" ht="15" hidden="false" customHeight="true" outlineLevel="0" collapsed="false">
      <c r="A5" s="7" t="s">
        <v>23</v>
      </c>
      <c r="B5" s="9" t="n">
        <v>1500000</v>
      </c>
    </row>
    <row r="6" customFormat="false" ht="15" hidden="false" customHeight="true" outlineLevel="0" collapsed="false">
      <c r="A6" s="7" t="s">
        <v>124</v>
      </c>
      <c r="B6" s="9" t="s">
        <v>125</v>
      </c>
    </row>
    <row r="7" customFormat="false" ht="15" hidden="false" customHeight="true" outlineLevel="0" collapsed="false">
      <c r="A7" s="7" t="s">
        <v>126</v>
      </c>
      <c r="B7" s="9" t="n">
        <v>15</v>
      </c>
    </row>
    <row r="8" customFormat="false" ht="15" hidden="false" customHeight="true" outlineLevel="0" collapsed="false">
      <c r="A8" s="7" t="s">
        <v>127</v>
      </c>
      <c r="B8" s="9" t="n">
        <v>65</v>
      </c>
    </row>
    <row r="9" customFormat="false" ht="15" hidden="false" customHeight="true" outlineLevel="0" collapsed="false">
      <c r="A9" s="7" t="s">
        <v>128</v>
      </c>
      <c r="B9" s="9" t="n">
        <v>25</v>
      </c>
    </row>
    <row r="10" customFormat="false" ht="15" hidden="false" customHeight="true" outlineLevel="0" collapsed="false">
      <c r="A10" s="7" t="s">
        <v>129</v>
      </c>
      <c r="B10" s="9" t="n">
        <v>70</v>
      </c>
    </row>
    <row r="12" customFormat="false" ht="15" hidden="false" customHeight="true" outlineLevel="0" collapsed="false">
      <c r="A12" s="3" t="s">
        <v>130</v>
      </c>
    </row>
    <row r="14" customFormat="false" ht="15" hidden="false" customHeight="true" outlineLevel="0" collapsed="false">
      <c r="A14" s="7" t="s">
        <v>131</v>
      </c>
      <c r="B14" s="10" t="n">
        <f aca="false">5</f>
        <v>5</v>
      </c>
    </row>
    <row r="15" customFormat="false" ht="15" hidden="false" customHeight="true" outlineLevel="0" collapsed="false">
      <c r="A15" s="7" t="s">
        <v>132</v>
      </c>
      <c r="B15" s="10" t="n">
        <f aca="false">IF(B4&gt;20,1.5,IF(B4&gt;10,1,0))</f>
        <v>0</v>
      </c>
    </row>
    <row r="16" customFormat="false" ht="15" hidden="false" customHeight="true" outlineLevel="0" collapsed="false">
      <c r="A16" s="7" t="s">
        <v>133</v>
      </c>
      <c r="B16" s="10" t="n">
        <f aca="false">IF(B5&gt;60,1.5,IF(B5&gt;50,1,0))</f>
        <v>1.5</v>
      </c>
    </row>
    <row r="17" customFormat="false" ht="15" hidden="false" customHeight="true" outlineLevel="0" collapsed="false">
      <c r="A17" s="7" t="s">
        <v>134</v>
      </c>
      <c r="B17" s="10" t="n">
        <f aca="false">IF(B6&gt;25,-2,-0.5)</f>
        <v>-2</v>
      </c>
    </row>
    <row r="18" customFormat="false" ht="15" hidden="false" customHeight="true" outlineLevel="0" collapsed="false">
      <c r="A18" s="7" t="s">
        <v>135</v>
      </c>
      <c r="B18" s="10" t="n">
        <f aca="false">IF(B7&gt;70,1.5,IF(B7&gt;50,1,0))</f>
        <v>0</v>
      </c>
    </row>
    <row r="20" customFormat="false" ht="15" hidden="false" customHeight="true" outlineLevel="0" collapsed="false">
      <c r="A20" s="3" t="s">
        <v>136</v>
      </c>
    </row>
    <row r="22" customFormat="false" ht="15" hidden="false" customHeight="true" outlineLevel="0" collapsed="false">
      <c r="A22" s="7" t="s">
        <v>137</v>
      </c>
      <c r="B22" s="10" t="n">
        <f aca="false">B15+B16+B17+B18+B19</f>
        <v>-0.5</v>
      </c>
    </row>
    <row r="23" customFormat="false" ht="17.25" hidden="false" customHeight="true" outlineLevel="0" collapsed="false">
      <c r="A23" s="7" t="s">
        <v>138</v>
      </c>
      <c r="B23" s="11" t="n">
        <f aca="false">B3*B21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26</v>
      </c>
    </row>
    <row r="3" customFormat="false" ht="15" hidden="false" customHeight="true" outlineLevel="0" collapsed="false">
      <c r="A3" s="3" t="s">
        <v>139</v>
      </c>
    </row>
    <row r="5" customFormat="false" ht="15" hidden="false" customHeight="true" outlineLevel="0" collapsed="false">
      <c r="A5" s="7" t="s">
        <v>140</v>
      </c>
      <c r="B5" s="9" t="n">
        <v>5000000</v>
      </c>
    </row>
    <row r="6" customFormat="false" ht="15" hidden="false" customHeight="true" outlineLevel="0" collapsed="false">
      <c r="A6" s="7" t="s">
        <v>141</v>
      </c>
      <c r="B6" s="9" t="n">
        <v>1000000</v>
      </c>
    </row>
    <row r="7" customFormat="false" ht="15" hidden="false" customHeight="true" outlineLevel="0" collapsed="false">
      <c r="A7" s="7" t="s">
        <v>142</v>
      </c>
      <c r="B7" s="9" t="n">
        <v>500000</v>
      </c>
    </row>
    <row r="8" customFormat="false" ht="15" hidden="false" customHeight="true" outlineLevel="0" collapsed="false">
      <c r="A8" s="7" t="s">
        <v>143</v>
      </c>
      <c r="B8" s="9" t="n">
        <v>37</v>
      </c>
    </row>
    <row r="9" customFormat="false" ht="15" hidden="false" customHeight="true" outlineLevel="0" collapsed="false">
      <c r="A9" s="7" t="s">
        <v>144</v>
      </c>
      <c r="B9" s="9" t="n">
        <v>20</v>
      </c>
    </row>
    <row r="10" customFormat="false" ht="15" hidden="false" customHeight="true" outlineLevel="0" collapsed="false">
      <c r="A10" s="7" t="s">
        <v>145</v>
      </c>
      <c r="B10" s="9" t="n">
        <v>200000</v>
      </c>
    </row>
    <row r="12" customFormat="false" ht="15" hidden="false" customHeight="true" outlineLevel="0" collapsed="false">
      <c r="A12" s="3" t="s">
        <v>146</v>
      </c>
    </row>
    <row r="14" customFormat="false" ht="15" hidden="false" customHeight="true" outlineLevel="0" collapsed="false">
      <c r="A14" s="7" t="s">
        <v>147</v>
      </c>
      <c r="B14" s="10" t="n">
        <f aca="false">B3-B4</f>
        <v>0</v>
      </c>
    </row>
    <row r="15" customFormat="false" ht="15" hidden="false" customHeight="true" outlineLevel="0" collapsed="false">
      <c r="A15" s="7" t="s">
        <v>148</v>
      </c>
      <c r="B15" s="10" t="n">
        <f aca="false">B9*B8/100</f>
        <v>7.4</v>
      </c>
    </row>
    <row r="16" customFormat="false" ht="15" hidden="false" customHeight="true" outlineLevel="0" collapsed="false">
      <c r="A16" s="7" t="s">
        <v>149</v>
      </c>
      <c r="B16" s="10" t="n">
        <f aca="false">B14-B9</f>
        <v>-20</v>
      </c>
    </row>
    <row r="17" customFormat="false" ht="15" hidden="false" customHeight="true" outlineLevel="0" collapsed="false">
      <c r="A17" s="7" t="s">
        <v>150</v>
      </c>
      <c r="B17" s="10" t="n">
        <f aca="false">B16*B7/100</f>
        <v>-100000</v>
      </c>
    </row>
    <row r="18" customFormat="false" ht="15" hidden="false" customHeight="true" outlineLevel="0" collapsed="false">
      <c r="A18" s="7" t="s">
        <v>151</v>
      </c>
      <c r="B18" s="10" t="n">
        <f aca="false">B15+B17</f>
        <v>-99992.6</v>
      </c>
    </row>
    <row r="20" customFormat="false" ht="15" hidden="false" customHeight="true" outlineLevel="0" collapsed="false">
      <c r="A20" s="3" t="s">
        <v>152</v>
      </c>
    </row>
    <row r="22" customFormat="false" ht="15" hidden="false" customHeight="true" outlineLevel="0" collapsed="false">
      <c r="A22" s="7" t="s">
        <v>153</v>
      </c>
      <c r="B22" s="10" t="n">
        <f aca="false">B3-B5</f>
        <v>-5000000</v>
      </c>
    </row>
    <row r="23" customFormat="false" ht="15" hidden="false" customHeight="true" outlineLevel="0" collapsed="false">
      <c r="A23" s="7" t="s">
        <v>154</v>
      </c>
      <c r="B23" s="10" t="n">
        <f aca="false">B21*B7/100</f>
        <v>0</v>
      </c>
    </row>
    <row r="25" customFormat="false" ht="15" hidden="false" customHeight="true" outlineLevel="0" collapsed="false">
      <c r="A25" s="3" t="s">
        <v>155</v>
      </c>
    </row>
    <row r="27" customFormat="false" ht="15" hidden="false" customHeight="true" outlineLevel="0" collapsed="false">
      <c r="A27" s="7" t="s">
        <v>156</v>
      </c>
      <c r="B27" s="10" t="n">
        <f aca="false">B19-B22</f>
        <v>5000000</v>
      </c>
    </row>
    <row r="28" customFormat="false" ht="15" hidden="false" customHeight="true" outlineLevel="0" collapsed="false">
      <c r="A28" s="7" t="s">
        <v>157</v>
      </c>
      <c r="B28" s="10" t="str">
        <f aca="false">IF(B24&lt;0,"STOCK SALE","ASSET SALE")</f>
        <v>ASSET SALE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29</v>
      </c>
    </row>
    <row r="3" customFormat="false" ht="15" hidden="false" customHeight="true" outlineLevel="0" collapsed="false">
      <c r="A3" s="3" t="s">
        <v>158</v>
      </c>
    </row>
    <row r="5" customFormat="false" ht="15" hidden="false" customHeight="true" outlineLevel="0" collapsed="false">
      <c r="A5" s="7" t="s">
        <v>159</v>
      </c>
      <c r="B5" s="9" t="n">
        <v>100000</v>
      </c>
    </row>
    <row r="6" customFormat="false" ht="15" hidden="false" customHeight="true" outlineLevel="0" collapsed="false">
      <c r="A6" s="7" t="s">
        <v>160</v>
      </c>
      <c r="B6" s="9" t="n">
        <v>5000000</v>
      </c>
    </row>
    <row r="7" customFormat="false" ht="15" hidden="false" customHeight="true" outlineLevel="0" collapsed="false">
      <c r="A7" s="7" t="s">
        <v>161</v>
      </c>
      <c r="B7" s="9" t="n">
        <v>6</v>
      </c>
    </row>
    <row r="8" customFormat="false" ht="15" hidden="false" customHeight="true" outlineLevel="0" collapsed="false">
      <c r="A8" s="7" t="s">
        <v>162</v>
      </c>
      <c r="B8" s="9" t="s">
        <v>163</v>
      </c>
    </row>
    <row r="9" customFormat="false" ht="15" hidden="false" customHeight="true" outlineLevel="0" collapsed="false">
      <c r="A9" s="7" t="s">
        <v>164</v>
      </c>
      <c r="B9" s="9" t="n">
        <v>1</v>
      </c>
    </row>
    <row r="11" customFormat="false" ht="15" hidden="false" customHeight="true" outlineLevel="0" collapsed="false">
      <c r="A11" s="3" t="s">
        <v>165</v>
      </c>
    </row>
    <row r="13" customFormat="false" ht="15" hidden="false" customHeight="true" outlineLevel="0" collapsed="false">
      <c r="A13" s="7" t="s">
        <v>166</v>
      </c>
      <c r="B13" s="10" t="n">
        <f aca="false">B4-B3</f>
        <v>0</v>
      </c>
    </row>
    <row r="14" customFormat="false" ht="15" hidden="false" customHeight="true" outlineLevel="0" collapsed="false">
      <c r="A14" s="7" t="s">
        <v>167</v>
      </c>
      <c r="B14" s="10" t="n">
        <f aca="false">MIN(B13*10, 10000000)</f>
        <v>0</v>
      </c>
    </row>
    <row r="15" customFormat="false" ht="15" hidden="false" customHeight="true" outlineLevel="0" collapsed="false">
      <c r="A15" s="7" t="s">
        <v>168</v>
      </c>
      <c r="B15" s="10" t="n">
        <f aca="false">B13</f>
        <v>0</v>
      </c>
    </row>
    <row r="16" customFormat="false" ht="15" hidden="false" customHeight="true" outlineLevel="0" collapsed="false">
      <c r="A16" s="7" t="s">
        <v>169</v>
      </c>
      <c r="B16" s="10" t="n">
        <f aca="false">IF(AND(B5&gt;=5, B9=1), MIN(B13, B15), 0)</f>
        <v>0</v>
      </c>
    </row>
    <row r="17" customFormat="false" ht="15" hidden="false" customHeight="true" outlineLevel="0" collapsed="false">
      <c r="A17" s="7" t="s">
        <v>170</v>
      </c>
      <c r="B17" s="10" t="n">
        <f aca="false">B13-B16</f>
        <v>0</v>
      </c>
    </row>
    <row r="18" customFormat="false" ht="17.25" hidden="false" customHeight="true" outlineLevel="0" collapsed="false">
      <c r="A18" s="7" t="s">
        <v>171</v>
      </c>
      <c r="B18" s="11" t="n">
        <f aca="false">B17*0.2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31</v>
      </c>
    </row>
    <row r="3" customFormat="false" ht="15" hidden="false" customHeight="true" outlineLevel="0" collapsed="false">
      <c r="A3" s="3" t="s">
        <v>172</v>
      </c>
    </row>
    <row r="5" customFormat="false" ht="15" hidden="false" customHeight="true" outlineLevel="0" collapsed="false">
      <c r="A5" s="7" t="s">
        <v>173</v>
      </c>
      <c r="B5" s="9" t="n">
        <v>4000000</v>
      </c>
    </row>
    <row r="6" customFormat="false" ht="15" hidden="false" customHeight="true" outlineLevel="0" collapsed="false">
      <c r="A6" s="7" t="s">
        <v>174</v>
      </c>
      <c r="B6" s="9" t="n">
        <v>2000000</v>
      </c>
    </row>
    <row r="7" customFormat="false" ht="15" hidden="false" customHeight="true" outlineLevel="0" collapsed="false">
      <c r="A7" s="7" t="s">
        <v>175</v>
      </c>
      <c r="B7" s="9" t="n">
        <v>1000000</v>
      </c>
    </row>
    <row r="8" customFormat="false" ht="15" hidden="false" customHeight="true" outlineLevel="0" collapsed="false">
      <c r="A8" s="7" t="s">
        <v>176</v>
      </c>
      <c r="B8" s="9" t="n">
        <v>60</v>
      </c>
    </row>
    <row r="9" customFormat="false" ht="15" hidden="false" customHeight="true" outlineLevel="0" collapsed="false">
      <c r="A9" s="7" t="s">
        <v>177</v>
      </c>
      <c r="B9" s="9" t="n">
        <v>10</v>
      </c>
    </row>
    <row r="10" customFormat="false" ht="15" hidden="false" customHeight="true" outlineLevel="0" collapsed="false">
      <c r="A10" s="7" t="s">
        <v>178</v>
      </c>
      <c r="B10" s="9" t="n">
        <v>2</v>
      </c>
    </row>
    <row r="12" customFormat="false" ht="15" hidden="false" customHeight="true" outlineLevel="0" collapsed="false">
      <c r="A12" s="3" t="s">
        <v>136</v>
      </c>
    </row>
    <row r="14" customFormat="false" ht="15" hidden="false" customHeight="true" outlineLevel="0" collapsed="false">
      <c r="A14" s="7" t="s">
        <v>179</v>
      </c>
      <c r="B14" s="10" t="n">
        <f aca="false">B8*B6/100</f>
        <v>1200000</v>
      </c>
    </row>
    <row r="15" customFormat="false" ht="15" hidden="false" customHeight="true" outlineLevel="0" collapsed="false">
      <c r="A15" s="7" t="s">
        <v>180</v>
      </c>
      <c r="B15" s="10" t="n">
        <f aca="false">B14/((1+B10/100)^B11)</f>
        <v>1200000</v>
      </c>
    </row>
    <row r="16" customFormat="false" ht="17.25" hidden="false" customHeight="true" outlineLevel="0" collapsed="false">
      <c r="A16" s="7" t="s">
        <v>181</v>
      </c>
      <c r="B16" s="11" t="n">
        <f aca="false">B3+B15</f>
        <v>1200000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34</v>
      </c>
    </row>
    <row r="3" customFormat="false" ht="15" hidden="false" customHeight="true" outlineLevel="0" collapsed="false">
      <c r="A3" s="3" t="s">
        <v>182</v>
      </c>
    </row>
    <row r="5" customFormat="false" ht="15" hidden="false" customHeight="true" outlineLevel="0" collapsed="false">
      <c r="A5" s="7" t="s">
        <v>183</v>
      </c>
      <c r="B5" s="9" t="n">
        <v>2000000</v>
      </c>
    </row>
    <row r="6" customFormat="false" ht="15" hidden="false" customHeight="true" outlineLevel="0" collapsed="false">
      <c r="A6" s="7" t="s">
        <v>184</v>
      </c>
      <c r="B6" s="9" t="n">
        <v>30</v>
      </c>
    </row>
    <row r="7" customFormat="false" ht="15" hidden="false" customHeight="true" outlineLevel="0" collapsed="false">
      <c r="A7" s="7" t="s">
        <v>185</v>
      </c>
      <c r="B7" s="9" t="n">
        <v>3</v>
      </c>
    </row>
    <row r="8" customFormat="false" ht="15" hidden="false" customHeight="true" outlineLevel="0" collapsed="false">
      <c r="A8" s="7" t="s">
        <v>186</v>
      </c>
      <c r="B8" s="9" t="n">
        <v>5</v>
      </c>
    </row>
    <row r="9" customFormat="false" ht="15" hidden="false" customHeight="true" outlineLevel="0" collapsed="false">
      <c r="A9" s="7" t="s">
        <v>187</v>
      </c>
      <c r="B9" s="9" t="n">
        <v>15</v>
      </c>
    </row>
    <row r="11" customFormat="false" ht="15" hidden="false" customHeight="true" outlineLevel="0" collapsed="false">
      <c r="A11" s="3" t="s">
        <v>188</v>
      </c>
    </row>
    <row r="13" customFormat="false" ht="15" hidden="false" customHeight="true" outlineLevel="0" collapsed="false">
      <c r="A13" s="7" t="s">
        <v>189</v>
      </c>
      <c r="B13" s="10" t="n">
        <f aca="false">B3*(1-B4/100)</f>
        <v>0</v>
      </c>
    </row>
    <row r="14" customFormat="false" ht="15" hidden="false" customHeight="true" outlineLevel="0" collapsed="false">
      <c r="A14" s="7" t="s">
        <v>190</v>
      </c>
      <c r="B14" s="10" t="n">
        <f aca="false">B3*B4/100</f>
        <v>0</v>
      </c>
    </row>
    <row r="16" customFormat="false" ht="15" hidden="false" customHeight="true" outlineLevel="0" collapsed="false">
      <c r="A16" s="3" t="s">
        <v>191</v>
      </c>
    </row>
    <row r="18" customFormat="false" ht="15" hidden="false" customHeight="true" outlineLevel="0" collapsed="false">
      <c r="A18" s="7" t="s">
        <v>192</v>
      </c>
      <c r="B18" s="10" t="n">
        <f aca="false">B14*(1+B7/100)^B6</f>
        <v>0</v>
      </c>
    </row>
    <row r="19" customFormat="false" ht="15" hidden="false" customHeight="true" outlineLevel="0" collapsed="false">
      <c r="A19" s="7" t="s">
        <v>193</v>
      </c>
      <c r="B19" s="10" t="n">
        <f aca="false">B17*B5</f>
        <v>0</v>
      </c>
    </row>
    <row r="20" customFormat="false" ht="17.25" hidden="false" customHeight="true" outlineLevel="0" collapsed="false">
      <c r="A20" s="7" t="s">
        <v>194</v>
      </c>
      <c r="B20" s="11" t="n">
        <f aca="false">B12+B18</f>
        <v>0</v>
      </c>
    </row>
    <row r="22" customFormat="false" ht="15" hidden="false" customHeight="true" outlineLevel="0" collapsed="false">
      <c r="A22" s="3" t="s">
        <v>195</v>
      </c>
    </row>
    <row r="24" customFormat="false" ht="15" hidden="false" customHeight="true" outlineLevel="0" collapsed="false">
      <c r="A24" s="7" t="s">
        <v>196</v>
      </c>
      <c r="B24" s="10" t="n">
        <f aca="false">B3</f>
        <v>0</v>
      </c>
    </row>
    <row r="25" customFormat="false" ht="15" hidden="false" customHeight="true" outlineLevel="0" collapsed="false">
      <c r="A25" s="7" t="s">
        <v>197</v>
      </c>
      <c r="B25" s="10" t="n">
        <f aca="false">B3*(1+B7/100)^B6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36</v>
      </c>
    </row>
    <row r="3" customFormat="false" ht="15" hidden="false" customHeight="true" outlineLevel="0" collapsed="false">
      <c r="A3" s="3" t="s">
        <v>198</v>
      </c>
    </row>
    <row r="5" customFormat="false" ht="15" hidden="false" customHeight="true" outlineLevel="0" collapsed="false">
      <c r="A5" s="7" t="s">
        <v>199</v>
      </c>
      <c r="B5" s="9" t="n">
        <v>3000000</v>
      </c>
    </row>
    <row r="6" customFormat="false" ht="15" hidden="false" customHeight="true" outlineLevel="0" collapsed="false">
      <c r="A6" s="7" t="s">
        <v>200</v>
      </c>
      <c r="B6" s="9" t="n">
        <v>900000</v>
      </c>
    </row>
    <row r="7" customFormat="false" ht="15" hidden="false" customHeight="true" outlineLevel="0" collapsed="false">
      <c r="A7" s="7" t="s">
        <v>201</v>
      </c>
      <c r="B7" s="9" t="n">
        <v>200000</v>
      </c>
    </row>
    <row r="8" customFormat="false" ht="15" hidden="false" customHeight="true" outlineLevel="0" collapsed="false">
      <c r="A8" s="7" t="s">
        <v>202</v>
      </c>
      <c r="B8" s="9" t="n">
        <v>600000</v>
      </c>
    </row>
    <row r="9" customFormat="false" ht="15" hidden="false" customHeight="true" outlineLevel="0" collapsed="false">
      <c r="A9" s="7" t="s">
        <v>203</v>
      </c>
      <c r="B9" s="9" t="n">
        <v>60000</v>
      </c>
    </row>
    <row r="10" customFormat="false" ht="15" hidden="false" customHeight="true" outlineLevel="0" collapsed="false">
      <c r="A10" s="7" t="s">
        <v>204</v>
      </c>
      <c r="B10" s="9" t="n">
        <v>100000</v>
      </c>
    </row>
    <row r="11" customFormat="false" ht="15" hidden="false" customHeight="true" outlineLevel="0" collapsed="false">
      <c r="A11" s="7" t="s">
        <v>205</v>
      </c>
      <c r="B11" s="9" t="n">
        <v>25000</v>
      </c>
    </row>
    <row r="12" customFormat="false" ht="15" hidden="false" customHeight="true" outlineLevel="0" collapsed="false">
      <c r="A12" s="7" t="s">
        <v>206</v>
      </c>
      <c r="B12" s="9" t="n">
        <v>75000</v>
      </c>
    </row>
    <row r="13" customFormat="false" ht="15" hidden="false" customHeight="true" outlineLevel="0" collapsed="false">
      <c r="A13" s="7" t="s">
        <v>207</v>
      </c>
      <c r="B13" s="9" t="n">
        <v>30000</v>
      </c>
    </row>
    <row r="14" customFormat="false" ht="15" hidden="false" customHeight="true" outlineLevel="0" collapsed="false">
      <c r="A14" s="7" t="s">
        <v>208</v>
      </c>
      <c r="B14" s="9" t="n">
        <v>15000</v>
      </c>
    </row>
    <row r="15" customFormat="false" ht="15" hidden="false" customHeight="true" outlineLevel="0" collapsed="false">
      <c r="A15" s="7" t="s">
        <v>209</v>
      </c>
      <c r="B15" s="9" t="n">
        <v>40000</v>
      </c>
    </row>
    <row r="17" customFormat="false" ht="15" hidden="false" customHeight="true" outlineLevel="0" collapsed="false">
      <c r="A17" s="3" t="s">
        <v>210</v>
      </c>
    </row>
    <row r="19" customFormat="false" ht="15" hidden="false" customHeight="true" outlineLevel="0" collapsed="false">
      <c r="A19" s="7" t="s">
        <v>211</v>
      </c>
      <c r="B19" s="10" t="n">
        <f aca="false">B3-B4</f>
        <v>0</v>
      </c>
    </row>
    <row r="20" customFormat="false" ht="15" hidden="false" customHeight="true" outlineLevel="0" collapsed="false">
      <c r="A20" s="7" t="s">
        <v>212</v>
      </c>
      <c r="B20" s="10" t="n">
        <f aca="false">B15-SUM(B8:B11)</f>
        <v>-745000</v>
      </c>
    </row>
    <row r="22" customFormat="false" ht="15" hidden="false" customHeight="true" outlineLevel="0" collapsed="false">
      <c r="A22" s="3" t="s">
        <v>213</v>
      </c>
    </row>
    <row r="24" customFormat="false" ht="15" hidden="false" customHeight="true" outlineLevel="0" collapsed="false">
      <c r="A24" s="7" t="s">
        <v>214</v>
      </c>
      <c r="B24" s="10" t="n">
        <f aca="false">B7+B21</f>
        <v>200000</v>
      </c>
    </row>
    <row r="25" customFormat="false" ht="15" hidden="false" customHeight="true" outlineLevel="0" collapsed="false">
      <c r="A25" s="7" t="s">
        <v>215</v>
      </c>
      <c r="B25" s="10" t="n">
        <f aca="false">3</f>
        <v>3</v>
      </c>
    </row>
    <row r="26" customFormat="false" ht="15" hidden="false" customHeight="true" outlineLevel="0" collapsed="false">
      <c r="A26" s="7" t="s">
        <v>216</v>
      </c>
      <c r="B26" s="10" t="n">
        <f aca="false">B23*B24</f>
        <v>0</v>
      </c>
    </row>
    <row r="28" customFormat="false" ht="15" hidden="false" customHeight="true" outlineLevel="0" collapsed="false">
      <c r="A28" s="3" t="s">
        <v>217</v>
      </c>
    </row>
    <row r="30" customFormat="false" ht="15" hidden="false" customHeight="true" outlineLevel="0" collapsed="false">
      <c r="A30" s="7" t="s">
        <v>218</v>
      </c>
      <c r="B30" s="10" t="n">
        <f aca="false">B21+B14</f>
        <v>15000</v>
      </c>
    </row>
    <row r="31" customFormat="false" ht="15" hidden="false" customHeight="true" outlineLevel="0" collapsed="false">
      <c r="A31" s="7" t="s">
        <v>219</v>
      </c>
      <c r="B31" s="10" t="n">
        <f aca="false">5</f>
        <v>5</v>
      </c>
    </row>
    <row r="32" customFormat="false" ht="15" hidden="false" customHeight="true" outlineLevel="0" collapsed="false">
      <c r="A32" s="7" t="s">
        <v>220</v>
      </c>
      <c r="B32" s="10" t="n">
        <f aca="false">B28*B29</f>
        <v>0</v>
      </c>
    </row>
    <row r="34" customFormat="false" ht="15" hidden="false" customHeight="true" outlineLevel="0" collapsed="false">
      <c r="A34" s="3" t="s">
        <v>155</v>
      </c>
    </row>
    <row r="36" customFormat="false" ht="15" hidden="false" customHeight="true" outlineLevel="0" collapsed="false">
      <c r="A36" s="7" t="s">
        <v>221</v>
      </c>
      <c r="B36" s="10" t="n">
        <f aca="false">B30-B25</f>
        <v>14997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38</v>
      </c>
    </row>
    <row r="3" customFormat="false" ht="15" hidden="false" customHeight="true" outlineLevel="0" collapsed="false">
      <c r="A3" s="3" t="s">
        <v>222</v>
      </c>
    </row>
    <row r="5" customFormat="false" ht="15" hidden="false" customHeight="true" outlineLevel="0" collapsed="false">
      <c r="A5" s="7" t="s">
        <v>223</v>
      </c>
      <c r="B5" s="9" t="n">
        <v>3</v>
      </c>
    </row>
    <row r="6" customFormat="false" ht="15" hidden="false" customHeight="true" outlineLevel="0" collapsed="false">
      <c r="A6" s="7" t="s">
        <v>224</v>
      </c>
      <c r="B6" s="9" t="n">
        <v>3</v>
      </c>
    </row>
    <row r="7" customFormat="false" ht="15" hidden="false" customHeight="true" outlineLevel="0" collapsed="false">
      <c r="A7" s="7" t="s">
        <v>225</v>
      </c>
      <c r="B7" s="9" t="n">
        <v>3</v>
      </c>
    </row>
    <row r="8" customFormat="false" ht="15" hidden="false" customHeight="true" outlineLevel="0" collapsed="false">
      <c r="A8" s="7" t="s">
        <v>226</v>
      </c>
      <c r="B8" s="9" t="n">
        <v>3</v>
      </c>
    </row>
    <row r="9" customFormat="false" ht="15" hidden="false" customHeight="true" outlineLevel="0" collapsed="false">
      <c r="A9" s="7" t="s">
        <v>227</v>
      </c>
      <c r="B9" s="9" t="n">
        <v>3</v>
      </c>
    </row>
    <row r="10" customFormat="false" ht="15" hidden="false" customHeight="true" outlineLevel="0" collapsed="false">
      <c r="A10" s="7" t="s">
        <v>228</v>
      </c>
      <c r="B10" s="9" t="n">
        <v>3</v>
      </c>
    </row>
    <row r="11" customFormat="false" ht="15" hidden="false" customHeight="true" outlineLevel="0" collapsed="false">
      <c r="A11" s="7" t="s">
        <v>229</v>
      </c>
      <c r="B11" s="9" t="n">
        <v>3</v>
      </c>
    </row>
    <row r="13" customFormat="false" ht="15" hidden="false" customHeight="true" outlineLevel="0" collapsed="false">
      <c r="A13" s="3" t="s">
        <v>230</v>
      </c>
    </row>
    <row r="15" customFormat="false" ht="17.25" hidden="false" customHeight="true" outlineLevel="0" collapsed="false">
      <c r="A15" s="7" t="s">
        <v>231</v>
      </c>
      <c r="B15" s="11" t="n">
        <f aca="false">B4+B5+B6+B7+B8+B9+B10</f>
        <v>18</v>
      </c>
    </row>
    <row r="16" customFormat="false" ht="15" hidden="false" customHeight="true" outlineLevel="0" collapsed="false">
      <c r="A16" s="7" t="s">
        <v>232</v>
      </c>
      <c r="B16" s="10" t="n">
        <f aca="false">B15*100/35</f>
        <v>51.4285714285714</v>
      </c>
    </row>
    <row r="17" customFormat="false" ht="15" hidden="false" customHeight="true" outlineLevel="0" collapsed="false">
      <c r="A17" s="7" t="s">
        <v>233</v>
      </c>
      <c r="B17" s="10" t="str">
        <f aca="false">IF(B16&gt;90,"EXCELLENT",IF(B16&gt;75,"GOOD",IF(B16&gt;60,"FAIR","NEEDS WORK")))</f>
        <v>NEEDS WORK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41</v>
      </c>
    </row>
    <row r="3" customFormat="false" ht="15" hidden="false" customHeight="true" outlineLevel="0" collapsed="false">
      <c r="A3" s="3" t="s">
        <v>234</v>
      </c>
    </row>
    <row r="5" customFormat="false" ht="15" hidden="false" customHeight="true" outlineLevel="0" collapsed="false">
      <c r="A5" s="7" t="s">
        <v>235</v>
      </c>
      <c r="B5" s="9" t="n">
        <v>3</v>
      </c>
    </row>
    <row r="6" customFormat="false" ht="15" hidden="false" customHeight="true" outlineLevel="0" collapsed="false">
      <c r="A6" s="7" t="s">
        <v>236</v>
      </c>
      <c r="B6" s="9" t="n">
        <v>3</v>
      </c>
    </row>
    <row r="7" customFormat="false" ht="15" hidden="false" customHeight="true" outlineLevel="0" collapsed="false">
      <c r="A7" s="7" t="s">
        <v>237</v>
      </c>
      <c r="B7" s="9" t="n">
        <v>3</v>
      </c>
    </row>
    <row r="8" customFormat="false" ht="15" hidden="false" customHeight="true" outlineLevel="0" collapsed="false">
      <c r="A8" s="7" t="s">
        <v>238</v>
      </c>
      <c r="B8" s="9" t="n">
        <v>3</v>
      </c>
    </row>
    <row r="9" customFormat="false" ht="15" hidden="false" customHeight="true" outlineLevel="0" collapsed="false">
      <c r="A9" s="7" t="s">
        <v>239</v>
      </c>
      <c r="B9" s="9" t="n">
        <v>3</v>
      </c>
    </row>
    <row r="10" customFormat="false" ht="15" hidden="false" customHeight="true" outlineLevel="0" collapsed="false">
      <c r="A10" s="7" t="s">
        <v>240</v>
      </c>
      <c r="B10" s="9" t="n">
        <v>3</v>
      </c>
    </row>
    <row r="11" customFormat="false" ht="15" hidden="false" customHeight="true" outlineLevel="0" collapsed="false">
      <c r="A11" s="7" t="s">
        <v>241</v>
      </c>
      <c r="B11" s="9" t="n">
        <v>3</v>
      </c>
    </row>
    <row r="12" customFormat="false" ht="15" hidden="false" customHeight="true" outlineLevel="0" collapsed="false">
      <c r="A12" s="7" t="s">
        <v>242</v>
      </c>
      <c r="B12" s="9" t="n">
        <v>3</v>
      </c>
    </row>
    <row r="13" customFormat="false" ht="15" hidden="false" customHeight="true" outlineLevel="0" collapsed="false">
      <c r="A13" s="7" t="s">
        <v>243</v>
      </c>
      <c r="B13" s="9" t="n">
        <v>3</v>
      </c>
    </row>
    <row r="14" customFormat="false" ht="15" hidden="false" customHeight="true" outlineLevel="0" collapsed="false">
      <c r="A14" s="7" t="s">
        <v>244</v>
      </c>
      <c r="B14" s="9" t="n">
        <v>3</v>
      </c>
    </row>
    <row r="16" customFormat="false" ht="15" hidden="false" customHeight="true" outlineLevel="0" collapsed="false">
      <c r="A16" s="3" t="s">
        <v>245</v>
      </c>
    </row>
    <row r="18" customFormat="false" ht="15" hidden="false" customHeight="true" outlineLevel="0" collapsed="false">
      <c r="A18" s="7" t="s">
        <v>246</v>
      </c>
      <c r="B18" s="10" t="n">
        <f aca="false">SUM(B4:B13)</f>
        <v>27</v>
      </c>
    </row>
    <row r="19" customFormat="false" ht="15" hidden="false" customHeight="true" outlineLevel="0" collapsed="false">
      <c r="A19" s="7" t="s">
        <v>247</v>
      </c>
      <c r="B19" s="10" t="str">
        <f aca="false">IF(B18&lt;25,"CRITICAL",IF(B18&lt;35,"HIGH",IF(B18&lt;45,"MODERATE","HEALTHY")))</f>
        <v>HIGH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43</v>
      </c>
    </row>
    <row r="3" customFormat="false" ht="15" hidden="false" customHeight="true" outlineLevel="0" collapsed="false">
      <c r="A3" s="3" t="s">
        <v>248</v>
      </c>
    </row>
    <row r="5" customFormat="false" ht="15" hidden="false" customHeight="true" outlineLevel="0" collapsed="false">
      <c r="A5" s="7" t="s">
        <v>249</v>
      </c>
      <c r="B5" s="9" t="n">
        <v>300000</v>
      </c>
    </row>
    <row r="6" customFormat="false" ht="15" hidden="false" customHeight="true" outlineLevel="0" collapsed="false">
      <c r="A6" s="7" t="s">
        <v>250</v>
      </c>
      <c r="B6" s="9" t="n">
        <v>250000</v>
      </c>
    </row>
    <row r="7" customFormat="false" ht="15" hidden="false" customHeight="true" outlineLevel="0" collapsed="false">
      <c r="A7" s="7" t="s">
        <v>251</v>
      </c>
      <c r="B7" s="9" t="n">
        <v>200000</v>
      </c>
    </row>
    <row r="8" customFormat="false" ht="15" hidden="false" customHeight="true" outlineLevel="0" collapsed="false">
      <c r="A8" s="7" t="s">
        <v>252</v>
      </c>
      <c r="B8" s="9" t="n">
        <v>150000</v>
      </c>
    </row>
    <row r="9" customFormat="false" ht="15" hidden="false" customHeight="true" outlineLevel="0" collapsed="false">
      <c r="A9" s="7" t="s">
        <v>253</v>
      </c>
      <c r="B9" s="9" t="n">
        <v>100000</v>
      </c>
    </row>
    <row r="10" customFormat="false" ht="15" hidden="false" customHeight="true" outlineLevel="0" collapsed="false">
      <c r="A10" s="7" t="s">
        <v>254</v>
      </c>
      <c r="B10" s="9" t="n">
        <v>2000000</v>
      </c>
    </row>
    <row r="12" customFormat="false" ht="15" hidden="false" customHeight="true" outlineLevel="0" collapsed="false">
      <c r="A12" s="3" t="s">
        <v>255</v>
      </c>
    </row>
    <row r="14" customFormat="false" ht="15" hidden="false" customHeight="true" outlineLevel="0" collapsed="false">
      <c r="A14" s="7" t="s">
        <v>256</v>
      </c>
      <c r="B14" s="10" t="n">
        <f aca="false">((B4/B9)^2+(B5/B9)^2+(B6/B9)^2+(B7/B9)^2+(B8/B9)^2)*10000</f>
        <v>215000</v>
      </c>
    </row>
    <row r="15" customFormat="false" ht="15" hidden="false" customHeight="true" outlineLevel="0" collapsed="false">
      <c r="A15" s="7" t="s">
        <v>257</v>
      </c>
      <c r="B15" s="10" t="n">
        <f aca="false">B4/B9*100</f>
        <v>0</v>
      </c>
    </row>
    <row r="16" customFormat="false" ht="15" hidden="false" customHeight="true" outlineLevel="0" collapsed="false">
      <c r="A16" s="7" t="s">
        <v>258</v>
      </c>
      <c r="B16" s="10" t="str">
        <f aca="false">IF(B14&gt;2500,"HIGH",IF(B14&gt;1500,"MEDIUM","LOW"))</f>
        <v>HIGH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46</v>
      </c>
    </row>
    <row r="3" customFormat="false" ht="15" hidden="false" customHeight="true" outlineLevel="0" collapsed="false">
      <c r="A3" s="3" t="s">
        <v>259</v>
      </c>
    </row>
    <row r="5" customFormat="false" ht="15" hidden="false" customHeight="true" outlineLevel="0" collapsed="false">
      <c r="A5" s="7" t="s">
        <v>260</v>
      </c>
      <c r="B5" s="9" t="n">
        <v>1</v>
      </c>
    </row>
    <row r="6" customFormat="false" ht="15" hidden="false" customHeight="true" outlineLevel="0" collapsed="false">
      <c r="A6" s="7" t="s">
        <v>261</v>
      </c>
      <c r="B6" s="9" t="n">
        <v>1</v>
      </c>
    </row>
    <row r="7" customFormat="false" ht="15" hidden="false" customHeight="true" outlineLevel="0" collapsed="false">
      <c r="A7" s="7" t="s">
        <v>262</v>
      </c>
      <c r="B7" s="9" t="n">
        <v>1</v>
      </c>
    </row>
    <row r="8" customFormat="false" ht="15" hidden="false" customHeight="true" outlineLevel="0" collapsed="false">
      <c r="A8" s="7" t="s">
        <v>263</v>
      </c>
      <c r="B8" s="9" t="n">
        <v>1</v>
      </c>
    </row>
    <row r="9" customFormat="false" ht="15" hidden="false" customHeight="true" outlineLevel="0" collapsed="false">
      <c r="A9" s="7" t="s">
        <v>264</v>
      </c>
      <c r="B9" s="9" t="n">
        <v>1</v>
      </c>
    </row>
    <row r="10" customFormat="false" ht="15" hidden="false" customHeight="true" outlineLevel="0" collapsed="false">
      <c r="A10" s="7" t="s">
        <v>265</v>
      </c>
      <c r="B10" s="9" t="n">
        <v>1</v>
      </c>
    </row>
    <row r="11" customFormat="false" ht="15" hidden="false" customHeight="true" outlineLevel="0" collapsed="false">
      <c r="A11" s="7" t="s">
        <v>266</v>
      </c>
      <c r="B11" s="9" t="n">
        <v>1</v>
      </c>
    </row>
    <row r="12" customFormat="false" ht="15" hidden="false" customHeight="true" outlineLevel="0" collapsed="false">
      <c r="A12" s="7" t="s">
        <v>267</v>
      </c>
      <c r="B12" s="9" t="n">
        <v>1</v>
      </c>
    </row>
    <row r="13" customFormat="false" ht="15" hidden="false" customHeight="true" outlineLevel="0" collapsed="false">
      <c r="A13" s="7" t="s">
        <v>268</v>
      </c>
      <c r="B13" s="9" t="n">
        <v>1</v>
      </c>
    </row>
    <row r="14" customFormat="false" ht="15" hidden="false" customHeight="true" outlineLevel="0" collapsed="false">
      <c r="A14" s="7" t="s">
        <v>269</v>
      </c>
      <c r="B14" s="9" t="n">
        <v>1</v>
      </c>
    </row>
    <row r="15" customFormat="false" ht="15" hidden="false" customHeight="true" outlineLevel="0" collapsed="false">
      <c r="A15" s="7" t="s">
        <v>270</v>
      </c>
      <c r="B15" s="9" t="n">
        <v>1</v>
      </c>
    </row>
    <row r="16" customFormat="false" ht="15" hidden="false" customHeight="true" outlineLevel="0" collapsed="false">
      <c r="A16" s="7" t="s">
        <v>271</v>
      </c>
      <c r="B16" s="9" t="n">
        <v>1</v>
      </c>
    </row>
    <row r="17" customFormat="false" ht="15" hidden="false" customHeight="true" outlineLevel="0" collapsed="false">
      <c r="A17" s="7" t="s">
        <v>272</v>
      </c>
      <c r="B17" s="9" t="n">
        <v>1</v>
      </c>
    </row>
    <row r="18" customFormat="false" ht="15" hidden="false" customHeight="true" outlineLevel="0" collapsed="false">
      <c r="A18" s="7" t="s">
        <v>273</v>
      </c>
      <c r="B18" s="9" t="n">
        <v>1</v>
      </c>
    </row>
    <row r="19" customFormat="false" ht="15" hidden="false" customHeight="true" outlineLevel="0" collapsed="false">
      <c r="A19" s="7" t="s">
        <v>274</v>
      </c>
      <c r="B19" s="9" t="n">
        <v>1</v>
      </c>
    </row>
    <row r="20" customFormat="false" ht="15" hidden="false" customHeight="true" outlineLevel="0" collapsed="false">
      <c r="A20" s="7" t="s">
        <v>275</v>
      </c>
      <c r="B20" s="9" t="n">
        <v>1</v>
      </c>
    </row>
    <row r="21" customFormat="false" ht="15" hidden="false" customHeight="true" outlineLevel="0" collapsed="false">
      <c r="A21" s="7" t="s">
        <v>276</v>
      </c>
      <c r="B21" s="9" t="n">
        <v>1</v>
      </c>
    </row>
    <row r="22" customFormat="false" ht="15" hidden="false" customHeight="true" outlineLevel="0" collapsed="false">
      <c r="A22" s="7" t="s">
        <v>277</v>
      </c>
      <c r="B22" s="9" t="n">
        <v>1</v>
      </c>
    </row>
    <row r="23" customFormat="false" ht="15" hidden="false" customHeight="true" outlineLevel="0" collapsed="false">
      <c r="A23" s="7" t="s">
        <v>278</v>
      </c>
      <c r="B23" s="9" t="n">
        <v>1</v>
      </c>
    </row>
    <row r="24" customFormat="false" ht="15" hidden="false" customHeight="true" outlineLevel="0" collapsed="false">
      <c r="A24" s="7" t="s">
        <v>279</v>
      </c>
      <c r="B24" s="9" t="n">
        <v>1</v>
      </c>
    </row>
    <row r="26" customFormat="false" ht="15" hidden="false" customHeight="true" outlineLevel="0" collapsed="false">
      <c r="A26" s="3" t="s">
        <v>280</v>
      </c>
    </row>
    <row r="28" customFormat="false" ht="15" hidden="false" customHeight="true" outlineLevel="0" collapsed="false">
      <c r="A28" s="7" t="s">
        <v>281</v>
      </c>
      <c r="B28" s="10" t="n">
        <f aca="false">SUM(B4:B23)</f>
        <v>19</v>
      </c>
    </row>
    <row r="29" customFormat="false" ht="15" hidden="false" customHeight="true" outlineLevel="0" collapsed="false">
      <c r="A29" s="7" t="s">
        <v>282</v>
      </c>
      <c r="B29" s="10" t="n">
        <f aca="false">20</f>
        <v>20</v>
      </c>
    </row>
    <row r="30" customFormat="false" ht="15" hidden="false" customHeight="true" outlineLevel="0" collapsed="false">
      <c r="A30" s="7" t="s">
        <v>47</v>
      </c>
      <c r="B30" s="10" t="n">
        <f aca="false">B28/B29*100</f>
        <v>95</v>
      </c>
    </row>
    <row r="31" customFormat="false" ht="15" hidden="false" customHeight="true" outlineLevel="0" collapsed="false">
      <c r="A31" s="7" t="s">
        <v>283</v>
      </c>
      <c r="B31" s="10" t="str">
        <f aca="false">IF(B30=100,"COMPLETE",IF(B30&gt;=80,"NEARLY READY","IN PROGRESS"))</f>
        <v>NEARLY READY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284</v>
      </c>
    </row>
    <row r="3" customFormat="false" ht="15" hidden="false" customHeight="true" outlineLevel="0" collapsed="false">
      <c r="A3" s="3" t="s">
        <v>285</v>
      </c>
    </row>
    <row r="5" customFormat="false" ht="15" hidden="false" customHeight="true" outlineLevel="0" collapsed="false">
      <c r="A5" s="7" t="s">
        <v>286</v>
      </c>
      <c r="B5" s="9" t="n">
        <v>3</v>
      </c>
    </row>
    <row r="6" customFormat="false" ht="15" hidden="false" customHeight="true" outlineLevel="0" collapsed="false">
      <c r="A6" s="7" t="s">
        <v>287</v>
      </c>
      <c r="B6" s="9" t="n">
        <v>3</v>
      </c>
    </row>
    <row r="7" customFormat="false" ht="15" hidden="false" customHeight="true" outlineLevel="0" collapsed="false">
      <c r="A7" s="7" t="s">
        <v>288</v>
      </c>
      <c r="B7" s="9" t="n">
        <v>3</v>
      </c>
    </row>
    <row r="8" customFormat="false" ht="15" hidden="false" customHeight="true" outlineLevel="0" collapsed="false">
      <c r="A8" s="7" t="s">
        <v>289</v>
      </c>
      <c r="B8" s="9" t="n">
        <v>3</v>
      </c>
    </row>
    <row r="9" customFormat="false" ht="15" hidden="false" customHeight="true" outlineLevel="0" collapsed="false">
      <c r="A9" s="7" t="s">
        <v>290</v>
      </c>
      <c r="B9" s="9" t="n">
        <v>3</v>
      </c>
    </row>
    <row r="10" customFormat="false" ht="15" hidden="false" customHeight="true" outlineLevel="0" collapsed="false">
      <c r="A10" s="7" t="s">
        <v>291</v>
      </c>
      <c r="B10" s="9" t="n">
        <v>3</v>
      </c>
    </row>
    <row r="11" customFormat="false" ht="15" hidden="false" customHeight="true" outlineLevel="0" collapsed="false">
      <c r="A11" s="7" t="s">
        <v>292</v>
      </c>
      <c r="B11" s="9" t="n">
        <v>3</v>
      </c>
    </row>
    <row r="12" customFormat="false" ht="15" hidden="false" customHeight="true" outlineLevel="0" collapsed="false">
      <c r="A12" s="7" t="s">
        <v>293</v>
      </c>
      <c r="B12" s="9" t="n">
        <v>3</v>
      </c>
    </row>
    <row r="14" customFormat="false" ht="15" hidden="false" customHeight="true" outlineLevel="0" collapsed="false">
      <c r="A14" s="3" t="s">
        <v>294</v>
      </c>
    </row>
    <row r="16" customFormat="false" ht="17.25" hidden="false" customHeight="true" outlineLevel="0" collapsed="false">
      <c r="A16" s="7" t="s">
        <v>295</v>
      </c>
      <c r="B16" s="11" t="n">
        <f aca="false">SUM(B4:B11)</f>
        <v>21</v>
      </c>
    </row>
    <row r="17" customFormat="false" ht="15" hidden="false" customHeight="true" outlineLevel="0" collapsed="false">
      <c r="A17" s="7" t="s">
        <v>296</v>
      </c>
      <c r="B17" s="10" t="str">
        <f aca="false">IF(B16&gt;30,"SELL NOW",IF(B16&gt;20,"EXPLORE OPTIONS","HOLD &amp; IMPROVE"))</f>
        <v>EXPLORE OPTIONS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51</v>
      </c>
    </row>
    <row r="3" customFormat="false" ht="15" hidden="false" customHeight="true" outlineLevel="0" collapsed="false">
      <c r="A3" s="3" t="s">
        <v>297</v>
      </c>
    </row>
    <row r="5" customFormat="false" ht="15" hidden="false" customHeight="true" outlineLevel="0" collapsed="false">
      <c r="A5" s="7" t="s">
        <v>298</v>
      </c>
      <c r="B5" s="9" t="n">
        <v>24</v>
      </c>
    </row>
    <row r="6" customFormat="false" ht="15" hidden="false" customHeight="true" outlineLevel="0" collapsed="false">
      <c r="A6" s="7" t="s">
        <v>299</v>
      </c>
      <c r="B6" s="9" t="n">
        <v>21</v>
      </c>
    </row>
    <row r="7" customFormat="false" ht="15" hidden="false" customHeight="true" outlineLevel="0" collapsed="false">
      <c r="A7" s="7" t="s">
        <v>300</v>
      </c>
      <c r="B7" s="9" t="n">
        <v>5</v>
      </c>
    </row>
    <row r="9" customFormat="false" ht="15" hidden="false" customHeight="true" outlineLevel="0" collapsed="false">
      <c r="A9" s="3" t="s">
        <v>301</v>
      </c>
    </row>
    <row r="11" customFormat="false" ht="15" hidden="false" customHeight="true" outlineLevel="0" collapsed="false">
      <c r="A11" s="7" t="s">
        <v>302</v>
      </c>
      <c r="B11" s="10" t="n">
        <f aca="false">IF(B4=100,0,LOG(1-(B4/100))/LOG(1-B5/100))</f>
        <v>-0</v>
      </c>
    </row>
    <row r="12" customFormat="false" ht="15" hidden="false" customHeight="true" outlineLevel="0" collapsed="false">
      <c r="A12" s="7" t="s">
        <v>303</v>
      </c>
      <c r="B12" s="10" t="n">
        <f aca="false">MAX(0,B3-B11)</f>
        <v>0</v>
      </c>
    </row>
    <row r="14" customFormat="false" ht="15" hidden="false" customHeight="true" outlineLevel="0" collapsed="false">
      <c r="A14" s="3" t="s">
        <v>304</v>
      </c>
    </row>
    <row r="16" customFormat="false" ht="15" hidden="false" customHeight="true" outlineLevel="0" collapsed="false">
      <c r="A16" s="7" t="s">
        <v>305</v>
      </c>
      <c r="B16" s="10"/>
    </row>
    <row r="17" customFormat="false" ht="15" hidden="false" customHeight="true" outlineLevel="0" collapsed="false">
      <c r="A17" s="7" t="s">
        <v>306</v>
      </c>
      <c r="B17" s="10"/>
    </row>
    <row r="18" customFormat="false" ht="15" hidden="false" customHeight="true" outlineLevel="0" collapsed="false">
      <c r="A18" s="7" t="s">
        <v>307</v>
      </c>
      <c r="B18" s="10"/>
    </row>
    <row r="19" customFormat="false" ht="15" hidden="false" customHeight="true" outlineLevel="0" collapsed="false">
      <c r="A19" s="7" t="s">
        <v>308</v>
      </c>
      <c r="B19" s="10"/>
    </row>
    <row r="20" customFormat="false" ht="15" hidden="false" customHeight="true" outlineLevel="0" collapsed="false">
      <c r="A20" s="7" t="s">
        <v>309</v>
      </c>
      <c r="B2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53</v>
      </c>
    </row>
    <row r="3" customFormat="false" ht="15" hidden="false" customHeight="true" outlineLevel="0" collapsed="false">
      <c r="A3" s="3" t="s">
        <v>310</v>
      </c>
    </row>
    <row r="5" customFormat="false" ht="15" hidden="false" customHeight="true" outlineLevel="0" collapsed="false">
      <c r="A5" s="7" t="s">
        <v>311</v>
      </c>
      <c r="B5" s="9" t="n">
        <v>500000</v>
      </c>
    </row>
    <row r="6" customFormat="false" ht="15" hidden="false" customHeight="true" outlineLevel="0" collapsed="false">
      <c r="A6" s="7" t="s">
        <v>312</v>
      </c>
      <c r="B6" s="9" t="n">
        <v>450000</v>
      </c>
    </row>
    <row r="7" customFormat="false" ht="15" hidden="false" customHeight="true" outlineLevel="0" collapsed="false">
      <c r="A7" s="7" t="s">
        <v>313</v>
      </c>
      <c r="B7" s="9" t="n">
        <v>520000</v>
      </c>
    </row>
    <row r="9" customFormat="false" ht="15" hidden="false" customHeight="true" outlineLevel="0" collapsed="false">
      <c r="A9" s="3" t="s">
        <v>314</v>
      </c>
    </row>
    <row r="11" customFormat="false" ht="15" hidden="false" customHeight="true" outlineLevel="0" collapsed="false">
      <c r="A11" s="7" t="s">
        <v>315</v>
      </c>
      <c r="B11" s="10" t="n">
        <f aca="false">B7-B6</f>
        <v>70000</v>
      </c>
    </row>
    <row r="12" customFormat="false" ht="15" hidden="false" customHeight="true" outlineLevel="0" collapsed="false">
      <c r="A12" s="7" t="s">
        <v>316</v>
      </c>
      <c r="B12" s="10" t="str">
        <f aca="false">IF(B11&gt;0,"Buyer owes seller","Seller owes buyer")</f>
        <v>Buyer owes seller</v>
      </c>
    </row>
    <row r="13" customFormat="false" ht="17.25" hidden="false" customHeight="true" outlineLevel="0" collapsed="false">
      <c r="A13" s="7" t="s">
        <v>317</v>
      </c>
      <c r="B13" s="11" t="n">
        <f aca="false">B11</f>
        <v>70000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55</v>
      </c>
    </row>
    <row r="3" customFormat="false" ht="15" hidden="false" customHeight="true" outlineLevel="0" collapsed="false">
      <c r="A3" s="3" t="s">
        <v>318</v>
      </c>
    </row>
    <row r="5" customFormat="false" ht="15" hidden="false" customHeight="true" outlineLevel="0" collapsed="false">
      <c r="A5" s="7" t="s">
        <v>319</v>
      </c>
      <c r="B5" s="9" t="s">
        <v>320</v>
      </c>
    </row>
    <row r="6" customFormat="false" ht="15" hidden="false" customHeight="true" outlineLevel="0" collapsed="false">
      <c r="A6" s="7" t="s">
        <v>321</v>
      </c>
      <c r="B6" s="9" t="n">
        <v>8000000</v>
      </c>
    </row>
    <row r="7" customFormat="false" ht="15" hidden="false" customHeight="true" outlineLevel="0" collapsed="false">
      <c r="A7" s="7" t="s">
        <v>322</v>
      </c>
      <c r="B7" s="9" t="n">
        <v>70</v>
      </c>
    </row>
    <row r="8" customFormat="false" ht="15" hidden="false" customHeight="true" outlineLevel="0" collapsed="false">
      <c r="A8" s="7" t="s">
        <v>323</v>
      </c>
      <c r="B8" s="9" t="n">
        <v>20</v>
      </c>
    </row>
    <row r="9" customFormat="false" ht="15" hidden="false" customHeight="true" outlineLevel="0" collapsed="false">
      <c r="A9" s="7" t="s">
        <v>324</v>
      </c>
      <c r="B9" s="9" t="n">
        <v>10</v>
      </c>
    </row>
    <row r="10" customFormat="false" ht="15" hidden="false" customHeight="true" outlineLevel="0" collapsed="false">
      <c r="A10" s="7" t="s">
        <v>325</v>
      </c>
      <c r="B10" s="9" t="n">
        <v>5</v>
      </c>
    </row>
    <row r="11" customFormat="false" ht="15" hidden="false" customHeight="true" outlineLevel="0" collapsed="false">
      <c r="A11" s="7" t="s">
        <v>326</v>
      </c>
      <c r="B11" s="9" t="n">
        <v>100000</v>
      </c>
    </row>
    <row r="13" customFormat="false" ht="15" hidden="false" customHeight="true" outlineLevel="0" collapsed="false">
      <c r="A13" s="3" t="s">
        <v>327</v>
      </c>
    </row>
    <row r="15" customFormat="false" ht="15" hidden="false" customHeight="true" outlineLevel="0" collapsed="false">
      <c r="A15" s="7" t="s">
        <v>319</v>
      </c>
      <c r="B15" s="9" t="s">
        <v>328</v>
      </c>
    </row>
    <row r="16" customFormat="false" ht="15" hidden="false" customHeight="true" outlineLevel="0" collapsed="false">
      <c r="A16" s="7" t="s">
        <v>321</v>
      </c>
      <c r="B16" s="9" t="n">
        <v>7500000</v>
      </c>
    </row>
    <row r="17" customFormat="false" ht="15" hidden="false" customHeight="true" outlineLevel="0" collapsed="false">
      <c r="A17" s="7" t="s">
        <v>322</v>
      </c>
      <c r="B17" s="9" t="n">
        <v>60</v>
      </c>
    </row>
    <row r="18" customFormat="false" ht="15" hidden="false" customHeight="true" outlineLevel="0" collapsed="false">
      <c r="A18" s="7" t="s">
        <v>323</v>
      </c>
      <c r="B18" s="9" t="n">
        <v>25</v>
      </c>
    </row>
    <row r="19" customFormat="false" ht="15" hidden="false" customHeight="true" outlineLevel="0" collapsed="false">
      <c r="A19" s="7" t="s">
        <v>324</v>
      </c>
      <c r="B19" s="9" t="n">
        <v>15</v>
      </c>
    </row>
    <row r="20" customFormat="false" ht="15" hidden="false" customHeight="true" outlineLevel="0" collapsed="false">
      <c r="A20" s="7" t="s">
        <v>325</v>
      </c>
      <c r="B20" s="9" t="n">
        <v>10</v>
      </c>
    </row>
    <row r="21" customFormat="false" ht="15" hidden="false" customHeight="true" outlineLevel="0" collapsed="false">
      <c r="A21" s="7" t="s">
        <v>326</v>
      </c>
      <c r="B21" s="9" t="n">
        <v>-50000</v>
      </c>
    </row>
    <row r="23" customFormat="false" ht="15" hidden="false" customHeight="true" outlineLevel="0" collapsed="false">
      <c r="A23" s="3" t="s">
        <v>329</v>
      </c>
    </row>
    <row r="25" customFormat="false" ht="15" hidden="false" customHeight="true" outlineLevel="0" collapsed="false">
      <c r="A25" s="7" t="s">
        <v>319</v>
      </c>
      <c r="B25" s="9" t="s">
        <v>330</v>
      </c>
    </row>
    <row r="26" customFormat="false" ht="15" hidden="false" customHeight="true" outlineLevel="0" collapsed="false">
      <c r="A26" s="7" t="s">
        <v>321</v>
      </c>
      <c r="B26" s="9" t="n">
        <v>8500000</v>
      </c>
    </row>
    <row r="27" customFormat="false" ht="15" hidden="false" customHeight="true" outlineLevel="0" collapsed="false">
      <c r="A27" s="7" t="s">
        <v>322</v>
      </c>
      <c r="B27" s="9" t="n">
        <v>50</v>
      </c>
    </row>
    <row r="28" customFormat="false" ht="15" hidden="false" customHeight="true" outlineLevel="0" collapsed="false">
      <c r="A28" s="7" t="s">
        <v>323</v>
      </c>
      <c r="B28" s="9" t="n">
        <v>30</v>
      </c>
    </row>
    <row r="29" customFormat="false" ht="15" hidden="false" customHeight="true" outlineLevel="0" collapsed="false">
      <c r="A29" s="7" t="s">
        <v>324</v>
      </c>
      <c r="B29" s="9" t="n">
        <v>20</v>
      </c>
    </row>
    <row r="30" customFormat="false" ht="15" hidden="false" customHeight="true" outlineLevel="0" collapsed="false">
      <c r="A30" s="7" t="s">
        <v>325</v>
      </c>
      <c r="B30" s="9" t="n">
        <v>15</v>
      </c>
    </row>
    <row r="31" customFormat="false" ht="15" hidden="false" customHeight="true" outlineLevel="0" collapsed="false">
      <c r="A31" s="7"/>
      <c r="B31" s="9"/>
    </row>
    <row r="32" customFormat="false" ht="15" hidden="false" customHeight="true" outlineLevel="0" collapsed="false"/>
    <row r="33" customFormat="false" ht="15" hidden="false" customHeight="true" outlineLevel="0" collapsed="false">
      <c r="A33" s="3"/>
    </row>
    <row r="34" customFormat="false" ht="15" hidden="false" customHeight="true" outlineLevel="0" collapsed="false"/>
    <row r="35" customFormat="false" ht="15" hidden="false" customHeight="true" outlineLevel="0" collapsed="false">
      <c r="A35" s="7" t="s">
        <v>331</v>
      </c>
      <c r="B35" s="7" t="s">
        <v>332</v>
      </c>
      <c r="C35" s="7" t="s">
        <v>333</v>
      </c>
      <c r="D35" s="7" t="s">
        <v>124</v>
      </c>
    </row>
    <row r="36" customFormat="false" ht="15" hidden="false" customHeight="true" outlineLevel="0" collapsed="false">
      <c r="A36" s="7" t="s">
        <v>334</v>
      </c>
      <c r="B36" s="12" t="n">
        <f aca="false">B6*B7/100</f>
        <v>5600000</v>
      </c>
      <c r="C36" s="12" t="n">
        <f aca="false">B16*B17/100</f>
        <v>4500000</v>
      </c>
      <c r="D36" s="12" t="n">
        <f aca="false">B26*B27/100</f>
        <v>4250000</v>
      </c>
    </row>
    <row r="37" customFormat="false" ht="15" hidden="false" customHeight="true" outlineLevel="0" collapsed="false">
      <c r="A37" s="7" t="s">
        <v>335</v>
      </c>
      <c r="B37" s="12" t="n">
        <f aca="false">B6*B8/100*0.5</f>
        <v>800000</v>
      </c>
      <c r="C37" s="12" t="n">
        <f aca="false">B16*B18/100*0.5</f>
        <v>937500</v>
      </c>
      <c r="D37" s="12" t="n">
        <f aca="false">B26*B28/100*0.5</f>
        <v>1275000</v>
      </c>
    </row>
    <row r="38" customFormat="false" ht="17.25" hidden="false" customHeight="true" outlineLevel="0" collapsed="false">
      <c r="A38" s="13" t="s">
        <v>336</v>
      </c>
      <c r="B38" s="14" t="n">
        <f aca="false">B36+B37</f>
        <v>6400000</v>
      </c>
      <c r="C38" s="14" t="n">
        <f aca="false">C36+C37</f>
        <v>5437500</v>
      </c>
      <c r="D38" s="14" t="n">
        <f aca="false">D36+D37</f>
        <v>5525000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57</v>
      </c>
    </row>
    <row r="3" customFormat="false" ht="15" hidden="false" customHeight="true" outlineLevel="0" collapsed="false">
      <c r="A3" s="3" t="s">
        <v>337</v>
      </c>
    </row>
    <row r="5" customFormat="false" ht="15" hidden="false" customHeight="true" outlineLevel="0" collapsed="false">
      <c r="A5" s="7" t="s">
        <v>338</v>
      </c>
      <c r="B5" s="9" t="n">
        <v>5000000</v>
      </c>
    </row>
    <row r="6" customFormat="false" ht="15" hidden="false" customHeight="true" outlineLevel="0" collapsed="false">
      <c r="A6" s="7" t="s">
        <v>339</v>
      </c>
      <c r="B6" s="9" t="n">
        <v>25000</v>
      </c>
    </row>
    <row r="7" customFormat="false" ht="15" hidden="false" customHeight="true" outlineLevel="0" collapsed="false">
      <c r="A7" s="7" t="s">
        <v>340</v>
      </c>
      <c r="B7" s="9" t="n">
        <v>2</v>
      </c>
    </row>
    <row r="8" customFormat="false" ht="15" hidden="false" customHeight="true" outlineLevel="0" collapsed="false">
      <c r="A8" s="7" t="s">
        <v>341</v>
      </c>
      <c r="B8" s="9" t="n">
        <v>100000</v>
      </c>
    </row>
    <row r="10" customFormat="false" ht="15" hidden="false" customHeight="true" outlineLevel="0" collapsed="false">
      <c r="A10" s="3" t="s">
        <v>342</v>
      </c>
    </row>
    <row r="12" customFormat="false" ht="15" hidden="false" customHeight="true" outlineLevel="0" collapsed="false">
      <c r="A12" s="7" t="s">
        <v>343</v>
      </c>
      <c r="B12" s="10" t="n">
        <f aca="false">1000000*0.05</f>
        <v>50000</v>
      </c>
    </row>
    <row r="13" customFormat="false" ht="15" hidden="false" customHeight="true" outlineLevel="0" collapsed="false">
      <c r="A13" s="7" t="s">
        <v>344</v>
      </c>
      <c r="B13" s="10" t="n">
        <f aca="false">1000000*0.04</f>
        <v>40000</v>
      </c>
    </row>
    <row r="14" customFormat="false" ht="15" hidden="false" customHeight="true" outlineLevel="0" collapsed="false">
      <c r="A14" s="7" t="s">
        <v>345</v>
      </c>
      <c r="B14" s="10" t="n">
        <f aca="false">1000000*0.03</f>
        <v>30000</v>
      </c>
    </row>
    <row r="15" customFormat="false" ht="15" hidden="false" customHeight="true" outlineLevel="0" collapsed="false">
      <c r="A15" s="7" t="s">
        <v>346</v>
      </c>
      <c r="B15" s="10" t="n">
        <f aca="false">2000000*0.02</f>
        <v>40000</v>
      </c>
    </row>
    <row r="16" customFormat="false" ht="15" hidden="false" customHeight="true" outlineLevel="0" collapsed="false">
      <c r="A16" s="7" t="s">
        <v>347</v>
      </c>
      <c r="B16" s="10" t="n">
        <f aca="false">MAX(0,B3-5000000)*0.01</f>
        <v>0</v>
      </c>
    </row>
    <row r="17" customFormat="false" ht="15" hidden="false" customHeight="true" outlineLevel="0" collapsed="false">
      <c r="A17" s="7" t="s">
        <v>348</v>
      </c>
      <c r="B17" s="10" t="n">
        <f aca="false">SUM(B13:B16)</f>
        <v>110000</v>
      </c>
    </row>
    <row r="19" customFormat="false" ht="15" hidden="false" customHeight="true" outlineLevel="0" collapsed="false">
      <c r="A19" s="3" t="s">
        <v>349</v>
      </c>
    </row>
    <row r="21" customFormat="false" ht="15" hidden="false" customHeight="true" outlineLevel="0" collapsed="false">
      <c r="A21" s="7" t="s">
        <v>350</v>
      </c>
      <c r="B21" s="10" t="n">
        <f aca="false">B3*B6/100</f>
        <v>0</v>
      </c>
    </row>
    <row r="22" customFormat="false" ht="15" hidden="false" customHeight="true" outlineLevel="0" collapsed="false">
      <c r="A22" s="7" t="s">
        <v>351</v>
      </c>
      <c r="B22" s="10" t="n">
        <f aca="false">B4+(B3*B6/100)</f>
        <v>0</v>
      </c>
    </row>
    <row r="23" customFormat="false" ht="15" hidden="false" customHeight="true" outlineLevel="0" collapsed="false">
      <c r="A23" s="7" t="s">
        <v>352</v>
      </c>
      <c r="B23" s="10" t="str">
        <f aca="false">IF(MIN(B20,B21,B22)=B20,"LEHMAN",IF(MIN(B20,B21,B22)=B21,"FLAT %","RETAINER+SUCCESS"))</f>
        <v>LEHMAN</v>
      </c>
    </row>
    <row r="25" customFormat="false" ht="15" hidden="false" customHeight="true" outlineLevel="0" collapsed="false">
      <c r="A25" s="3" t="s">
        <v>353</v>
      </c>
    </row>
    <row r="27" customFormat="false" ht="15" hidden="false" customHeight="true" outlineLevel="0" collapsed="false">
      <c r="A27" s="7" t="s">
        <v>354</v>
      </c>
      <c r="B27" s="10" t="n">
        <f aca="false">B3-B21</f>
        <v>0</v>
      </c>
    </row>
    <row r="28" customFormat="false" ht="15" hidden="false" customHeight="true" outlineLevel="0" collapsed="false">
      <c r="A28" s="7" t="s">
        <v>355</v>
      </c>
      <c r="B28" s="10" t="n">
        <f aca="false">B3-B25</f>
        <v>0</v>
      </c>
    </row>
    <row r="29" customFormat="false" ht="15" hidden="false" customHeight="true" outlineLevel="0" collapsed="false">
      <c r="A29" s="7" t="s">
        <v>356</v>
      </c>
      <c r="B29" s="10" t="n">
        <f aca="false">B3-B27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60</v>
      </c>
    </row>
    <row r="3" customFormat="false" ht="15" hidden="false" customHeight="true" outlineLevel="0" collapsed="false">
      <c r="A3" s="3" t="s">
        <v>357</v>
      </c>
    </row>
    <row r="5" customFormat="false" ht="15" hidden="false" customHeight="true" outlineLevel="0" collapsed="false">
      <c r="A5" s="7" t="s">
        <v>160</v>
      </c>
      <c r="B5" s="9" t="n">
        <v>5000000</v>
      </c>
    </row>
    <row r="6" customFormat="false" ht="15" hidden="false" customHeight="true" outlineLevel="0" collapsed="false">
      <c r="A6" s="7" t="s">
        <v>358</v>
      </c>
      <c r="B6" s="9" t="n">
        <v>1000000</v>
      </c>
    </row>
    <row r="7" customFormat="false" ht="15" hidden="false" customHeight="true" outlineLevel="0" collapsed="false">
      <c r="A7" s="7" t="s">
        <v>359</v>
      </c>
      <c r="B7" s="9" t="n">
        <v>30</v>
      </c>
    </row>
    <row r="8" customFormat="false" ht="15" hidden="false" customHeight="true" outlineLevel="0" collapsed="false">
      <c r="A8" s="7" t="s">
        <v>360</v>
      </c>
      <c r="B8" s="9" t="n">
        <v>5</v>
      </c>
    </row>
    <row r="9" customFormat="false" ht="15" hidden="false" customHeight="true" outlineLevel="0" collapsed="false">
      <c r="A9" s="7" t="s">
        <v>361</v>
      </c>
      <c r="B9" s="9" t="n">
        <v>5</v>
      </c>
    </row>
    <row r="10" customFormat="false" ht="15" hidden="false" customHeight="true" outlineLevel="0" collapsed="false">
      <c r="A10" s="7" t="s">
        <v>362</v>
      </c>
      <c r="B10" s="9" t="n">
        <v>20</v>
      </c>
    </row>
    <row r="12" customFormat="false" ht="15" hidden="false" customHeight="true" outlineLevel="0" collapsed="false">
      <c r="A12" s="3" t="s">
        <v>363</v>
      </c>
    </row>
    <row r="14" customFormat="false" ht="15" hidden="false" customHeight="true" outlineLevel="0" collapsed="false">
      <c r="A14" s="7" t="s">
        <v>166</v>
      </c>
      <c r="B14" s="10" t="n">
        <f aca="false">B3-B4</f>
        <v>0</v>
      </c>
    </row>
    <row r="15" customFormat="false" ht="15" hidden="false" customHeight="true" outlineLevel="0" collapsed="false">
      <c r="A15" s="7" t="s">
        <v>364</v>
      </c>
      <c r="B15" s="10" t="n">
        <f aca="false">(B11-B4/B8)*B8</f>
        <v>0</v>
      </c>
    </row>
    <row r="16" customFormat="false" ht="15" hidden="false" customHeight="true" outlineLevel="0" collapsed="false">
      <c r="A16" s="7" t="s">
        <v>365</v>
      </c>
      <c r="B16" s="10" t="n">
        <f aca="false">B3*(1-B6/100)/B8</f>
        <v>-0</v>
      </c>
    </row>
    <row r="17" customFormat="false" ht="15" hidden="false" customHeight="true" outlineLevel="0" collapsed="false">
      <c r="A17" s="7" t="s">
        <v>366</v>
      </c>
      <c r="B17" s="10" t="n">
        <f aca="false">(B16-B4/B9)*B9*B7/100</f>
        <v>-0</v>
      </c>
    </row>
    <row r="19" customFormat="false" ht="15" hidden="false" customHeight="true" outlineLevel="0" collapsed="false">
      <c r="A19" s="3" t="s">
        <v>367</v>
      </c>
    </row>
    <row r="21" customFormat="false" ht="15" hidden="false" customHeight="true" outlineLevel="0" collapsed="false">
      <c r="A21" s="7" t="s">
        <v>368</v>
      </c>
      <c r="B21" s="10" t="n">
        <f aca="false">B20*B8</f>
        <v>0</v>
      </c>
    </row>
    <row r="22" customFormat="false" ht="15" hidden="false" customHeight="true" outlineLevel="0" collapsed="false">
      <c r="A22" s="7" t="s">
        <v>369</v>
      </c>
      <c r="B22" s="10" t="n">
        <f aca="false">B10*B7/100</f>
        <v>6</v>
      </c>
    </row>
    <row r="23" customFormat="false" ht="15" hidden="false" customHeight="true" outlineLevel="0" collapsed="false">
      <c r="A23" s="7" t="s">
        <v>370</v>
      </c>
      <c r="B23" s="10" t="n">
        <f aca="false">B22-B21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62</v>
      </c>
    </row>
    <row r="3" customFormat="false" ht="15" hidden="false" customHeight="true" outlineLevel="0" collapsed="false">
      <c r="A3" s="3" t="s">
        <v>371</v>
      </c>
    </row>
    <row r="5" customFormat="false" ht="15" hidden="false" customHeight="true" outlineLevel="0" collapsed="false">
      <c r="A5" s="7" t="s">
        <v>372</v>
      </c>
      <c r="B5" s="9" t="n">
        <v>2000000</v>
      </c>
    </row>
    <row r="6" customFormat="false" ht="15" hidden="false" customHeight="true" outlineLevel="0" collapsed="false">
      <c r="A6" s="7" t="s">
        <v>373</v>
      </c>
      <c r="B6" s="9" t="n">
        <v>10</v>
      </c>
    </row>
    <row r="7" customFormat="false" ht="15" hidden="false" customHeight="true" outlineLevel="0" collapsed="false">
      <c r="A7" s="7" t="s">
        <v>374</v>
      </c>
      <c r="B7" s="9" t="n">
        <v>8</v>
      </c>
    </row>
    <row r="8" customFormat="false" ht="15" hidden="false" customHeight="true" outlineLevel="0" collapsed="false">
      <c r="A8" s="7" t="s">
        <v>362</v>
      </c>
      <c r="B8" s="9" t="n">
        <v>20</v>
      </c>
    </row>
    <row r="10" customFormat="false" ht="15" hidden="false" customHeight="true" outlineLevel="0" collapsed="false">
      <c r="A10" s="3" t="s">
        <v>375</v>
      </c>
    </row>
    <row r="12" customFormat="false" ht="15" hidden="false" customHeight="true" outlineLevel="0" collapsed="false">
      <c r="A12" s="7" t="s">
        <v>376</v>
      </c>
      <c r="B12" s="10" t="n">
        <f aca="false">B3*(1+B5/100)^B4</f>
        <v>0</v>
      </c>
    </row>
    <row r="13" customFormat="false" ht="15" hidden="false" customHeight="true" outlineLevel="0" collapsed="false">
      <c r="A13" s="7" t="s">
        <v>377</v>
      </c>
      <c r="B13" s="10" t="n">
        <f aca="false">B12-B3</f>
        <v>0</v>
      </c>
    </row>
    <row r="14" customFormat="false" ht="15" hidden="false" customHeight="true" outlineLevel="0" collapsed="false">
      <c r="A14" s="7" t="s">
        <v>378</v>
      </c>
      <c r="B14" s="10" t="n">
        <f aca="false">B13*B6/100</f>
        <v>0</v>
      </c>
    </row>
    <row r="15" customFormat="false" ht="15" hidden="false" customHeight="true" outlineLevel="0" collapsed="false">
      <c r="A15" s="7" t="s">
        <v>379</v>
      </c>
      <c r="B15" s="10" t="n">
        <f aca="false">B12-B14</f>
        <v>0</v>
      </c>
    </row>
    <row r="17" customFormat="false" ht="15" hidden="false" customHeight="true" outlineLevel="0" collapsed="false">
      <c r="A17" s="3" t="s">
        <v>380</v>
      </c>
    </row>
    <row r="19" customFormat="false" ht="15" hidden="false" customHeight="true" outlineLevel="0" collapsed="false">
      <c r="A19" s="7" t="s">
        <v>381</v>
      </c>
      <c r="B19" s="10" t="n">
        <f aca="false">B3*(1+B5/100)^B4</f>
        <v>0</v>
      </c>
    </row>
    <row r="20" customFormat="false" ht="15" hidden="false" customHeight="true" outlineLevel="0" collapsed="false">
      <c r="A20" s="7" t="s">
        <v>382</v>
      </c>
      <c r="B20" s="10" t="n">
        <f aca="false">(B19-B3)*B6/100</f>
        <v>0</v>
      </c>
    </row>
    <row r="21" customFormat="false" ht="15" hidden="false" customHeight="true" outlineLevel="0" collapsed="false">
      <c r="A21" s="7" t="s">
        <v>383</v>
      </c>
      <c r="B21" s="10" t="n">
        <f aca="false">B19-B20</f>
        <v>0</v>
      </c>
    </row>
    <row r="23" customFormat="false" ht="15" hidden="false" customHeight="true" outlineLevel="0" collapsed="false">
      <c r="A23" s="3" t="s">
        <v>384</v>
      </c>
    </row>
    <row r="25" customFormat="false" ht="17.25" hidden="false" customHeight="true" outlineLevel="0" collapsed="false">
      <c r="A25" s="7" t="s">
        <v>385</v>
      </c>
      <c r="B25" s="11" t="n">
        <f aca="false">B20-B24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64</v>
      </c>
    </row>
    <row r="3" customFormat="false" ht="15" hidden="false" customHeight="true" outlineLevel="0" collapsed="false">
      <c r="A3" s="3" t="s">
        <v>386</v>
      </c>
    </row>
    <row r="5" customFormat="false" ht="15" hidden="false" customHeight="true" outlineLevel="0" collapsed="false">
      <c r="A5" s="7" t="s">
        <v>160</v>
      </c>
      <c r="B5" s="9" t="n">
        <v>5000000</v>
      </c>
    </row>
    <row r="6" customFormat="false" ht="15" hidden="false" customHeight="true" outlineLevel="0" collapsed="false">
      <c r="A6" s="7" t="s">
        <v>358</v>
      </c>
      <c r="B6" s="9" t="n">
        <v>1000000</v>
      </c>
    </row>
    <row r="7" customFormat="false" ht="15" hidden="false" customHeight="true" outlineLevel="0" collapsed="false">
      <c r="A7" s="7" t="s">
        <v>387</v>
      </c>
      <c r="B7" s="9" t="n">
        <v>20</v>
      </c>
    </row>
    <row r="8" customFormat="false" ht="15" hidden="false" customHeight="true" outlineLevel="0" collapsed="false">
      <c r="A8" s="7" t="s">
        <v>388</v>
      </c>
      <c r="B8" s="9" t="n">
        <v>25</v>
      </c>
    </row>
    <row r="9" customFormat="false" ht="15" hidden="false" customHeight="true" outlineLevel="0" collapsed="false">
      <c r="A9" s="7" t="s">
        <v>389</v>
      </c>
      <c r="B9" s="9" t="n">
        <v>5</v>
      </c>
    </row>
    <row r="11" customFormat="false" ht="15" hidden="false" customHeight="true" outlineLevel="0" collapsed="false">
      <c r="A11" s="3" t="s">
        <v>390</v>
      </c>
    </row>
    <row r="13" customFormat="false" ht="15" hidden="false" customHeight="true" outlineLevel="0" collapsed="false">
      <c r="A13" s="7" t="s">
        <v>391</v>
      </c>
      <c r="B13" s="10" t="n">
        <f aca="false">B3-B4</f>
        <v>0</v>
      </c>
    </row>
    <row r="14" customFormat="false" ht="15" hidden="false" customHeight="true" outlineLevel="0" collapsed="false">
      <c r="A14" s="7" t="s">
        <v>392</v>
      </c>
      <c r="B14" s="10" t="n">
        <f aca="false">B13*B6/100</f>
        <v>0</v>
      </c>
    </row>
    <row r="15" customFormat="false" ht="15" hidden="false" customHeight="true" outlineLevel="0" collapsed="false">
      <c r="A15" s="7" t="s">
        <v>393</v>
      </c>
      <c r="B15" s="10" t="n">
        <f aca="false">B13*B7/100</f>
        <v>0</v>
      </c>
    </row>
    <row r="16" customFormat="false" ht="15" hidden="false" customHeight="true" outlineLevel="0" collapsed="false">
      <c r="A16" s="7" t="s">
        <v>394</v>
      </c>
      <c r="B16" s="10" t="n">
        <f aca="false">B15*B8/100</f>
        <v>0</v>
      </c>
    </row>
    <row r="17" customFormat="false" ht="15" hidden="false" customHeight="true" outlineLevel="0" collapsed="false">
      <c r="A17" s="7" t="s">
        <v>395</v>
      </c>
      <c r="B17" s="10" t="n">
        <f aca="false">B16-B16</f>
        <v>0</v>
      </c>
    </row>
    <row r="18" customFormat="false" ht="15" hidden="false" customHeight="true" outlineLevel="0" collapsed="false">
      <c r="A18" s="7" t="s">
        <v>396</v>
      </c>
      <c r="B18" s="10" t="n">
        <f aca="false">B14+B17</f>
        <v>0</v>
      </c>
    </row>
    <row r="19" customFormat="false" ht="15" hidden="false" customHeight="true" outlineLevel="0" collapsed="false">
      <c r="A19" s="7" t="s">
        <v>397</v>
      </c>
      <c r="B19" s="10" t="n">
        <f aca="false">B18/B7*100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66</v>
      </c>
    </row>
    <row r="3" customFormat="false" ht="15" hidden="false" customHeight="true" outlineLevel="0" collapsed="false">
      <c r="A3" s="3" t="s">
        <v>398</v>
      </c>
    </row>
    <row r="5" customFormat="false" ht="15" hidden="false" customHeight="true" outlineLevel="0" collapsed="false">
      <c r="A5" s="7" t="s">
        <v>399</v>
      </c>
      <c r="B5" s="9" t="n">
        <v>3000000</v>
      </c>
    </row>
    <row r="6" customFormat="false" ht="15" hidden="false" customHeight="true" outlineLevel="0" collapsed="false">
      <c r="A6" s="7" t="s">
        <v>374</v>
      </c>
      <c r="B6" s="9" t="n">
        <v>6</v>
      </c>
    </row>
    <row r="7" customFormat="false" ht="15" hidden="false" customHeight="true" outlineLevel="0" collapsed="false">
      <c r="A7" s="7" t="s">
        <v>400</v>
      </c>
      <c r="B7" s="9" t="n">
        <v>3</v>
      </c>
    </row>
    <row r="8" customFormat="false" ht="15" hidden="false" customHeight="true" outlineLevel="0" collapsed="false">
      <c r="A8" s="7" t="s">
        <v>401</v>
      </c>
      <c r="B8" s="9" t="n">
        <v>500000</v>
      </c>
    </row>
    <row r="9" customFormat="false" ht="15" hidden="false" customHeight="true" outlineLevel="0" collapsed="false">
      <c r="A9" s="7" t="s">
        <v>402</v>
      </c>
      <c r="B9" s="9" t="n">
        <v>30</v>
      </c>
    </row>
    <row r="11" customFormat="false" ht="15" hidden="false" customHeight="true" outlineLevel="0" collapsed="false">
      <c r="A11" s="3" t="s">
        <v>403</v>
      </c>
    </row>
    <row r="13" customFormat="false" ht="15" hidden="false" customHeight="true" outlineLevel="0" collapsed="false">
      <c r="A13" s="7" t="s">
        <v>404</v>
      </c>
      <c r="B13" s="10" t="n">
        <f aca="false">B5*0.04</f>
        <v>120000</v>
      </c>
    </row>
    <row r="14" customFormat="false" ht="15" hidden="false" customHeight="true" outlineLevel="0" collapsed="false">
      <c r="A14" s="7" t="s">
        <v>405</v>
      </c>
      <c r="B14" s="10" t="n">
        <f aca="false">B13/12</f>
        <v>10000</v>
      </c>
    </row>
    <row r="15" customFormat="false" ht="15" hidden="false" customHeight="true" outlineLevel="0" collapsed="false">
      <c r="A15" s="7" t="s">
        <v>406</v>
      </c>
      <c r="B15" s="10" t="n">
        <f aca="false">B13/B5*100</f>
        <v>4</v>
      </c>
    </row>
    <row r="17" customFormat="false" ht="15" hidden="false" customHeight="true" outlineLevel="0" collapsed="false">
      <c r="A17" s="3" t="s">
        <v>407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7" t="s">
        <v>408</v>
      </c>
      <c r="B19" s="10" t="n">
        <f aca="false">B6-B7</f>
        <v>3</v>
      </c>
    </row>
    <row r="20" customFormat="false" ht="15" hidden="false" customHeight="true" outlineLevel="0" collapsed="false">
      <c r="A20" s="7" t="s">
        <v>409</v>
      </c>
      <c r="B20" s="10" t="n">
        <f aca="false">B13*(1+B7/100)^10</f>
        <v>161269.965521295</v>
      </c>
    </row>
    <row r="21" customFormat="false" ht="15" hidden="false" customHeight="true" outlineLevel="0" collapsed="false">
      <c r="A21" s="7" t="s">
        <v>410</v>
      </c>
      <c r="B21" s="10" t="n">
        <f aca="false">B5*(1+B6/100)^10</f>
        <v>5372543.08962856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69</v>
      </c>
    </row>
    <row r="3" customFormat="false" ht="15" hidden="false" customHeight="true" outlineLevel="0" collapsed="false">
      <c r="A3" s="3" t="s">
        <v>398</v>
      </c>
    </row>
    <row r="5" customFormat="false" ht="15" hidden="false" customHeight="true" outlineLevel="0" collapsed="false">
      <c r="A5" s="7" t="s">
        <v>411</v>
      </c>
      <c r="B5" s="9" t="n">
        <v>3000000</v>
      </c>
    </row>
    <row r="6" customFormat="false" ht="15" hidden="false" customHeight="true" outlineLevel="0" collapsed="false">
      <c r="A6" s="7" t="s">
        <v>412</v>
      </c>
      <c r="B6" s="9" t="n">
        <v>1</v>
      </c>
    </row>
    <row r="7" customFormat="false" ht="15" hidden="false" customHeight="true" outlineLevel="0" collapsed="false">
      <c r="A7" s="7" t="s">
        <v>413</v>
      </c>
      <c r="B7" s="9" t="n">
        <v>7</v>
      </c>
    </row>
    <row r="8" customFormat="false" ht="15" hidden="false" customHeight="true" outlineLevel="0" collapsed="false">
      <c r="A8" s="7" t="s">
        <v>414</v>
      </c>
      <c r="B8" s="9" t="n">
        <v>20</v>
      </c>
    </row>
    <row r="10" customFormat="false" ht="15" hidden="false" customHeight="true" outlineLevel="0" collapsed="false">
      <c r="A10" s="3" t="s">
        <v>415</v>
      </c>
    </row>
    <row r="12" customFormat="false" ht="15" hidden="false" customHeight="true" outlineLevel="0" collapsed="false">
      <c r="A12" s="7" t="s">
        <v>416</v>
      </c>
      <c r="B12" s="10" t="n">
        <f aca="false">B3*(1+B5/100)^B6</f>
        <v>0</v>
      </c>
    </row>
    <row r="13" customFormat="false" ht="15" hidden="false" customHeight="true" outlineLevel="0" collapsed="false">
      <c r="A13" s="7" t="s">
        <v>417</v>
      </c>
      <c r="B13" s="10" t="n">
        <f aca="false">B5-B4</f>
        <v>3000000</v>
      </c>
    </row>
    <row r="14" customFormat="false" ht="15" hidden="false" customHeight="true" outlineLevel="0" collapsed="false">
      <c r="A14" s="7" t="s">
        <v>418</v>
      </c>
      <c r="B14" s="10" t="n">
        <f aca="false">B3*(1+B13/100)^B6</f>
        <v>0</v>
      </c>
    </row>
    <row r="15" customFormat="false" ht="17.25" hidden="false" customHeight="true" outlineLevel="0" collapsed="false">
      <c r="A15" s="7" t="s">
        <v>419</v>
      </c>
      <c r="B15" s="11" t="n">
        <f aca="false">B13-B14</f>
        <v>3000000</v>
      </c>
    </row>
    <row r="16" customFormat="false" ht="15" hidden="false" customHeight="true" outlineLevel="0" collapsed="false">
      <c r="A16" s="7" t="s">
        <v>420</v>
      </c>
      <c r="B16" s="10" t="n">
        <f aca="false">B15/(B13-B3)*100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71</v>
      </c>
    </row>
    <row r="3" customFormat="false" ht="15" hidden="false" customHeight="true" outlineLevel="0" collapsed="false">
      <c r="A3" s="3" t="s">
        <v>421</v>
      </c>
    </row>
    <row r="5" customFormat="false" ht="57" hidden="false" customHeight="true" outlineLevel="0" collapsed="false">
      <c r="A5" s="7" t="s">
        <v>422</v>
      </c>
      <c r="B5" s="15" t="s">
        <v>423</v>
      </c>
    </row>
    <row r="7" customFormat="false" ht="68.25" hidden="false" customHeight="true" outlineLevel="0" collapsed="false">
      <c r="A7" s="7" t="s">
        <v>424</v>
      </c>
      <c r="B7" s="15" t="s">
        <v>425</v>
      </c>
    </row>
    <row r="9" customFormat="false" ht="45.75" hidden="false" customHeight="true" outlineLevel="0" collapsed="false">
      <c r="A9" s="7" t="s">
        <v>426</v>
      </c>
      <c r="B9" s="15" t="s">
        <v>427</v>
      </c>
    </row>
    <row r="11" customFormat="false" ht="57" hidden="false" customHeight="true" outlineLevel="0" collapsed="false">
      <c r="A11" s="7" t="s">
        <v>428</v>
      </c>
      <c r="B11" s="15" t="s">
        <v>429</v>
      </c>
    </row>
    <row r="13" customFormat="false" ht="68.25" hidden="false" customHeight="true" outlineLevel="0" collapsed="false">
      <c r="A13" s="7" t="s">
        <v>430</v>
      </c>
      <c r="B13" s="15" t="s">
        <v>431</v>
      </c>
    </row>
    <row r="15" customFormat="false" ht="57" hidden="false" customHeight="true" outlineLevel="0" collapsed="false">
      <c r="A15" s="7" t="s">
        <v>432</v>
      </c>
      <c r="B15" s="15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74</v>
      </c>
    </row>
    <row r="3" customFormat="false" ht="15" hidden="false" customHeight="true" outlineLevel="0" collapsed="false">
      <c r="A3" s="3" t="s">
        <v>434</v>
      </c>
    </row>
    <row r="5" customFormat="false" ht="15" hidden="false" customHeight="true" outlineLevel="0" collapsed="false">
      <c r="A5" s="7" t="s">
        <v>435</v>
      </c>
      <c r="B5" s="9" t="n">
        <v>3</v>
      </c>
    </row>
    <row r="6" customFormat="false" ht="15" hidden="false" customHeight="true" outlineLevel="0" collapsed="false">
      <c r="A6" s="7" t="s">
        <v>436</v>
      </c>
      <c r="B6" s="9" t="n">
        <v>3</v>
      </c>
    </row>
    <row r="7" customFormat="false" ht="15" hidden="false" customHeight="true" outlineLevel="0" collapsed="false">
      <c r="A7" s="7" t="s">
        <v>437</v>
      </c>
      <c r="B7" s="9" t="n">
        <v>3</v>
      </c>
    </row>
    <row r="8" customFormat="false" ht="15" hidden="false" customHeight="true" outlineLevel="0" collapsed="false">
      <c r="A8" s="7" t="s">
        <v>438</v>
      </c>
      <c r="B8" s="9" t="n">
        <v>3</v>
      </c>
    </row>
    <row r="9" customFormat="false" ht="15" hidden="false" customHeight="true" outlineLevel="0" collapsed="false">
      <c r="A9" s="7" t="s">
        <v>439</v>
      </c>
      <c r="B9" s="9" t="n">
        <v>3</v>
      </c>
    </row>
    <row r="10" customFormat="false" ht="15" hidden="false" customHeight="true" outlineLevel="0" collapsed="false">
      <c r="A10" s="7" t="s">
        <v>440</v>
      </c>
      <c r="B10" s="9" t="n">
        <v>3</v>
      </c>
    </row>
    <row r="11" customFormat="false" ht="15" hidden="false" customHeight="true" outlineLevel="0" collapsed="false">
      <c r="A11" s="7" t="s">
        <v>441</v>
      </c>
      <c r="B11" s="9" t="n">
        <v>3</v>
      </c>
    </row>
    <row r="12" customFormat="false" ht="15" hidden="false" customHeight="true" outlineLevel="0" collapsed="false">
      <c r="A12" s="7" t="s">
        <v>442</v>
      </c>
      <c r="B12" s="9" t="n">
        <v>3</v>
      </c>
    </row>
    <row r="14" customFormat="false" ht="15" hidden="false" customHeight="true" outlineLevel="0" collapsed="false">
      <c r="A14" s="3" t="s">
        <v>443</v>
      </c>
    </row>
    <row r="16" customFormat="false" ht="17.25" hidden="false" customHeight="true" outlineLevel="0" collapsed="false">
      <c r="A16" s="7" t="s">
        <v>295</v>
      </c>
      <c r="B16" s="11" t="n">
        <f aca="false">SUM(B4:B11)</f>
        <v>21</v>
      </c>
    </row>
    <row r="17" customFormat="false" ht="15" hidden="false" customHeight="true" outlineLevel="0" collapsed="false">
      <c r="A17" s="7" t="s">
        <v>444</v>
      </c>
      <c r="B17" s="10" t="str">
        <f aca="false">IF(B16&gt;30,"HIGH",IF(B16&gt;20,"MODERATE","NEEDS WORK"))</f>
        <v>MODERATE</v>
      </c>
    </row>
    <row r="18" customFormat="false" ht="15" hidden="false" customHeight="true" outlineLevel="0" collapsed="false">
      <c r="A18" s="7" t="s">
        <v>445</v>
      </c>
      <c r="B18" s="10" t="str">
        <f aca="false">IF(B16&lt;25,"Consider executive coach or therapist","Psychologically prepared")</f>
        <v>Consider executive coach or therapist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77</v>
      </c>
    </row>
    <row r="3" customFormat="false" ht="15" hidden="false" customHeight="true" outlineLevel="0" collapsed="false">
      <c r="A3" s="3" t="s">
        <v>446</v>
      </c>
    </row>
    <row r="5" customFormat="false" ht="15" hidden="false" customHeight="true" outlineLevel="0" collapsed="false">
      <c r="A5" s="7" t="s">
        <v>447</v>
      </c>
      <c r="B5" s="9" t="n">
        <v>3</v>
      </c>
    </row>
    <row r="6" customFormat="false" ht="15" hidden="false" customHeight="true" outlineLevel="0" collapsed="false">
      <c r="A6" s="7" t="s">
        <v>448</v>
      </c>
      <c r="B6" s="9" t="n">
        <v>3</v>
      </c>
    </row>
    <row r="7" customFormat="false" ht="15" hidden="false" customHeight="true" outlineLevel="0" collapsed="false">
      <c r="A7" s="7" t="s">
        <v>449</v>
      </c>
      <c r="B7" s="9" t="n">
        <v>3</v>
      </c>
    </row>
    <row r="8" customFormat="false" ht="15" hidden="false" customHeight="true" outlineLevel="0" collapsed="false">
      <c r="A8" s="7" t="s">
        <v>450</v>
      </c>
      <c r="B8" s="9" t="n">
        <v>3</v>
      </c>
    </row>
    <row r="9" customFormat="false" ht="15" hidden="false" customHeight="true" outlineLevel="0" collapsed="false">
      <c r="A9" s="7" t="s">
        <v>451</v>
      </c>
      <c r="B9" s="9" t="n">
        <v>3</v>
      </c>
    </row>
    <row r="10" customFormat="false" ht="15" hidden="false" customHeight="true" outlineLevel="0" collapsed="false">
      <c r="A10" s="7" t="s">
        <v>452</v>
      </c>
      <c r="B10" s="9" t="n">
        <v>3</v>
      </c>
    </row>
    <row r="12" customFormat="false" ht="15" hidden="false" customHeight="true" outlineLevel="0" collapsed="false">
      <c r="A12" s="3" t="s">
        <v>453</v>
      </c>
    </row>
    <row r="14" customFormat="false" ht="15" hidden="false" customHeight="true" outlineLevel="0" collapsed="false">
      <c r="A14" s="7" t="s">
        <v>454</v>
      </c>
      <c r="B14" s="10" t="n">
        <f aca="false">SUM(B4:B9)</f>
        <v>15</v>
      </c>
    </row>
    <row r="15" customFormat="false" ht="15" hidden="false" customHeight="true" outlineLevel="0" collapsed="false">
      <c r="A15" s="7" t="s">
        <v>455</v>
      </c>
      <c r="B15" s="10" t="str">
        <f aca="false">IF(B14&gt;20,"YES","NO")</f>
        <v>NO</v>
      </c>
    </row>
    <row r="17" customFormat="false" ht="15" hidden="false" customHeight="true" outlineLevel="0" collapsed="false">
      <c r="A17" s="3" t="s">
        <v>456</v>
      </c>
    </row>
    <row r="19" customFormat="false" ht="15" hidden="false" customHeight="true" outlineLevel="0" collapsed="false">
      <c r="A19" s="7" t="s">
        <v>457</v>
      </c>
      <c r="B19" s="10" t="n">
        <f aca="false">COUNTIF(B4:B9,"&lt;=2")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79</v>
      </c>
    </row>
    <row r="3" customFormat="false" ht="15" hidden="false" customHeight="true" outlineLevel="0" collapsed="false">
      <c r="A3" s="3" t="s">
        <v>458</v>
      </c>
    </row>
    <row r="5" customFormat="false" ht="15" hidden="false" customHeight="true" outlineLevel="0" collapsed="false">
      <c r="A5" s="7" t="s">
        <v>459</v>
      </c>
      <c r="B5" s="9" t="n">
        <v>3</v>
      </c>
    </row>
    <row r="6" customFormat="false" ht="15" hidden="false" customHeight="true" outlineLevel="0" collapsed="false">
      <c r="A6" s="7" t="s">
        <v>460</v>
      </c>
      <c r="B6" s="9" t="n">
        <v>3</v>
      </c>
    </row>
    <row r="7" customFormat="false" ht="15" hidden="false" customHeight="true" outlineLevel="0" collapsed="false">
      <c r="A7" s="7" t="s">
        <v>461</v>
      </c>
      <c r="B7" s="9" t="n">
        <v>3</v>
      </c>
    </row>
    <row r="8" customFormat="false" ht="15" hidden="false" customHeight="true" outlineLevel="0" collapsed="false">
      <c r="A8" s="7" t="s">
        <v>462</v>
      </c>
      <c r="B8" s="9" t="n">
        <v>3</v>
      </c>
    </row>
    <row r="9" customFormat="false" ht="15" hidden="false" customHeight="true" outlineLevel="0" collapsed="false">
      <c r="A9" s="7" t="s">
        <v>463</v>
      </c>
      <c r="B9" s="9" t="n">
        <v>3</v>
      </c>
    </row>
    <row r="10" customFormat="false" ht="15" hidden="false" customHeight="true" outlineLevel="0" collapsed="false">
      <c r="A10" s="7" t="s">
        <v>464</v>
      </c>
      <c r="B10" s="9" t="n">
        <v>3</v>
      </c>
    </row>
    <row r="11" customFormat="false" ht="15" hidden="false" customHeight="true" outlineLevel="0" collapsed="false">
      <c r="A11" s="7" t="s">
        <v>465</v>
      </c>
      <c r="B11" s="9" t="n">
        <v>3</v>
      </c>
    </row>
    <row r="12" customFormat="false" ht="15" hidden="false" customHeight="true" outlineLevel="0" collapsed="false">
      <c r="A12" s="7" t="s">
        <v>466</v>
      </c>
      <c r="B12" s="9" t="n">
        <v>3</v>
      </c>
    </row>
    <row r="13" customFormat="false" ht="15" hidden="false" customHeight="true" outlineLevel="0" collapsed="false">
      <c r="A13" s="7" t="s">
        <v>467</v>
      </c>
      <c r="B13" s="9" t="n">
        <v>3</v>
      </c>
    </row>
    <row r="14" customFormat="false" ht="15" hidden="false" customHeight="true" outlineLevel="0" collapsed="false">
      <c r="A14" s="7" t="s">
        <v>468</v>
      </c>
      <c r="B14" s="9" t="n">
        <v>3</v>
      </c>
    </row>
    <row r="16" customFormat="false" ht="15" hidden="false" customHeight="true" outlineLevel="0" collapsed="false">
      <c r="A16" s="3" t="s">
        <v>469</v>
      </c>
    </row>
    <row r="18" customFormat="false" ht="17.25" hidden="false" customHeight="true" outlineLevel="0" collapsed="false">
      <c r="A18" s="7" t="s">
        <v>470</v>
      </c>
      <c r="B18" s="11" t="n">
        <f aca="false">SUM(B4:B13)</f>
        <v>27</v>
      </c>
    </row>
    <row r="19" customFormat="false" ht="15" hidden="false" customHeight="true" outlineLevel="0" collapsed="false">
      <c r="A19" s="7" t="s">
        <v>471</v>
      </c>
      <c r="B19" s="10" t="n">
        <f aca="false">B18/50*100</f>
        <v>54</v>
      </c>
    </row>
    <row r="20" customFormat="false" ht="15" hidden="false" customHeight="true" outlineLevel="0" collapsed="false">
      <c r="A20" s="7" t="s">
        <v>472</v>
      </c>
      <c r="B20" s="10" t="str">
        <f aca="false">IF(B19&gt;=90,"A",IF(B19&gt;=80,"B",IF(B19&gt;=70,"C","D")))</f>
        <v>D</v>
      </c>
    </row>
    <row r="21" customFormat="false" ht="15" hidden="false" customHeight="true" outlineLevel="0" collapsed="false">
      <c r="A21" s="7" t="s">
        <v>473</v>
      </c>
      <c r="B21" s="10" t="n">
        <f aca="false">MIN(B4:B13)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81</v>
      </c>
    </row>
    <row r="3" customFormat="false" ht="15" hidden="false" customHeight="true" outlineLevel="0" collapsed="false">
      <c r="A3" s="3" t="s">
        <v>474</v>
      </c>
    </row>
    <row r="5" customFormat="false" ht="15" hidden="false" customHeight="true" outlineLevel="0" collapsed="false">
      <c r="A5" s="7" t="s">
        <v>475</v>
      </c>
      <c r="B5" s="7" t="s">
        <v>476</v>
      </c>
      <c r="C5" s="7" t="s">
        <v>477</v>
      </c>
      <c r="D5" s="7" t="s">
        <v>478</v>
      </c>
    </row>
    <row r="6" customFormat="false" ht="15" hidden="false" customHeight="true" outlineLevel="0" collapsed="false">
      <c r="A6" s="7" t="s">
        <v>43</v>
      </c>
      <c r="B6" s="16" t="n">
        <v>3</v>
      </c>
      <c r="C6" s="16" t="n">
        <v>3</v>
      </c>
      <c r="D6" s="17" t="n">
        <f aca="false">B6*C6</f>
        <v>9</v>
      </c>
    </row>
    <row r="7" customFormat="false" ht="15" hidden="false" customHeight="true" outlineLevel="0" collapsed="false">
      <c r="A7" s="7" t="s">
        <v>479</v>
      </c>
      <c r="B7" s="16" t="n">
        <v>3</v>
      </c>
      <c r="C7" s="16" t="n">
        <v>3</v>
      </c>
      <c r="D7" s="17" t="n">
        <f aca="false">B7*C7</f>
        <v>9</v>
      </c>
    </row>
    <row r="8" customFormat="false" ht="15" hidden="false" customHeight="true" outlineLevel="0" collapsed="false">
      <c r="A8" s="7" t="s">
        <v>480</v>
      </c>
      <c r="B8" s="16" t="n">
        <v>3</v>
      </c>
      <c r="C8" s="16" t="n">
        <v>3</v>
      </c>
      <c r="D8" s="17" t="n">
        <f aca="false">B8*C8</f>
        <v>9</v>
      </c>
    </row>
    <row r="9" customFormat="false" ht="15" hidden="false" customHeight="true" outlineLevel="0" collapsed="false">
      <c r="A9" s="7" t="s">
        <v>481</v>
      </c>
      <c r="B9" s="16" t="n">
        <v>3</v>
      </c>
      <c r="C9" s="16" t="n">
        <v>3</v>
      </c>
      <c r="D9" s="17" t="n">
        <f aca="false">B9*C9</f>
        <v>9</v>
      </c>
    </row>
    <row r="10" customFormat="false" ht="15" hidden="false" customHeight="true" outlineLevel="0" collapsed="false">
      <c r="A10" s="7" t="s">
        <v>482</v>
      </c>
      <c r="B10" s="16" t="n">
        <v>3</v>
      </c>
      <c r="C10" s="16" t="n">
        <v>3</v>
      </c>
      <c r="D10" s="17" t="n">
        <f aca="false">B10*C10</f>
        <v>9</v>
      </c>
    </row>
    <row r="11" customFormat="false" ht="15" hidden="false" customHeight="true" outlineLevel="0" collapsed="false">
      <c r="A11" s="7" t="s">
        <v>483</v>
      </c>
      <c r="B11" s="16" t="n">
        <v>3</v>
      </c>
      <c r="C11" s="16" t="n">
        <v>3</v>
      </c>
      <c r="D11" s="17" t="n">
        <f aca="false">B11*C11</f>
        <v>9</v>
      </c>
    </row>
    <row r="12" customFormat="false" ht="15" hidden="false" customHeight="true" outlineLevel="0" collapsed="false">
      <c r="A12" s="7" t="s">
        <v>484</v>
      </c>
      <c r="B12" s="16" t="n">
        <v>3</v>
      </c>
      <c r="C12" s="16" t="n">
        <v>3</v>
      </c>
      <c r="D12" s="17" t="n">
        <f aca="false">B12*C12</f>
        <v>9</v>
      </c>
    </row>
    <row r="13" customFormat="false" ht="15" hidden="false" customHeight="true" outlineLevel="0" collapsed="false">
      <c r="A13" s="7" t="s">
        <v>485</v>
      </c>
      <c r="B13" s="16" t="n">
        <v>3</v>
      </c>
      <c r="C13" s="16" t="n">
        <v>3</v>
      </c>
      <c r="D13" s="17" t="n">
        <f aca="false">B13*C13</f>
        <v>9</v>
      </c>
    </row>
    <row r="15" customFormat="false" ht="15" hidden="false" customHeight="true" outlineLevel="0" collapsed="false">
      <c r="A15" s="3" t="s">
        <v>486</v>
      </c>
    </row>
    <row r="17" customFormat="false" ht="15" hidden="false" customHeight="true" outlineLevel="0" collapsed="false">
      <c r="A17" s="7" t="s">
        <v>487</v>
      </c>
      <c r="B17" s="10" t="n">
        <f aca="false">SUM(D6:D13)</f>
        <v>72</v>
      </c>
    </row>
    <row r="18" customFormat="false" ht="15" hidden="false" customHeight="true" outlineLevel="0" collapsed="false">
      <c r="A18" s="7" t="s">
        <v>488</v>
      </c>
      <c r="B18" s="10" t="n">
        <f aca="false">MAX(D6:D13)</f>
        <v>9</v>
      </c>
    </row>
    <row r="19" customFormat="false" ht="15" hidden="false" customHeight="true" outlineLevel="0" collapsed="false">
      <c r="A19" s="7" t="s">
        <v>489</v>
      </c>
      <c r="B19" s="10" t="str">
        <f aca="false">IF(B18&gt;30,"CRITICAL",IF(B18&gt;20,"HIGH",IF(B18&gt;10,"MEDIUM","LOW")))</f>
        <v>LOW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83</v>
      </c>
    </row>
    <row r="3" customFormat="false" ht="15" hidden="false" customHeight="true" outlineLevel="0" collapsed="false">
      <c r="A3" s="3" t="s">
        <v>222</v>
      </c>
    </row>
    <row r="5" customFormat="false" ht="15" hidden="false" customHeight="true" outlineLevel="0" collapsed="false">
      <c r="A5" s="7" t="s">
        <v>490</v>
      </c>
      <c r="B5" s="9" t="n">
        <v>4</v>
      </c>
    </row>
    <row r="6" customFormat="false" ht="15" hidden="false" customHeight="true" outlineLevel="0" collapsed="false">
      <c r="A6" s="7" t="s">
        <v>491</v>
      </c>
      <c r="B6" s="9" t="n">
        <v>4</v>
      </c>
    </row>
    <row r="7" customFormat="false" ht="15" hidden="false" customHeight="true" outlineLevel="0" collapsed="false">
      <c r="A7" s="7" t="s">
        <v>492</v>
      </c>
      <c r="B7" s="9" t="n">
        <v>4</v>
      </c>
    </row>
    <row r="8" customFormat="false" ht="15" hidden="false" customHeight="true" outlineLevel="0" collapsed="false">
      <c r="A8" s="7" t="s">
        <v>493</v>
      </c>
      <c r="B8" s="9" t="n">
        <v>4</v>
      </c>
    </row>
    <row r="9" customFormat="false" ht="15" hidden="false" customHeight="true" outlineLevel="0" collapsed="false">
      <c r="A9" s="7" t="s">
        <v>494</v>
      </c>
      <c r="B9" s="9" t="n">
        <v>4</v>
      </c>
    </row>
    <row r="10" customFormat="false" ht="15" hidden="false" customHeight="true" outlineLevel="0" collapsed="false">
      <c r="A10" s="7" t="s">
        <v>495</v>
      </c>
      <c r="B10" s="9" t="n">
        <v>4</v>
      </c>
    </row>
    <row r="11" customFormat="false" ht="15" hidden="false" customHeight="true" outlineLevel="0" collapsed="false">
      <c r="A11" s="7" t="s">
        <v>496</v>
      </c>
      <c r="B11" s="9" t="n">
        <v>4</v>
      </c>
    </row>
    <row r="12" customFormat="false" ht="15" hidden="false" customHeight="true" outlineLevel="0" collapsed="false">
      <c r="A12" s="7" t="s">
        <v>497</v>
      </c>
      <c r="B12" s="9" t="n">
        <v>4</v>
      </c>
    </row>
    <row r="13" customFormat="false" ht="15" hidden="false" customHeight="true" outlineLevel="0" collapsed="false">
      <c r="A13" s="7" t="s">
        <v>498</v>
      </c>
      <c r="B13" s="9" t="n">
        <v>4</v>
      </c>
    </row>
    <row r="14" customFormat="false" ht="15" hidden="false" customHeight="true" outlineLevel="0" collapsed="false">
      <c r="A14" s="7" t="s">
        <v>499</v>
      </c>
      <c r="B14" s="9" t="n">
        <v>4</v>
      </c>
    </row>
    <row r="16" customFormat="false" ht="15" hidden="false" customHeight="true" outlineLevel="0" collapsed="false">
      <c r="A16" s="3" t="s">
        <v>500</v>
      </c>
    </row>
    <row r="18" customFormat="false" ht="17.25" hidden="false" customHeight="true" outlineLevel="0" collapsed="false">
      <c r="A18" s="7" t="s">
        <v>470</v>
      </c>
      <c r="B18" s="11" t="n">
        <f aca="false">SUM(B4:B13)</f>
        <v>36</v>
      </c>
    </row>
    <row r="19" customFormat="false" ht="15" hidden="false" customHeight="true" outlineLevel="0" collapsed="false">
      <c r="A19" s="7" t="s">
        <v>471</v>
      </c>
      <c r="B19" s="10" t="n">
        <f aca="false">B18/50*100</f>
        <v>72</v>
      </c>
    </row>
    <row r="20" customFormat="false" ht="15" hidden="false" customHeight="true" outlineLevel="0" collapsed="false">
      <c r="A20" s="7" t="s">
        <v>501</v>
      </c>
      <c r="B20" s="10" t="str">
        <f aca="false">IF(B19&gt;=90,"A+",IF(B19&gt;=80,"A",IF(B19&gt;=70,"B","C")))</f>
        <v>B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85</v>
      </c>
    </row>
    <row r="3" customFormat="false" ht="15" hidden="false" customHeight="true" outlineLevel="0" collapsed="false">
      <c r="A3" s="3" t="s">
        <v>502</v>
      </c>
    </row>
    <row r="5" customFormat="false" ht="15" hidden="false" customHeight="true" outlineLevel="0" collapsed="false">
      <c r="A5" s="7" t="s">
        <v>503</v>
      </c>
      <c r="B5" s="9" t="n">
        <v>5000000</v>
      </c>
    </row>
    <row r="6" customFormat="false" ht="15" hidden="false" customHeight="true" outlineLevel="0" collapsed="false">
      <c r="A6" s="7" t="s">
        <v>504</v>
      </c>
      <c r="B6" s="9" t="n">
        <v>1000000</v>
      </c>
    </row>
    <row r="7" customFormat="false" ht="15" hidden="false" customHeight="true" outlineLevel="0" collapsed="false">
      <c r="A7" s="7" t="s">
        <v>505</v>
      </c>
      <c r="B7" s="9" t="n">
        <v>500000</v>
      </c>
    </row>
    <row r="8" customFormat="false" ht="15" hidden="false" customHeight="true" outlineLevel="0" collapsed="false">
      <c r="A8" s="7" t="s">
        <v>506</v>
      </c>
      <c r="B8" s="9" t="n">
        <v>200000</v>
      </c>
    </row>
    <row r="9" customFormat="false" ht="15" hidden="false" customHeight="true" outlineLevel="0" collapsed="false">
      <c r="A9" s="7" t="s">
        <v>507</v>
      </c>
      <c r="B9" s="9" t="n">
        <v>100000</v>
      </c>
    </row>
    <row r="11" customFormat="false" ht="15" hidden="false" customHeight="true" outlineLevel="0" collapsed="false">
      <c r="A11" s="3" t="s">
        <v>508</v>
      </c>
    </row>
    <row r="13" customFormat="false" ht="15" hidden="false" customHeight="true" outlineLevel="0" collapsed="false">
      <c r="A13" s="7" t="s">
        <v>509</v>
      </c>
      <c r="B13" s="10" t="n">
        <f aca="false">B6+B7+B8+B9</f>
        <v>1800000</v>
      </c>
    </row>
    <row r="14" customFormat="false" ht="15" hidden="false" customHeight="true" outlineLevel="0" collapsed="false">
      <c r="A14" s="7" t="s">
        <v>510</v>
      </c>
      <c r="B14" s="10" t="n">
        <f aca="false">B5-B13</f>
        <v>3200000</v>
      </c>
    </row>
    <row r="16" customFormat="false" ht="15" hidden="false" customHeight="true" outlineLevel="0" collapsed="false">
      <c r="A16" s="3" t="s">
        <v>511</v>
      </c>
    </row>
    <row r="17" customFormat="false" ht="15" hidden="false" customHeight="true" outlineLevel="0" collapsed="false">
      <c r="A17" s="1" t="s">
        <v>512</v>
      </c>
      <c r="B17" s="1" t="s">
        <v>513</v>
      </c>
      <c r="C17" s="1" t="s">
        <v>514</v>
      </c>
      <c r="D17" s="1" t="s">
        <v>515</v>
      </c>
    </row>
    <row r="18" customFormat="false" ht="15" hidden="false" customHeight="true" outlineLevel="0" collapsed="false">
      <c r="A18" s="7" t="s">
        <v>516</v>
      </c>
      <c r="B18" s="18" t="n">
        <f aca="false">B6</f>
        <v>1000000</v>
      </c>
      <c r="C18" s="7" t="n">
        <f aca="false">B18/$B$5*100</f>
        <v>20</v>
      </c>
      <c r="D18" s="7" t="s">
        <v>517</v>
      </c>
    </row>
    <row r="19" customFormat="false" ht="32.25" hidden="false" customHeight="true" outlineLevel="0" collapsed="false">
      <c r="A19" s="7" t="s">
        <v>505</v>
      </c>
      <c r="B19" s="19" t="n">
        <f aca="false">B7</f>
        <v>500000</v>
      </c>
      <c r="C19" s="12" t="n">
        <f aca="false">B19/$B$5*100</f>
        <v>10</v>
      </c>
      <c r="D19" s="20" t="s">
        <v>518</v>
      </c>
    </row>
    <row r="20" customFormat="false" ht="42.75" hidden="false" customHeight="true" outlineLevel="0" collapsed="false">
      <c r="A20" s="7" t="s">
        <v>519</v>
      </c>
      <c r="B20" s="19" t="n">
        <f aca="false">B8</f>
        <v>200000</v>
      </c>
      <c r="C20" s="12" t="n">
        <f aca="false">B20/$B$5*100</f>
        <v>4</v>
      </c>
      <c r="D20" s="20" t="s">
        <v>520</v>
      </c>
    </row>
    <row r="21" customFormat="false" ht="42.75" hidden="false" customHeight="true" outlineLevel="0" collapsed="false">
      <c r="A21" s="7" t="s">
        <v>521</v>
      </c>
      <c r="B21" s="19" t="n">
        <f aca="false">B9</f>
        <v>100000</v>
      </c>
      <c r="C21" s="12" t="n">
        <f aca="false">B21/$B$5*100</f>
        <v>2</v>
      </c>
      <c r="D21" s="20" t="s">
        <v>522</v>
      </c>
    </row>
    <row r="22" customFormat="false" ht="42.75" hidden="false" customHeight="true" outlineLevel="0" collapsed="false">
      <c r="A22" s="7" t="s">
        <v>523</v>
      </c>
      <c r="B22" s="19" t="n">
        <f aca="false">B14</f>
        <v>3200000</v>
      </c>
      <c r="C22" s="12" t="n">
        <f aca="false">B22/$B$5*100</f>
        <v>64</v>
      </c>
      <c r="D22" s="20" t="s">
        <v>524</v>
      </c>
    </row>
    <row r="23" customFormat="false" ht="42.75" hidden="false" customHeight="true" outlineLevel="0" collapsed="false">
      <c r="A23" s="7"/>
      <c r="B23" s="19"/>
      <c r="C23" s="12"/>
      <c r="D23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87</v>
      </c>
    </row>
    <row r="3" customFormat="false" ht="15" hidden="false" customHeight="true" outlineLevel="0" collapsed="false">
      <c r="A3" s="3" t="s">
        <v>525</v>
      </c>
    </row>
    <row r="5" customFormat="false" ht="15" hidden="false" customHeight="true" outlineLevel="0" collapsed="false">
      <c r="A5" s="7" t="s">
        <v>526</v>
      </c>
      <c r="B5" s="9" t="s">
        <v>527</v>
      </c>
    </row>
    <row r="6" customFormat="false" ht="15" hidden="false" customHeight="true" outlineLevel="0" collapsed="false">
      <c r="A6" s="7" t="s">
        <v>528</v>
      </c>
      <c r="B6" s="9" t="n">
        <v>10</v>
      </c>
    </row>
    <row r="8" customFormat="false" ht="15" hidden="false" customHeight="true" outlineLevel="0" collapsed="false">
      <c r="A8" s="3" t="s">
        <v>529</v>
      </c>
    </row>
    <row r="10" customFormat="false" ht="15" hidden="false" customHeight="true" outlineLevel="0" collapsed="false">
      <c r="A10" s="7" t="s">
        <v>530</v>
      </c>
      <c r="B10" s="9" t="s">
        <v>531</v>
      </c>
    </row>
    <row r="11" customFormat="false" ht="15" hidden="false" customHeight="true" outlineLevel="0" collapsed="false">
      <c r="A11" s="7" t="s">
        <v>532</v>
      </c>
      <c r="B11" s="9" t="s">
        <v>531</v>
      </c>
    </row>
    <row r="12" customFormat="false" ht="15" hidden="false" customHeight="true" outlineLevel="0" collapsed="false">
      <c r="A12" s="7" t="s">
        <v>533</v>
      </c>
      <c r="B12" s="9" t="s">
        <v>531</v>
      </c>
    </row>
    <row r="14" customFormat="false" ht="15" hidden="false" customHeight="true" outlineLevel="0" collapsed="false">
      <c r="A14" s="3" t="s">
        <v>534</v>
      </c>
    </row>
    <row r="16" customFormat="false" ht="15" hidden="false" customHeight="true" outlineLevel="0" collapsed="false">
      <c r="A16" s="7" t="s">
        <v>535</v>
      </c>
      <c r="B16" s="9" t="s">
        <v>536</v>
      </c>
    </row>
    <row r="17" customFormat="false" ht="15" hidden="false" customHeight="true" outlineLevel="0" collapsed="false">
      <c r="A17" s="7" t="s">
        <v>537</v>
      </c>
      <c r="B17" s="9" t="s">
        <v>538</v>
      </c>
    </row>
    <row r="19" customFormat="false" ht="15" hidden="false" customHeight="true" outlineLevel="0" collapsed="false">
      <c r="A19" s="3" t="s">
        <v>539</v>
      </c>
    </row>
    <row r="21" customFormat="false" ht="15" hidden="false" customHeight="true" outlineLevel="0" collapsed="false">
      <c r="A21" s="8" t="s">
        <v>540</v>
      </c>
    </row>
    <row r="22" customFormat="false" ht="15" hidden="false" customHeight="true" outlineLevel="0" collapsed="false">
      <c r="A22" s="8" t="s">
        <v>541</v>
      </c>
    </row>
    <row r="23" customFormat="false" ht="15" hidden="false" customHeight="true" outlineLevel="0" collapsed="false">
      <c r="A23" s="8" t="s">
        <v>542</v>
      </c>
    </row>
    <row r="24" customFormat="false" ht="15" hidden="false" customHeight="true" outlineLevel="0" collapsed="false">
      <c r="A24" s="8" t="s">
        <v>543</v>
      </c>
    </row>
    <row r="25" customFormat="false" ht="15" hidden="false" customHeight="true" outlineLevel="0" collapsed="false">
      <c r="A25" s="8" t="s">
        <v>544</v>
      </c>
    </row>
    <row r="26" customFormat="false" ht="15" hidden="false" customHeight="true" outlineLevel="0" collapsed="false">
      <c r="A26" s="8" t="s">
        <v>545</v>
      </c>
    </row>
    <row r="27" customFormat="false" ht="15" hidden="false" customHeight="true" outlineLevel="0" collapsed="false">
      <c r="A27" s="8" t="s">
        <v>546</v>
      </c>
    </row>
    <row r="28" customFormat="false" ht="15" hidden="false" customHeight="true" outlineLevel="0" collapsed="false">
      <c r="A28" s="8" t="s">
        <v>547</v>
      </c>
    </row>
    <row r="30" customFormat="false" ht="15" hidden="false" customHeight="true" outlineLevel="0" collapsed="false">
      <c r="A30" s="8" t="s">
        <v>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2026-04-05T18:05:51Z</dcterms:created>
  <dc:creator>openpyxl</dc:creator>
  <dc:description/>
  <dc:language>en-US</dc:language>
  <cp:lastModifiedBy/>
  <dcterms:modified xsi:type="dcterms:W3CDTF">2026-04-05T18:09:20Z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