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ETUP" sheetId="2" state="visible" r:id="rId4"/>
    <sheet name="BUDGET" sheetId="3" state="visible" r:id="rId5"/>
    <sheet name="DEBT PAYOFF" sheetId="4" state="visible" r:id="rId6"/>
    <sheet name="HOUSING" sheetId="5" state="visible" r:id="rId7"/>
    <sheet name="INVEST" sheetId="6" state="visible" r:id="rId8"/>
    <sheet name="RETIRE" sheetId="7" state="visible" r:id="rId9"/>
    <sheet name="WEALTH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<sst xmlns="http://schemas.openxmlformats.org/spreadsheetml/2006/main" count="226" uniqueCount="194">
  <si>
    <t xml:space="preserve">Raise Ready</t>
  </si>
  <si>
    <t xml:space="preserve">Personal Finance Workbook</t>
  </si>
  <si>
    <t xml:space="preserve">Your complete financial picture in one spreadsheet</t>
  </si>
  <si>
    <t xml:space="preserve">HOW TO USE THIS WORKBOOK</t>
  </si>
  <si>
    <t xml:space="preserve">Step 01: SETUP</t>
  </si>
  <si>
    <t xml:space="preserve">Fill in your income, assets, debts, and monthly expenses on the SETUP tab. Every yellow cell is yours to edit.</t>
  </si>
  <si>
    <t xml:space="preserve">Step 02: BUDGET</t>
  </si>
  <si>
    <t xml:space="preserve">Review your auto-generated 50/30/20 budget allocation. Adjust category amounts to match your spending.</t>
  </si>
  <si>
    <t xml:space="preserve">Step 03: DEBT</t>
  </si>
  <si>
    <t xml:space="preserve">See your debt payoff timeline and compare Avalanche vs Snowball strategies.</t>
  </si>
  <si>
    <t xml:space="preserve">Step 04: HOUSING</t>
  </si>
  <si>
    <t xml:space="preserve">Run Rent vs Buy analysis and check mortgage affordability.</t>
  </si>
  <si>
    <t xml:space="preserve">Step 05: INVEST</t>
  </si>
  <si>
    <t xml:space="preserve">Model portfolio growth over 10, 20, 30 years with different return assumptions.</t>
  </si>
  <si>
    <t xml:space="preserve">Step 06: RETIRE</t>
  </si>
  <si>
    <t xml:space="preserve">Calculate your retirement number and see if you are on track.</t>
  </si>
  <si>
    <t xml:space="preserve">Step 07: WEALTH</t>
  </si>
  <si>
    <t xml:space="preserve">Review your complete net worth dashboard and asset allocation.</t>
  </si>
  <si>
    <t xml:space="preserve">Step 08: SUMMARY</t>
  </si>
  <si>
    <t xml:space="preserve">See your full financial health score and action items.</t>
  </si>
  <si>
    <t xml:space="preserve">COLOUR GUIDE</t>
  </si>
  <si>
    <t xml:space="preserve">Blue text = your inputs (edit these)</t>
  </si>
  <si>
    <t xml:space="preserve">Black text = formulas (do not edit)</t>
  </si>
  <si>
    <t xml:space="preserve">Green text = cross-sheet links</t>
  </si>
  <si>
    <t xml:space="preserve">Yellow background = input cells</t>
  </si>
  <si>
    <t xml:space="preserve">SETUP — Your Financial Profile</t>
  </si>
  <si>
    <t xml:space="preserve">Fill in all yellow cells with your personal data. These flow into every other sheet.</t>
  </si>
  <si>
    <t xml:space="preserve">PERSONAL INFORMATION</t>
  </si>
  <si>
    <t xml:space="preserve">Name</t>
  </si>
  <si>
    <t xml:space="preserve">Your Name</t>
  </si>
  <si>
    <t xml:space="preserve">Age</t>
  </si>
  <si>
    <t xml:space="preserve">Target Retirement Age</t>
  </si>
  <si>
    <t xml:space="preserve">Country</t>
  </si>
  <si>
    <t xml:space="preserve">US</t>
  </si>
  <si>
    <t xml:space="preserve">Filing Status</t>
  </si>
  <si>
    <t xml:space="preserve">Single</t>
  </si>
  <si>
    <t xml:space="preserve">INCOME</t>
  </si>
  <si>
    <t xml:space="preserve">Gross Annual Salary</t>
  </si>
  <si>
    <t xml:space="preserve">Freelance / Side Income (annual)</t>
  </si>
  <si>
    <t xml:space="preserve">Other Income (annual)</t>
  </si>
  <si>
    <t xml:space="preserve">Effective Tax Rate (%)</t>
  </si>
  <si>
    <t xml:space="preserve">Total Gross Income</t>
  </si>
  <si>
    <t xml:space="preserve">Annual Tax</t>
  </si>
  <si>
    <t xml:space="preserve">Net Annual Income</t>
  </si>
  <si>
    <t xml:space="preserve">Net Monthly Income</t>
  </si>
  <si>
    <t xml:space="preserve">ASSETS</t>
  </si>
  <si>
    <t xml:space="preserve">Cash &amp; Savings</t>
  </si>
  <si>
    <t xml:space="preserve">Investments &amp; Stocks</t>
  </si>
  <si>
    <t xml:space="preserve">Retirement Accounts</t>
  </si>
  <si>
    <t xml:space="preserve">Real Estate Value</t>
  </si>
  <si>
    <t xml:space="preserve">Vehicles</t>
  </si>
  <si>
    <t xml:space="preserve">Other Assets</t>
  </si>
  <si>
    <t xml:space="preserve">Total Assets</t>
  </si>
  <si>
    <t xml:space="preserve">DEBTS</t>
  </si>
  <si>
    <t xml:space="preserve">Debt Type</t>
  </si>
  <si>
    <t xml:space="preserve">Balance</t>
  </si>
  <si>
    <t xml:space="preserve">APR %</t>
  </si>
  <si>
    <t xml:space="preserve">Credit Cards</t>
  </si>
  <si>
    <t xml:space="preserve">Student Loans</t>
  </si>
  <si>
    <t xml:space="preserve">Car Loan</t>
  </si>
  <si>
    <t xml:space="preserve">Mortgage</t>
  </si>
  <si>
    <t xml:space="preserve">Personal Loans</t>
  </si>
  <si>
    <t xml:space="preserve">Other Debt</t>
  </si>
  <si>
    <t xml:space="preserve">Total Debt</t>
  </si>
  <si>
    <t xml:space="preserve">MONTHLY EXPENSES</t>
  </si>
  <si>
    <t xml:space="preserve">Category</t>
  </si>
  <si>
    <t xml:space="preserve">Amount</t>
  </si>
  <si>
    <t xml:space="preserve">Type</t>
  </si>
  <si>
    <t xml:space="preserve">Rent / Mortgage Payment</t>
  </si>
  <si>
    <t xml:space="preserve">Need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</si>
  <si>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</si>
  <si>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</si>
  <si>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</si>
  <si>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</si>
  <si>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Minimum Debt Payments</t>
  </si>
  <si>
    <t xml:space="preserve">Dining Out</t>
  </si>
  <si>
    <t xml:space="preserve">Want</t>
  </si>
  <si>
    <t xml:space="preserve">Entertainment</t>
  </si>
  <si>
    <t xml:space="preserve">Shopping</t>
  </si>
  <si>
    <t xml:space="preserve">Subscriptions</t>
  </si>
  <si>
    <t xml:space="preserve">Travel</t>
  </si>
  <si>
    <t xml:space="preserve">Gym / Wellness</t>
  </si>
  <si>
    <t xml:space="preserve">Emergency Fund</t>
  </si>
  <si>
    <t xml:space="preserve">Savings</t>
  </si>
  <si>
    <t xml:space="preserve">Investments</t>
  </si>
  <si>
    <t xml:space="preserve">Retirement Contributions</t>
  </si>
  <si>
    <t xml:space="preserve">Total Monthly Expenses</t>
  </si>
  <si>
    <t xml:space="preserve">Monthly Surplus / Deficit</t>
  </si>
  <si>
    <t xml:space="preserve">BUDGET — 50/30/20 Allocation</t>
  </si>
  <si>
    <t xml:space="preserve">Auto-calculated from your SETUP inputs. Shows target vs actual spending by category.</t>
  </si>
  <si>
    <t xml:space="preserve">Target %</t>
  </si>
  <si>
    <t xml:space="preserve">Target $</t>
  </si>
  <si>
    <t xml:space="preserve">Actual $</t>
  </si>
  <si>
    <t xml:space="preserve">Variance</t>
  </si>
  <si>
    <t xml:space="preserve">NEEDS</t>
  </si>
  <si>
    <t xml:space="preserve">50%</t>
  </si>
  <si>
    <t xml:space="preserve">WANTS</t>
  </si>
  <si>
    <t xml:space="preserve">30%</t>
  </si>
  <si>
    <t xml:space="preserve">SAVINGS &amp; DEBT REPAYMENT</t>
  </si>
  <si>
    <t xml:space="preserve">20%</t>
  </si>
  <si>
    <t xml:space="preserve">Savings Rate</t>
  </si>
  <si>
    <t xml:space="preserve">DEBT PAYOFF — Avalanche vs Snowball</t>
  </si>
  <si>
    <t xml:space="preserve">Shows your debt-to-income ratio and compares payoff strategies.</t>
  </si>
  <si>
    <t xml:space="preserve">DEBT OVERVIEW</t>
  </si>
  <si>
    <t xml:space="preserve">Debt</t>
  </si>
  <si>
    <t xml:space="preserve">APR</t>
  </si>
  <si>
    <t xml:space="preserve">Min Payment</t>
  </si>
  <si>
    <t xml:space="preserve">Monthly Interest</t>
  </si>
  <si>
    <t xml:space="preserve">Payoff Order (Avalanche)</t>
  </si>
  <si>
    <t xml:space="preserve">Total Minimum Payments</t>
  </si>
  <si>
    <t xml:space="preserve">Monthly Interest Cost</t>
  </si>
  <si>
    <t xml:space="preserve">KEY RATIOS</t>
  </si>
  <si>
    <t xml:space="preserve">Debt-to-Income Ratio</t>
  </si>
  <si>
    <t xml:space="preserve">Target: below 36%</t>
  </si>
  <si>
    <t xml:space="preserve">Debt-to-Asset Ratio</t>
  </si>
  <si>
    <t xml:space="preserve">HOUSING — Rent vs Buy Analysis</t>
  </si>
  <si>
    <t xml:space="preserve">Compare renting vs buying. Yellow cells = your inputs.</t>
  </si>
  <si>
    <t xml:space="preserve">CURRENT RENT SCENARIO</t>
  </si>
  <si>
    <t xml:space="preserve">Monthly Rent</t>
  </si>
  <si>
    <t xml:space="preserve">Annual Rent Increase</t>
  </si>
  <si>
    <t xml:space="preserve">Annual Rent (Year 1)</t>
  </si>
  <si>
    <t xml:space="preserve">BUY SCENARIO</t>
  </si>
  <si>
    <t xml:space="preserve">Home Price</t>
  </si>
  <si>
    <t xml:space="preserve">Down Payment (%)</t>
  </si>
  <si>
    <t xml:space="preserve">Mortgage Rate</t>
  </si>
  <si>
    <t xml:space="preserve">Mortgage Term (years)</t>
  </si>
  <si>
    <t xml:space="preserve">Annual Property Tax Rate</t>
  </si>
  <si>
    <t xml:space="preserve">Annual Insurance</t>
  </si>
  <si>
    <t xml:space="preserve">Monthly HOA</t>
  </si>
  <si>
    <t xml:space="preserve">Annual Maintenance (%)</t>
  </si>
  <si>
    <t xml:space="preserve">CALCULATED MORTGAGE</t>
  </si>
  <si>
    <t xml:space="preserve">Down Payment ($)</t>
  </si>
  <si>
    <t xml:space="preserve">Loan Amount</t>
  </si>
  <si>
    <t xml:space="preserve">Monthly Mortgage Payment</t>
  </si>
  <si>
    <t xml:space="preserve">Monthly Property Tax</t>
  </si>
  <si>
    <t xml:space="preserve">Monthly Insurance</t>
  </si>
  <si>
    <t xml:space="preserve">Monthly Maintenance</t>
  </si>
  <si>
    <t xml:space="preserve">Total Monthly Housing Cost (Buy)</t>
  </si>
  <si>
    <t xml:space="preserve">AFFORDABILITY CHECK</t>
  </si>
  <si>
    <t xml:space="preserve">Housing-to-Income Ratio</t>
  </si>
  <si>
    <t xml:space="preserve">Guideline: below 28%</t>
  </si>
  <si>
    <t xml:space="preserve">Monthly Savings vs Renting</t>
  </si>
  <si>
    <t xml:space="preserve">INVEST — Growth Projections</t>
  </si>
  <si>
    <t xml:space="preserve">See how your investments grow over time with different return assumptions.</t>
  </si>
  <si>
    <t xml:space="preserve">INVESTMENT INPUTS</t>
  </si>
  <si>
    <t xml:space="preserve">Current Investment Portfolio</t>
  </si>
  <si>
    <t xml:space="preserve">Monthly Contribution</t>
  </si>
  <si>
    <t xml:space="preserve">Expected Annual Return (%)</t>
  </si>
  <si>
    <t xml:space="preserve">PORTFOLIO GROWTH</t>
  </si>
  <si>
    <t xml:space="preserve">Years</t>
  </si>
  <si>
    <t xml:space="preserve">Conservative (6%)</t>
  </si>
  <si>
    <t xml:space="preserve">Moderate (8%)</t>
  </si>
  <si>
    <t xml:space="preserve">Aggressive (10%)</t>
  </si>
  <si>
    <t xml:space="preserve">Your Assumption</t>
  </si>
  <si>
    <t xml:space="preserve">Total Contributions (30yr)</t>
  </si>
  <si>
    <t xml:space="preserve">Growth from Returns (30yr)</t>
  </si>
  <si>
    <t xml:space="preserve">RETIRE — Retirement Planning</t>
  </si>
  <si>
    <t xml:space="preserve">Are you on track? Based on the 25x rule (annual expenses x 25).</t>
  </si>
  <si>
    <t xml:space="preserve">RETIREMENT INPUTS</t>
  </si>
  <si>
    <t xml:space="preserve">Current Age</t>
  </si>
  <si>
    <t xml:space="preserve">Years to Retirement</t>
  </si>
  <si>
    <t xml:space="preserve">Current Retirement Savings</t>
  </si>
  <si>
    <t xml:space="preserve">Monthly Retirement Contribution</t>
  </si>
  <si>
    <t xml:space="preserve">Employer Match (monthly)</t>
  </si>
  <si>
    <t xml:space="preserve">Expected Return</t>
  </si>
  <si>
    <t xml:space="preserve">RETIREMENT TARGET</t>
  </si>
  <si>
    <t xml:space="preserve">Annual Expenses (current)</t>
  </si>
  <si>
    <t xml:space="preserve">Retirement Number (25x Rule)</t>
  </si>
  <si>
    <t xml:space="preserve">PROJECTED SAVINGS AT RETIREMENT</t>
  </si>
  <si>
    <t xml:space="preserve">Projected Retirement Savings</t>
  </si>
  <si>
    <t xml:space="preserve">Retirement Gap / Surplus</t>
  </si>
  <si>
    <t xml:space="preserve">On Track?</t>
  </si>
  <si>
    <t xml:space="preserve">WEALTH — Net Worth Dashboard</t>
  </si>
  <si>
    <t xml:space="preserve">Your complete financial snapshot. All data auto-populated from SETUP.</t>
  </si>
  <si>
    <t xml:space="preserve">Value</t>
  </si>
  <si>
    <t xml:space="preserve">% of Total</t>
  </si>
  <si>
    <t xml:space="preserve">Real Estate</t>
  </si>
  <si>
    <t xml:space="preserve">LIABILITIES</t>
  </si>
  <si>
    <t xml:space="preserve">NET WORTH</t>
  </si>
  <si>
    <t xml:space="preserve">Net Worth</t>
  </si>
  <si>
    <t xml:space="preserve">Asset-to-Liability Ratio</t>
  </si>
  <si>
    <t xml:space="preserve">Above 2.0x = healthy</t>
  </si>
  <si>
    <t xml:space="preserve">FINANCIAL HEALTH SUMMARY</t>
  </si>
  <si>
    <t xml:space="preserve">All metrics auto-calculated. Green = healthy, needs attention otherwise.</t>
  </si>
  <si>
    <t xml:space="preserve">Metric</t>
  </si>
  <si>
    <t xml:space="preserve">Status</t>
  </si>
  <si>
    <t xml:space="preserve">Monthly Expenses</t>
  </si>
  <si>
    <t xml:space="preserve">Monthly Surplus</t>
  </si>
  <si>
    <t xml:space="preserve">Debt-to-Income</t>
  </si>
  <si>
    <t xml:space="preserve">Housing-to-Income</t>
  </si>
  <si>
    <t xml:space="preserve">Retirement On Track?</t>
  </si>
  <si>
    <t xml:space="preserve">Retirement Gap</t>
  </si>
  <si>
    <t xml:space="preserve">Projected Portfolio (30yr)</t>
  </si>
  <si>
    <t xml:space="preserve">Built with Raise Ready | raisereadybook.com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</si>
</sst>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0%"/>
    <numFmt numFmtId="168" formatCode="0"/>
    <numFmt numFmtId="169" formatCode="0.0\x"/>
    <numFmt numFmtId="170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8A45A"/>
      <name val="Arial"/>
      <family val="0"/>
      <charset val="1"/>
    </font>
    <font>
      <b val="true"/>
      <sz val="20"/>
      <color rgb="FF08080D"/>
      <name val="Arial"/>
      <family val="0"/>
      <charset val="1"/>
    </font>
    <font>
      <sz val="12"/>
      <color rgb="FF6B6561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2E8B8B"/>
      <name val="Arial"/>
      <family val="0"/>
      <charset val="1"/>
    </font>
    <font>
      <i val="true"/>
      <sz val="9"/>
      <color rgb="FF6B656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8080D"/>
      <name val="Arial"/>
      <family val="0"/>
      <charset val="1"/>
    </font>
    <font>
      <b val="true"/>
      <sz val="14"/>
      <color rgb="FF08080D"/>
      <name val="Arial"/>
      <family val="0"/>
      <charset val="1"/>
    </font>
    <font>
      <sz val="11"/>
      <color rgb="FF08080D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8080D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C8A45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1B2A4A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0C4"/>
      </bottom>
      <diagonal/>
    </border>
    <border diagonalUp="false" diagonalDown="false">
      <left style="thin">
        <color rgb="FFD6D0C4"/>
      </left>
      <right style="thin">
        <color rgb="FFD6D0C4"/>
      </right>
      <top style="thin">
        <color rgb="FFD6D0C4"/>
      </top>
      <bottom style="thin">
        <color rgb="FFD6D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0C4"/>
      <rgbColor rgb="FF808080"/>
      <rgbColor rgb="FF9999FF"/>
      <rgbColor rgb="FF993366"/>
      <rgbColor rgb="FFFFFFF0"/>
      <rgbColor rgb="FFCCFFFF"/>
      <rgbColor rgb="FF660066"/>
      <rgbColor rgb="FFE8655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C5CFC"/>
      <rgbColor rgb="FF10B981"/>
      <rgbColor rgb="FF99CC00"/>
      <rgbColor rgb="FFFFCC00"/>
      <rgbColor rgb="FFFF9900"/>
      <rgbColor rgb="FFFF6600"/>
      <rgbColor rgb="FF6B6561"/>
      <rgbColor rgb="FFC8A45A"/>
      <rgbColor rgb="FF003366"/>
      <rgbColor rgb="FF2E8B8B"/>
      <rgbColor rgb="FF08080D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1" t="s">
        <v>0</v>
      </c>
    </row>
    <row r="3" customFormat="false" ht="24.4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7" customFormat="false" ht="15" hidden="false" customHeight="false" outlineLevel="0" collapsed="false">
      <c r="B7" s="4" t="s">
        <v>3</v>
      </c>
    </row>
    <row r="9" customFormat="false" ht="15" hidden="false" customHeight="false" outlineLevel="0" collapsed="false">
      <c r="B9" s="5" t="s">
        <v>4</v>
      </c>
      <c r="C9" s="6" t="s">
        <v>5</v>
      </c>
    </row>
    <row r="10" customFormat="false" ht="15" hidden="false" customHeight="false" outlineLevel="0" collapsed="false">
      <c r="B10" s="5" t="s">
        <v>6</v>
      </c>
      <c r="C10" s="6" t="s">
        <v>7</v>
      </c>
    </row>
    <row r="11" customFormat="false" ht="15" hidden="false" customHeight="false" outlineLevel="0" collapsed="false">
      <c r="B11" s="5" t="s">
        <v>8</v>
      </c>
      <c r="C11" s="6" t="s">
        <v>9</v>
      </c>
    </row>
    <row r="12" customFormat="false" ht="15" hidden="false" customHeight="false" outlineLevel="0" collapsed="false">
      <c r="B12" s="5" t="s">
        <v>10</v>
      </c>
      <c r="C12" s="6" t="s">
        <v>11</v>
      </c>
    </row>
    <row r="13" customFormat="false" ht="15" hidden="false" customHeight="false" outlineLevel="0" collapsed="false">
      <c r="B13" s="5" t="s">
        <v>12</v>
      </c>
      <c r="C13" s="6" t="s">
        <v>13</v>
      </c>
    </row>
    <row r="14" customFormat="false" ht="15" hidden="false" customHeight="false" outlineLevel="0" collapsed="false">
      <c r="B14" s="5" t="s">
        <v>14</v>
      </c>
      <c r="C14" s="6" t="s">
        <v>15</v>
      </c>
    </row>
    <row r="15" customFormat="false" ht="15" hidden="false" customHeight="false" outlineLevel="0" collapsed="false">
      <c r="B15" s="5" t="s">
        <v>16</v>
      </c>
      <c r="C15" s="6" t="s">
        <v>17</v>
      </c>
    </row>
    <row r="16" customFormat="false" ht="15" hidden="false" customHeight="false" outlineLevel="0" collapsed="false">
      <c r="B16" s="5" t="s">
        <v>18</v>
      </c>
      <c r="C16" s="6" t="s">
        <v>19</v>
      </c>
    </row>
    <row r="19" customFormat="false" ht="15" hidden="false" customHeight="false" outlineLevel="0" collapsed="false">
      <c r="B19" s="4" t="s">
        <v>20</v>
      </c>
    </row>
    <row r="20" customFormat="false" ht="15" hidden="false" customHeight="false" outlineLevel="0" collapsed="false">
      <c r="B20" s="7" t="s">
        <v>21</v>
      </c>
    </row>
    <row r="21" customFormat="false" ht="15" hidden="false" customHeight="false" outlineLevel="0" collapsed="false">
      <c r="B21" s="8" t="s">
        <v>22</v>
      </c>
    </row>
    <row r="22" customFormat="false" ht="15" hidden="false" customHeight="false" outlineLevel="0" collapsed="false">
      <c r="B22" s="9" t="s">
        <v>23</v>
      </c>
    </row>
    <row r="23" customFormat="false" ht="15" hidden="false" customHeight="false" outlineLevel="0" collapsed="false">
      <c r="B23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B1" s="11" t="s">
        <v>25</v>
      </c>
    </row>
    <row r="2" customFormat="false" ht="15" hidden="false" customHeight="false" outlineLevel="0" collapsed="false">
      <c r="B2" s="6" t="s">
        <v>26</v>
      </c>
    </row>
    <row r="4" customFormat="false" ht="15" hidden="false" customHeight="false" outlineLevel="0" collapsed="false">
      <c r="B4" s="4" t="s">
        <v>27</v>
      </c>
    </row>
    <row r="5" customFormat="false" ht="15" hidden="false" customHeight="false" outlineLevel="0" collapsed="false">
      <c r="B5" s="12" t="s">
        <v>28</v>
      </c>
      <c r="C5" s="13" t="s">
        <v>29</v>
      </c>
    </row>
    <row r="6" customFormat="false" ht="15" hidden="false" customHeight="false" outlineLevel="0" collapsed="false">
      <c r="B6" s="12" t="s">
        <v>30</v>
      </c>
      <c r="C6" s="13" t="n">
        <v>30</v>
      </c>
    </row>
    <row r="7" customFormat="false" ht="15" hidden="false" customHeight="false" outlineLevel="0" collapsed="false">
      <c r="B7" s="12" t="s">
        <v>31</v>
      </c>
      <c r="C7" s="13" t="n">
        <v>65</v>
      </c>
    </row>
    <row r="8" customFormat="false" ht="15" hidden="false" customHeight="false" outlineLevel="0" collapsed="false">
      <c r="B8" s="12" t="s">
        <v>32</v>
      </c>
      <c r="C8" s="13" t="s">
        <v>33</v>
      </c>
    </row>
    <row r="9" customFormat="false" ht="15" hidden="false" customHeight="false" outlineLevel="0" collapsed="false">
      <c r="B9" s="12" t="s">
        <v>34</v>
      </c>
      <c r="C9" s="13" t="s">
        <v>35</v>
      </c>
    </row>
    <row r="11" customFormat="false" ht="15" hidden="false" customHeight="false" outlineLevel="0" collapsed="false">
      <c r="B11" s="4" t="s">
        <v>36</v>
      </c>
    </row>
    <row r="12" customFormat="false" ht="15" hidden="false" customHeight="false" outlineLevel="0" collapsed="false">
      <c r="B12" s="12" t="s">
        <v>37</v>
      </c>
      <c r="C12" s="14" t="n">
        <v>75000</v>
      </c>
    </row>
    <row r="13" customFormat="false" ht="15" hidden="false" customHeight="false" outlineLevel="0" collapsed="false">
      <c r="B13" s="12" t="s">
        <v>38</v>
      </c>
      <c r="C13" s="14" t="n">
        <v>0</v>
      </c>
    </row>
    <row r="14" customFormat="false" ht="15" hidden="false" customHeight="false" outlineLevel="0" collapsed="false">
      <c r="B14" s="12" t="s">
        <v>39</v>
      </c>
      <c r="C14" s="14" t="n">
        <v>0</v>
      </c>
    </row>
    <row r="15" customFormat="false" ht="15" hidden="false" customHeight="false" outlineLevel="0" collapsed="false">
      <c r="B15" s="12" t="s">
        <v>40</v>
      </c>
      <c r="C15" s="15" t="n">
        <v>0.25</v>
      </c>
    </row>
    <row r="17" customFormat="false" ht="15" hidden="false" customHeight="false" outlineLevel="0" collapsed="false">
      <c r="B17" s="16" t="s">
        <v>41</v>
      </c>
      <c r="C17" s="17" t="n">
        <f aca="false">C12+C13+C14</f>
        <v>75000</v>
      </c>
    </row>
    <row r="18" customFormat="false" ht="15" hidden="false" customHeight="false" outlineLevel="0" collapsed="false">
      <c r="B18" s="16" t="s">
        <v>42</v>
      </c>
      <c r="C18" s="17" t="n">
        <f aca="false">C17*C15</f>
        <v>18750</v>
      </c>
    </row>
    <row r="19" customFormat="false" ht="15" hidden="false" customHeight="false" outlineLevel="0" collapsed="false">
      <c r="B19" s="16" t="s">
        <v>43</v>
      </c>
      <c r="C19" s="17" t="n">
        <f aca="false">C17-C18</f>
        <v>56250</v>
      </c>
    </row>
    <row r="20" customFormat="false" ht="15" hidden="false" customHeight="false" outlineLevel="0" collapsed="false">
      <c r="B20" s="16" t="s">
        <v>44</v>
      </c>
      <c r="C20" s="17" t="n">
        <f aca="false">C19/12</f>
        <v>4687.5</v>
      </c>
    </row>
    <row r="22" customFormat="false" ht="15" hidden="false" customHeight="false" outlineLevel="0" collapsed="false">
      <c r="B22" s="4" t="s">
        <v>45</v>
      </c>
    </row>
    <row r="23" customFormat="false" ht="15" hidden="false" customHeight="false" outlineLevel="0" collapsed="false">
      <c r="B23" s="12" t="s">
        <v>46</v>
      </c>
      <c r="C23" s="14" t="n">
        <v>15000</v>
      </c>
    </row>
    <row r="24" customFormat="false" ht="15" hidden="false" customHeight="false" outlineLevel="0" collapsed="false">
      <c r="B24" s="12" t="s">
        <v>47</v>
      </c>
      <c r="C24" s="14" t="n">
        <v>25000</v>
      </c>
    </row>
    <row r="25" customFormat="false" ht="15" hidden="false" customHeight="false" outlineLevel="0" collapsed="false">
      <c r="B25" s="12" t="s">
        <v>48</v>
      </c>
      <c r="C25" s="14" t="n">
        <v>45000</v>
      </c>
    </row>
    <row r="26" customFormat="false" ht="15" hidden="false" customHeight="false" outlineLevel="0" collapsed="false">
      <c r="B26" s="12" t="s">
        <v>49</v>
      </c>
      <c r="C26" s="14" t="n">
        <v>0</v>
      </c>
    </row>
    <row r="27" customFormat="false" ht="15" hidden="false" customHeight="false" outlineLevel="0" collapsed="false">
      <c r="B27" s="12" t="s">
        <v>50</v>
      </c>
      <c r="C27" s="14" t="n">
        <v>12000</v>
      </c>
    </row>
    <row r="28" customFormat="false" ht="15" hidden="false" customHeight="false" outlineLevel="0" collapsed="false">
      <c r="B28" s="12" t="s">
        <v>51</v>
      </c>
      <c r="C28" s="14" t="n">
        <v>0</v>
      </c>
    </row>
    <row r="29" customFormat="false" ht="15" hidden="false" customHeight="false" outlineLevel="0" collapsed="false">
      <c r="B29" s="16" t="s">
        <v>52</v>
      </c>
      <c r="C29" s="17" t="n">
        <f aca="false">SUM(C23:C28)</f>
        <v>97000</v>
      </c>
    </row>
    <row r="31" customFormat="false" ht="15" hidden="false" customHeight="false" outlineLevel="0" collapsed="false">
      <c r="B31" s="4" t="s">
        <v>53</v>
      </c>
    </row>
    <row r="32" customFormat="false" ht="15" hidden="false" customHeight="false" outlineLevel="0" collapsed="false">
      <c r="A32" s="18"/>
      <c r="B32" s="18" t="s">
        <v>54</v>
      </c>
      <c r="C32" s="18" t="s">
        <v>55</v>
      </c>
      <c r="D32" s="18" t="s">
        <v>56</v>
      </c>
    </row>
    <row r="33" customFormat="false" ht="15" hidden="false" customHeight="false" outlineLevel="0" collapsed="false">
      <c r="B33" s="12" t="s">
        <v>57</v>
      </c>
      <c r="C33" s="14" t="n">
        <v>5000</v>
      </c>
      <c r="D33" s="15" t="n">
        <v>0.219</v>
      </c>
    </row>
    <row r="34" customFormat="false" ht="15" hidden="false" customHeight="false" outlineLevel="0" collapsed="false">
      <c r="B34" s="12" t="s">
        <v>58</v>
      </c>
      <c r="C34" s="14" t="n">
        <v>25000</v>
      </c>
      <c r="D34" s="15" t="n">
        <v>0.055</v>
      </c>
    </row>
    <row r="35" customFormat="false" ht="15" hidden="false" customHeight="false" outlineLevel="0" collapsed="false">
      <c r="B35" s="12" t="s">
        <v>59</v>
      </c>
      <c r="C35" s="14" t="n">
        <v>8000</v>
      </c>
      <c r="D35" s="15" t="n">
        <v>0.069</v>
      </c>
    </row>
    <row r="36" customFormat="false" ht="15" hidden="false" customHeight="false" outlineLevel="0" collapsed="false">
      <c r="B36" s="12" t="s">
        <v>60</v>
      </c>
      <c r="C36" s="14" t="n">
        <v>0</v>
      </c>
      <c r="D36" s="15" t="n">
        <v>0.065</v>
      </c>
    </row>
    <row r="37" customFormat="false" ht="15" hidden="false" customHeight="false" outlineLevel="0" collapsed="false">
      <c r="B37" s="12" t="s">
        <v>61</v>
      </c>
      <c r="C37" s="14" t="n">
        <v>0</v>
      </c>
      <c r="D37" s="15" t="n">
        <v>0.1</v>
      </c>
    </row>
    <row r="38" customFormat="false" ht="15" hidden="false" customHeight="false" outlineLevel="0" collapsed="false">
      <c r="B38" s="12" t="s">
        <v>62</v>
      </c>
      <c r="C38" s="14" t="n">
        <v>0</v>
      </c>
      <c r="D38" s="15" t="n">
        <v>0.08</v>
      </c>
    </row>
    <row r="39" customFormat="false" ht="15" hidden="false" customHeight="false" outlineLevel="0" collapsed="false">
      <c r="B39" s="16" t="s">
        <v>63</v>
      </c>
      <c r="C39" s="17" t="n">
        <f aca="false">SUM(C33:C38)</f>
        <v>38000</v>
      </c>
    </row>
    <row r="41" customFormat="false" ht="15" hidden="false" customHeight="false" outlineLevel="0" collapsed="false">
      <c r="B41" s="4" t="s">
        <v>64</v>
      </c>
    </row>
    <row r="42" customFormat="false" ht="15" hidden="false" customHeight="false" outlineLevel="0" collapsed="false">
      <c r="A42" s="18"/>
      <c r="B42" s="18" t="s">
        <v>65</v>
      </c>
      <c r="C42" s="18" t="s">
        <v>66</v>
      </c>
      <c r="D42" s="18" t="s">
        <v>67</v>
      </c>
    </row>
    <row r="43" customFormat="false" ht="15" hidden="false" customHeight="false" outlineLevel="0" collapsed="false">
      <c r="B43" s="12" t="s">
        <v>68</v>
      </c>
      <c r="C43" s="14" t="n">
        <v>1500</v>
      </c>
      <c r="D43" s="6" t="s">
        <v>69</v>
      </c>
    </row>
    <row r="44" customFormat="false" ht="15" hidden="false" customHeight="false" outlineLevel="0" collapsed="false">
      <c r="B44" s="12" t="s">
        <v>70</v>
      </c>
      <c r="C44" s="14" t="n">
        <v>200</v>
      </c>
      <c r="D44" s="6" t="s">
        <v>69</v>
      </c>
    </row>
    <row r="45" customFormat="false" ht="15" hidden="false" customHeight="false" outlineLevel="0" collapsed="false">
      <c r="B45" s="12" t="s">
        <v>71</v>
      </c>
      <c r="C45" s="14" t="n">
        <v>400</v>
      </c>
      <c r="D45" s="6" t="s">
        <v>69</v>
      </c>
    </row>
    <row r="46" customFormat="false" ht="15" hidden="false" customHeight="false" outlineLevel="0" collapsed="false">
      <c r="B46" s="12" t="s">
        <v>72</v>
      </c>
      <c r="C46" s="14" t="n">
        <v>250</v>
      </c>
      <c r="D46" s="6" t="s">
        <v>69</v>
      </c>
    </row>
    <row r="47" customFormat="false" ht="15" hidden="false" customHeight="false" outlineLevel="0" collapsed="false">
      <c r="B47" s="12" t="s">
        <v>73</v>
      </c>
      <c r="C47" s="14" t="n">
        <v>300</v>
      </c>
      <c r="D47" s="6" t="s">
        <v>69</v>
      </c>
    </row>
    <row r="48" customFormat="false" ht="15" hidden="false" customHeight="false" outlineLevel="0" collapsed="false">
      <c r="B48" s="12" t="s">
        <v>74</v>
      </c>
      <c r="C48" s="14" t="n">
        <v>350</v>
      </c>
      <c r="D48" s="6" t="s">
        <v>69</v>
      </c>
    </row>
    <row r="49" customFormat="false" ht="15" hidden="false" customHeight="false" outlineLevel="0" collapsed="false">
      <c r="B49" s="12" t="s">
        <v>75</v>
      </c>
      <c r="C49" s="14" t="n">
        <v>200</v>
      </c>
      <c r="D49" s="6" t="s">
        <v>76</v>
      </c>
    </row>
    <row r="50" customFormat="false" ht="15" hidden="false" customHeight="false" outlineLevel="0" collapsed="false">
      <c r="B50" s="12" t="s">
        <v>77</v>
      </c>
      <c r="C50" s="14" t="n">
        <v>150</v>
      </c>
      <c r="D50" s="6" t="s">
        <v>76</v>
      </c>
    </row>
    <row r="51" customFormat="false" ht="15" hidden="false" customHeight="false" outlineLevel="0" collapsed="false">
      <c r="B51" s="12" t="s">
        <v>78</v>
      </c>
      <c r="C51" s="14" t="n">
        <v>200</v>
      </c>
      <c r="D51" s="6" t="s">
        <v>76</v>
      </c>
    </row>
    <row r="52" customFormat="false" ht="15" hidden="false" customHeight="false" outlineLevel="0" collapsed="false">
      <c r="B52" s="12" t="s">
        <v>79</v>
      </c>
      <c r="C52" s="14" t="n">
        <v>80</v>
      </c>
      <c r="D52" s="6" t="s">
        <v>76</v>
      </c>
    </row>
    <row r="53" customFormat="false" ht="15" hidden="false" customHeight="false" outlineLevel="0" collapsed="false">
      <c r="B53" s="12" t="s">
        <v>80</v>
      </c>
      <c r="C53" s="14" t="n">
        <v>200</v>
      </c>
      <c r="D53" s="6" t="s">
        <v>76</v>
      </c>
    </row>
    <row r="54" customFormat="false" ht="15" hidden="false" customHeight="false" outlineLevel="0" collapsed="false">
      <c r="B54" s="12" t="s">
        <v>81</v>
      </c>
      <c r="C54" s="14" t="n">
        <v>75</v>
      </c>
      <c r="D54" s="6" t="s">
        <v>76</v>
      </c>
    </row>
    <row r="55" customFormat="false" ht="15" hidden="false" customHeight="false" outlineLevel="0" collapsed="false">
      <c r="B55" s="12" t="s">
        <v>82</v>
      </c>
      <c r="C55" s="14" t="n">
        <v>200</v>
      </c>
      <c r="D55" s="6" t="s">
        <v>83</v>
      </c>
    </row>
    <row r="56" customFormat="false" ht="15" hidden="false" customHeight="false" outlineLevel="0" collapsed="false">
      <c r="B56" s="12" t="s">
        <v>84</v>
      </c>
      <c r="C56" s="14" t="n">
        <v>500</v>
      </c>
      <c r="D56" s="6" t="s">
        <v>83</v>
      </c>
    </row>
    <row r="57" customFormat="false" ht="15" hidden="false" customHeight="false" outlineLevel="0" collapsed="false">
      <c r="B57" s="12" t="s">
        <v>85</v>
      </c>
      <c r="C57" s="14" t="n">
        <v>400</v>
      </c>
      <c r="D57" s="6" t="s">
        <v>83</v>
      </c>
    </row>
    <row r="58" customFormat="false" ht="15" hidden="false" customHeight="false" outlineLevel="0" collapsed="false">
      <c r="B58" s="16" t="s">
        <v>86</v>
      </c>
      <c r="C58" s="17" t="n">
        <f aca="false">SUM(C43:C57)</f>
        <v>5005</v>
      </c>
    </row>
    <row r="59" customFormat="false" ht="15" hidden="false" customHeight="false" outlineLevel="0" collapsed="false">
      <c r="B59" s="16" t="s">
        <v>87</v>
      </c>
      <c r="C59" s="17" t="n">
        <f aca="false">C20-C58</f>
        <v>-317.5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B1" s="11" t="s">
        <v>88</v>
      </c>
    </row>
    <row r="2" customFormat="false" ht="15" hidden="false" customHeight="false" outlineLevel="0" collapsed="false">
      <c r="B2" s="6" t="s">
        <v>89</v>
      </c>
    </row>
    <row r="4" customFormat="false" ht="15" hidden="false" customHeight="false" outlineLevel="0" collapsed="false">
      <c r="B4" s="19" t="s">
        <v>44</v>
      </c>
      <c r="C4" s="20" t="n">
        <f aca="false">SETUP!C20</f>
        <v>4687.5</v>
      </c>
    </row>
    <row r="6" customFormat="false" ht="15" hidden="false" customHeight="false" outlineLevel="0" collapsed="false">
      <c r="A6" s="18"/>
      <c r="B6" s="18" t="s">
        <v>65</v>
      </c>
      <c r="C6" s="18" t="s">
        <v>90</v>
      </c>
      <c r="D6" s="18" t="s">
        <v>91</v>
      </c>
      <c r="E6" s="18" t="s">
        <v>92</v>
      </c>
      <c r="F6" s="18" t="s">
        <v>93</v>
      </c>
    </row>
    <row r="7" customFormat="false" ht="15" hidden="false" customHeight="false" outlineLevel="0" collapsed="false">
      <c r="B7" s="4" t="s">
        <v>94</v>
      </c>
      <c r="C7" s="21" t="s">
        <v>95</v>
      </c>
      <c r="D7" s="17" t="n">
        <f aca="false">C4*C7</f>
        <v>2343.75</v>
      </c>
      <c r="E7" s="20" t="n">
        <f aca="false">SETUP!C43+SETUP!C44+SETUP!C45+SETUP!C46+SETUP!C47+SETUP!C48</f>
        <v>3000</v>
      </c>
      <c r="F7" s="17" t="n">
        <f aca="false">D7-E7</f>
        <v>-656.25</v>
      </c>
    </row>
    <row r="9" customFormat="false" ht="15" hidden="false" customHeight="false" outlineLevel="0" collapsed="false">
      <c r="B9" s="4" t="s">
        <v>96</v>
      </c>
      <c r="C9" s="21" t="s">
        <v>97</v>
      </c>
      <c r="D9" s="17" t="n">
        <f aca="false">C4*C9</f>
        <v>1406.25</v>
      </c>
      <c r="E9" s="20" t="n">
        <f aca="false">SETUP!C49+SETUP!C50+SETUP!C51+SETUP!C52+SETUP!C53+SETUP!C54</f>
        <v>905</v>
      </c>
      <c r="F9" s="17" t="n">
        <f aca="false">D9-E9</f>
        <v>501.25</v>
      </c>
    </row>
    <row r="11" customFormat="false" ht="15" hidden="false" customHeight="false" outlineLevel="0" collapsed="false">
      <c r="B11" s="4" t="s">
        <v>98</v>
      </c>
      <c r="C11" s="21" t="s">
        <v>99</v>
      </c>
      <c r="D11" s="17" t="n">
        <f aca="false">C4*C11</f>
        <v>937.5</v>
      </c>
      <c r="E11" s="20" t="n">
        <f aca="false">SETUP!C55+SETUP!C56+SETUP!C57</f>
        <v>1100</v>
      </c>
      <c r="F11" s="17" t="n">
        <f aca="false">D11-E11</f>
        <v>-162.5</v>
      </c>
    </row>
    <row r="13" customFormat="false" ht="15" hidden="false" customHeight="false" outlineLevel="0" collapsed="false">
      <c r="B13" s="19" t="s">
        <v>100</v>
      </c>
      <c r="C13" s="22" t="n">
        <f aca="false">IF(C4&gt;0,E11/C4,0)</f>
        <v>0.234666666666667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55A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17.35" hidden="false" customHeight="false" outlineLevel="0" collapsed="false">
      <c r="B1" s="11" t="s">
        <v>101</v>
      </c>
    </row>
    <row r="2" customFormat="false" ht="15" hidden="false" customHeight="false" outlineLevel="0" collapsed="false">
      <c r="B2" s="6" t="s">
        <v>102</v>
      </c>
    </row>
    <row r="4" customFormat="false" ht="15" hidden="false" customHeight="false" outlineLevel="0" collapsed="false">
      <c r="B4" s="4" t="s">
        <v>103</v>
      </c>
    </row>
    <row r="5" customFormat="false" ht="15" hidden="false" customHeight="false" outlineLevel="0" collapsed="false">
      <c r="A5" s="18"/>
      <c r="B5" s="18" t="s">
        <v>104</v>
      </c>
      <c r="C5" s="18" t="s">
        <v>55</v>
      </c>
      <c r="D5" s="18" t="s">
        <v>105</v>
      </c>
      <c r="E5" s="18" t="s">
        <v>106</v>
      </c>
      <c r="F5" s="18" t="s">
        <v>107</v>
      </c>
      <c r="G5" s="18" t="s">
        <v>108</v>
      </c>
    </row>
    <row r="6" customFormat="false" ht="15" hidden="false" customHeight="false" outlineLevel="0" collapsed="false">
      <c r="B6" s="23" t="str">
        <f aca="false">SETUP!B33</f>
        <v>Credit Cards</v>
      </c>
      <c r="C6" s="20" t="n">
        <f aca="false">SETUP!C33</f>
        <v>5000</v>
      </c>
      <c r="D6" s="24" t="n">
        <f aca="false">SETUP!D33</f>
        <v>0.219</v>
      </c>
      <c r="E6" s="17" t="n">
        <f aca="false">IF(C6&gt;0,MAX(C6*D6/12,25),0)</f>
        <v>91.25</v>
      </c>
      <c r="F6" s="17" t="n">
        <f aca="false">C6*D6/12</f>
        <v>91.25</v>
      </c>
      <c r="G6" s="25" t="n">
        <f aca="false">RANK(D6,D$6:D$11,0)</f>
        <v>1</v>
      </c>
    </row>
    <row r="7" customFormat="false" ht="15" hidden="false" customHeight="false" outlineLevel="0" collapsed="false">
      <c r="B7" s="23" t="str">
        <f aca="false">SETUP!B34</f>
        <v>Student Loans</v>
      </c>
      <c r="C7" s="20" t="n">
        <f aca="false">SETUP!C34</f>
        <v>25000</v>
      </c>
      <c r="D7" s="24" t="n">
        <f aca="false">SETUP!D34</f>
        <v>0.055</v>
      </c>
      <c r="E7" s="17" t="n">
        <f aca="false">IF(C7&gt;0,MAX(C7*D7/12,25),0)</f>
        <v>114.583333333333</v>
      </c>
      <c r="F7" s="17" t="n">
        <f aca="false">C7*D7/12</f>
        <v>114.583333333333</v>
      </c>
      <c r="G7" s="25" t="n">
        <f aca="false">RANK(D7,D$6:D$11,0)</f>
        <v>6</v>
      </c>
    </row>
    <row r="8" customFormat="false" ht="15" hidden="false" customHeight="false" outlineLevel="0" collapsed="false">
      <c r="B8" s="23" t="str">
        <f aca="false">SETUP!B35</f>
        <v>Car Loan</v>
      </c>
      <c r="C8" s="20" t="n">
        <f aca="false">SETUP!C35</f>
        <v>8000</v>
      </c>
      <c r="D8" s="24" t="n">
        <f aca="false">SETUP!D35</f>
        <v>0.069</v>
      </c>
      <c r="E8" s="17" t="n">
        <f aca="false">IF(C8&gt;0,MAX(C8*D8/12,25),0)</f>
        <v>46</v>
      </c>
      <c r="F8" s="17" t="n">
        <f aca="false">C8*D8/12</f>
        <v>46</v>
      </c>
      <c r="G8" s="25" t="n">
        <f aca="false">RANK(D8,D$6:D$11,0)</f>
        <v>4</v>
      </c>
    </row>
    <row r="9" customFormat="false" ht="15" hidden="false" customHeight="false" outlineLevel="0" collapsed="false">
      <c r="B9" s="23" t="str">
        <f aca="false">SETUP!B36</f>
        <v>Mortgage</v>
      </c>
      <c r="C9" s="20" t="n">
        <f aca="false">SETUP!C36</f>
        <v>0</v>
      </c>
      <c r="D9" s="24" t="n">
        <f aca="false">SETUP!D36</f>
        <v>0.065</v>
      </c>
      <c r="E9" s="17" t="n">
        <f aca="false">IF(C9&gt;0,MAX(C9*D9/12,25),0)</f>
        <v>0</v>
      </c>
      <c r="F9" s="17" t="n">
        <f aca="false">C9*D9/12</f>
        <v>0</v>
      </c>
      <c r="G9" s="25" t="n">
        <f aca="false">RANK(D9,D$6:D$11,0)</f>
        <v>5</v>
      </c>
    </row>
    <row r="10" customFormat="false" ht="15" hidden="false" customHeight="false" outlineLevel="0" collapsed="false">
      <c r="B10" s="23" t="str">
        <f aca="false">SETUP!B37</f>
        <v>Personal Loans</v>
      </c>
      <c r="C10" s="20" t="n">
        <f aca="false">SETUP!C37</f>
        <v>0</v>
      </c>
      <c r="D10" s="24" t="n">
        <f aca="false">SETUP!D37</f>
        <v>0.1</v>
      </c>
      <c r="E10" s="17" t="n">
        <f aca="false">IF(C10&gt;0,MAX(C10*D10/12,25),0)</f>
        <v>0</v>
      </c>
      <c r="F10" s="17" t="n">
        <f aca="false">C10*D10/12</f>
        <v>0</v>
      </c>
      <c r="G10" s="25" t="n">
        <f aca="false">RANK(D10,D$6:D$11,0)</f>
        <v>2</v>
      </c>
    </row>
    <row r="11" customFormat="false" ht="15" hidden="false" customHeight="false" outlineLevel="0" collapsed="false">
      <c r="B11" s="23" t="str">
        <f aca="false">SETUP!B38</f>
        <v>Other Debt</v>
      </c>
      <c r="C11" s="20" t="n">
        <f aca="false">SETUP!C38</f>
        <v>0</v>
      </c>
      <c r="D11" s="24" t="n">
        <f aca="false">SETUP!D38</f>
        <v>0.08</v>
      </c>
      <c r="E11" s="17" t="n">
        <f aca="false">IF(C11&gt;0,MAX(C11*D11/12,25),0)</f>
        <v>0</v>
      </c>
      <c r="F11" s="17" t="n">
        <f aca="false">C11*D11/12</f>
        <v>0</v>
      </c>
      <c r="G11" s="25" t="n">
        <f aca="false">RANK(D11,D$6:D$11,0)</f>
        <v>3</v>
      </c>
    </row>
    <row r="13" customFormat="false" ht="15" hidden="false" customHeight="false" outlineLevel="0" collapsed="false">
      <c r="B13" s="16" t="s">
        <v>63</v>
      </c>
      <c r="C13" s="17" t="n">
        <f aca="false">SUM(C6:C11)</f>
        <v>38000</v>
      </c>
    </row>
    <row r="14" customFormat="false" ht="15" hidden="false" customHeight="false" outlineLevel="0" collapsed="false">
      <c r="B14" s="16" t="s">
        <v>109</v>
      </c>
      <c r="E14" s="17" t="n">
        <f aca="false">SUM(E6:E11)</f>
        <v>251.833333333333</v>
      </c>
    </row>
    <row r="15" customFormat="false" ht="15" hidden="false" customHeight="false" outlineLevel="0" collapsed="false">
      <c r="B15" s="16" t="s">
        <v>110</v>
      </c>
      <c r="F15" s="17" t="n">
        <f aca="false">SUM(F6:F11)</f>
        <v>251.833333333333</v>
      </c>
    </row>
    <row r="17" customFormat="false" ht="15" hidden="false" customHeight="false" outlineLevel="0" collapsed="false">
      <c r="B17" s="4" t="s">
        <v>111</v>
      </c>
    </row>
    <row r="18" customFormat="false" ht="15" hidden="false" customHeight="false" outlineLevel="0" collapsed="false">
      <c r="B18" s="12" t="s">
        <v>112</v>
      </c>
      <c r="C18" s="22" t="n">
        <f aca="false">IF(SETUP!C17&gt;0,C13/SETUP!C17,0)</f>
        <v>0.506666666666667</v>
      </c>
      <c r="D18" s="6" t="s">
        <v>113</v>
      </c>
    </row>
    <row r="19" customFormat="false" ht="15" hidden="false" customHeight="false" outlineLevel="0" collapsed="false">
      <c r="B19" s="12" t="s">
        <v>114</v>
      </c>
      <c r="C19" s="22" t="n">
        <f aca="false">IF(SETUP!C29&gt;0,C13/SETUP!C29,0)</f>
        <v>0.391752577319588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B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B1" s="11" t="s">
        <v>115</v>
      </c>
    </row>
    <row r="2" customFormat="false" ht="15" hidden="false" customHeight="false" outlineLevel="0" collapsed="false">
      <c r="B2" s="6" t="s">
        <v>116</v>
      </c>
    </row>
    <row r="4" customFormat="false" ht="15" hidden="false" customHeight="false" outlineLevel="0" collapsed="false">
      <c r="B4" s="4" t="s">
        <v>117</v>
      </c>
    </row>
    <row r="5" customFormat="false" ht="15" hidden="false" customHeight="false" outlineLevel="0" collapsed="false">
      <c r="B5" s="12" t="s">
        <v>118</v>
      </c>
      <c r="C5" s="14" t="n">
        <v>1500</v>
      </c>
    </row>
    <row r="6" customFormat="false" ht="15" hidden="false" customHeight="false" outlineLevel="0" collapsed="false">
      <c r="B6" s="12" t="s">
        <v>119</v>
      </c>
      <c r="C6" s="15" t="n">
        <v>0.03</v>
      </c>
    </row>
    <row r="7" customFormat="false" ht="15" hidden="false" customHeight="false" outlineLevel="0" collapsed="false">
      <c r="B7" s="12" t="s">
        <v>120</v>
      </c>
      <c r="C7" s="17" t="n">
        <f aca="false">C5*12</f>
        <v>18000</v>
      </c>
    </row>
    <row r="9" customFormat="false" ht="15" hidden="false" customHeight="false" outlineLevel="0" collapsed="false">
      <c r="B9" s="4" t="s">
        <v>121</v>
      </c>
    </row>
    <row r="10" customFormat="false" ht="15" hidden="false" customHeight="false" outlineLevel="0" collapsed="false">
      <c r="B10" s="12" t="s">
        <v>122</v>
      </c>
      <c r="C10" s="14" t="n">
        <v>350000</v>
      </c>
    </row>
    <row r="11" customFormat="false" ht="15" hidden="false" customHeight="false" outlineLevel="0" collapsed="false">
      <c r="B11" s="12" t="s">
        <v>123</v>
      </c>
      <c r="C11" s="15" t="n">
        <v>0.2</v>
      </c>
    </row>
    <row r="12" customFormat="false" ht="15" hidden="false" customHeight="false" outlineLevel="0" collapsed="false">
      <c r="B12" s="12" t="s">
        <v>124</v>
      </c>
      <c r="C12" s="15" t="n">
        <v>0.065</v>
      </c>
    </row>
    <row r="13" customFormat="false" ht="15" hidden="false" customHeight="false" outlineLevel="0" collapsed="false">
      <c r="B13" s="12" t="s">
        <v>125</v>
      </c>
      <c r="C13" s="26" t="n">
        <v>30</v>
      </c>
    </row>
    <row r="14" customFormat="false" ht="15" hidden="false" customHeight="false" outlineLevel="0" collapsed="false">
      <c r="B14" s="12" t="s">
        <v>126</v>
      </c>
      <c r="C14" s="15" t="n">
        <v>0.012</v>
      </c>
    </row>
    <row r="15" customFormat="false" ht="15" hidden="false" customHeight="false" outlineLevel="0" collapsed="false">
      <c r="B15" s="12" t="s">
        <v>127</v>
      </c>
      <c r="C15" s="14" t="n">
        <v>1800</v>
      </c>
    </row>
    <row r="16" customFormat="false" ht="15" hidden="false" customHeight="false" outlineLevel="0" collapsed="false">
      <c r="B16" s="12" t="s">
        <v>128</v>
      </c>
      <c r="C16" s="14" t="n">
        <v>200</v>
      </c>
    </row>
    <row r="17" customFormat="false" ht="15" hidden="false" customHeight="false" outlineLevel="0" collapsed="false">
      <c r="B17" s="12" t="s">
        <v>129</v>
      </c>
      <c r="C17" s="15" t="n">
        <v>0.01</v>
      </c>
    </row>
    <row r="19" customFormat="false" ht="15" hidden="false" customHeight="false" outlineLevel="0" collapsed="false">
      <c r="B19" s="4" t="s">
        <v>130</v>
      </c>
    </row>
    <row r="20" customFormat="false" ht="15" hidden="false" customHeight="false" outlineLevel="0" collapsed="false">
      <c r="B20" s="12" t="s">
        <v>131</v>
      </c>
      <c r="C20" s="17" t="n">
        <f aca="false">C10*C11</f>
        <v>70000</v>
      </c>
    </row>
    <row r="21" customFormat="false" ht="15" hidden="false" customHeight="false" outlineLevel="0" collapsed="false">
      <c r="B21" s="12" t="s">
        <v>132</v>
      </c>
      <c r="C21" s="17" t="n">
        <f aca="false">C10-C20</f>
        <v>280000</v>
      </c>
    </row>
    <row r="22" customFormat="false" ht="15" hidden="false" customHeight="false" outlineLevel="0" collapsed="false">
      <c r="B22" s="12" t="s">
        <v>133</v>
      </c>
      <c r="C22" s="17" t="n">
        <f aca="false">IF(C12&gt;0,-PMT(C12/12,C13*12,C21),0)</f>
        <v>1769.7904657803</v>
      </c>
    </row>
    <row r="23" customFormat="false" ht="15" hidden="false" customHeight="false" outlineLevel="0" collapsed="false">
      <c r="B23" s="12" t="s">
        <v>134</v>
      </c>
      <c r="C23" s="17" t="n">
        <f aca="false">C10*C14/12</f>
        <v>350</v>
      </c>
    </row>
    <row r="24" customFormat="false" ht="15" hidden="false" customHeight="false" outlineLevel="0" collapsed="false">
      <c r="B24" s="12" t="s">
        <v>135</v>
      </c>
      <c r="C24" s="17" t="n">
        <f aca="false">C15/12</f>
        <v>150</v>
      </c>
    </row>
    <row r="25" customFormat="false" ht="15" hidden="false" customHeight="false" outlineLevel="0" collapsed="false">
      <c r="B25" s="12" t="s">
        <v>136</v>
      </c>
      <c r="C25" s="17" t="n">
        <f aca="false">C10*C17/12</f>
        <v>291.666666666667</v>
      </c>
    </row>
    <row r="26" customFormat="false" ht="15" hidden="false" customHeight="false" outlineLevel="0" collapsed="false">
      <c r="B26" s="16" t="s">
        <v>137</v>
      </c>
      <c r="C26" s="17" t="n">
        <f aca="false">C22+C23+C24+C16+C25</f>
        <v>2761.45713244697</v>
      </c>
    </row>
    <row r="28" customFormat="false" ht="15" hidden="false" customHeight="false" outlineLevel="0" collapsed="false">
      <c r="B28" s="4" t="s">
        <v>138</v>
      </c>
    </row>
    <row r="29" customFormat="false" ht="15" hidden="false" customHeight="false" outlineLevel="0" collapsed="false">
      <c r="B29" s="12" t="s">
        <v>139</v>
      </c>
      <c r="C29" s="22" t="n">
        <f aca="false">IF(SETUP!C20&gt;0,C26/SETUP!C20,0)</f>
        <v>0.589110854922019</v>
      </c>
      <c r="D29" s="6" t="s">
        <v>140</v>
      </c>
    </row>
    <row r="30" customFormat="false" ht="15" hidden="false" customHeight="false" outlineLevel="0" collapsed="false">
      <c r="B30" s="12" t="s">
        <v>141</v>
      </c>
      <c r="C30" s="17" t="n">
        <f aca="false">C5-C26</f>
        <v>-1261.45713244696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5CFC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1" t="s">
        <v>142</v>
      </c>
    </row>
    <row r="2" customFormat="false" ht="15" hidden="false" customHeight="false" outlineLevel="0" collapsed="false">
      <c r="B2" s="6" t="s">
        <v>143</v>
      </c>
    </row>
    <row r="4" customFormat="false" ht="15" hidden="false" customHeight="false" outlineLevel="0" collapsed="false">
      <c r="B4" s="4" t="s">
        <v>144</v>
      </c>
    </row>
    <row r="5" customFormat="false" ht="15" hidden="false" customHeight="false" outlineLevel="0" collapsed="false">
      <c r="B5" s="12" t="s">
        <v>145</v>
      </c>
      <c r="C5" s="20" t="n">
        <f aca="false">SETUP!C24</f>
        <v>25000</v>
      </c>
    </row>
    <row r="6" customFormat="false" ht="15" hidden="false" customHeight="false" outlineLevel="0" collapsed="false">
      <c r="B6" s="12" t="s">
        <v>146</v>
      </c>
      <c r="C6" s="14" t="n">
        <v>500</v>
      </c>
    </row>
    <row r="7" customFormat="false" ht="15" hidden="false" customHeight="false" outlineLevel="0" collapsed="false">
      <c r="B7" s="12" t="s">
        <v>147</v>
      </c>
      <c r="C7" s="15" t="n">
        <v>0.08</v>
      </c>
    </row>
    <row r="9" customFormat="false" ht="15" hidden="false" customHeight="false" outlineLevel="0" collapsed="false">
      <c r="B9" s="4" t="s">
        <v>148</v>
      </c>
    </row>
    <row r="10" customFormat="false" ht="15" hidden="false" customHeight="false" outlineLevel="0" collapsed="false">
      <c r="A10" s="18"/>
      <c r="B10" s="18" t="s">
        <v>149</v>
      </c>
      <c r="C10" s="18" t="s">
        <v>150</v>
      </c>
      <c r="D10" s="18" t="s">
        <v>151</v>
      </c>
      <c r="E10" s="18" t="s">
        <v>152</v>
      </c>
      <c r="F10" s="18" t="s">
        <v>153</v>
      </c>
    </row>
    <row r="11" customFormat="false" ht="15" hidden="false" customHeight="false" outlineLevel="0" collapsed="false">
      <c r="B11" s="27" t="n">
        <v>5</v>
      </c>
      <c r="C11" s="17" t="n">
        <f aca="false">FV(0.06/12,5*12,-C6,-C5)</f>
        <v>68606.2690686634</v>
      </c>
      <c r="D11" s="17" t="n">
        <f aca="false">FV(0.08/12,5*12,-C6,-C5)</f>
        <v>73984.5708301605</v>
      </c>
      <c r="E11" s="17" t="n">
        <f aca="false">FV(0.1/12,5*12,-C6,-C5)</f>
        <v>79851.2594561798</v>
      </c>
      <c r="F11" s="17" t="n">
        <f aca="false">FV(C7/12,5*12,-C6,-C5)</f>
        <v>73984.5708301605</v>
      </c>
    </row>
    <row r="12" customFormat="false" ht="15" hidden="false" customHeight="false" outlineLevel="0" collapsed="false">
      <c r="B12" s="27" t="n">
        <v>10</v>
      </c>
      <c r="C12" s="17" t="n">
        <f aca="false">FV(0.06/12,10*12,-C6,-C5)</f>
        <v>127424.591754036</v>
      </c>
      <c r="D12" s="17" t="n">
        <f aca="false">FV(0.08/12,10*12,-C6,-C5)</f>
        <v>146964.023454471</v>
      </c>
      <c r="E12" s="17" t="n">
        <f aca="false">FV(0.1/12,10*12,-C6,-C5)</f>
        <v>170098.526723291</v>
      </c>
      <c r="F12" s="17" t="n">
        <f aca="false">FV(C7/12,10*12,-C6,-C5)</f>
        <v>146964.023454471</v>
      </c>
    </row>
    <row r="13" customFormat="false" ht="15" hidden="false" customHeight="false" outlineLevel="0" collapsed="false">
      <c r="B13" s="27" t="n">
        <v>15</v>
      </c>
      <c r="C13" s="17" t="n">
        <f aca="false">FV(0.06/12,15*12,-C6,-C5)</f>
        <v>206761.695280896</v>
      </c>
      <c r="D13" s="17" t="n">
        <f aca="false">FV(0.08/12,15*12,-C6,-C5)</f>
        <v>255692.147741001</v>
      </c>
      <c r="E13" s="17" t="n">
        <f aca="false">FV(0.1/12,15*12,-C6,-C5)</f>
        <v>318583.161897219</v>
      </c>
      <c r="F13" s="17" t="n">
        <f aca="false">FV(C7/12,15*12,-C6,-C5)</f>
        <v>255692.147741001</v>
      </c>
    </row>
    <row r="14" customFormat="false" ht="15" hidden="false" customHeight="false" outlineLevel="0" collapsed="false">
      <c r="B14" s="27" t="n">
        <v>20</v>
      </c>
      <c r="C14" s="17" t="n">
        <f aca="false">FV(0.06/12,20*12,-C6,-C5)</f>
        <v>313775.559475921</v>
      </c>
      <c r="D14" s="17" t="n">
        <f aca="false">FV(0.08/12,20*12,-C6,-C5)</f>
        <v>417680.27708097</v>
      </c>
      <c r="E14" s="17" t="n">
        <f aca="false">FV(0.1/12,20*12,-C6,-C5)</f>
        <v>562886.258826223</v>
      </c>
      <c r="F14" s="17" t="n">
        <f aca="false">FV(C7/12,20*12,-C6,-C5)</f>
        <v>417680.27708097</v>
      </c>
    </row>
    <row r="15" customFormat="false" ht="15" hidden="false" customHeight="false" outlineLevel="0" collapsed="false">
      <c r="B15" s="27" t="n">
        <v>25</v>
      </c>
      <c r="C15" s="17" t="n">
        <f aca="false">FV(0.06/12,25*12,-C6,-C5)</f>
        <v>458121.22652027</v>
      </c>
      <c r="D15" s="17" t="n">
        <f aca="false">FV(0.08/12,25*12,-C6,-C5)</f>
        <v>659017.596373929</v>
      </c>
      <c r="E15" s="17" t="n">
        <f aca="false">FV(0.1/12,25*12,-C6,-C5)</f>
        <v>964840.326997591</v>
      </c>
      <c r="F15" s="17" t="n">
        <f aca="false">FV(C7/12,25*12,-C6,-C5)</f>
        <v>659017.596373929</v>
      </c>
    </row>
    <row r="16" customFormat="false" ht="15" hidden="false" customHeight="false" outlineLevel="0" collapsed="false">
      <c r="B16" s="27" t="n">
        <v>30</v>
      </c>
      <c r="C16" s="17" t="n">
        <f aca="false">FV(0.06/12,30*12,-C6,-C5)</f>
        <v>652821.901532873</v>
      </c>
      <c r="D16" s="17" t="n">
        <f aca="false">FV(0.08/12,30*12,-C6,-C5)</f>
        <v>1018572.96577556</v>
      </c>
      <c r="E16" s="17" t="n">
        <f aca="false">FV(0.1/12,30*12,-C6,-C5)</f>
        <v>1626178.94673054</v>
      </c>
      <c r="F16" s="17" t="n">
        <f aca="false">FV(C7/12,30*12,-C6,-C5)</f>
        <v>1018572.96577556</v>
      </c>
    </row>
    <row r="18" customFormat="false" ht="15" hidden="false" customHeight="false" outlineLevel="0" collapsed="false">
      <c r="B18" s="16" t="s">
        <v>154</v>
      </c>
      <c r="C18" s="17" t="n">
        <f aca="false">C5+C6*12*30</f>
        <v>205000</v>
      </c>
    </row>
    <row r="19" customFormat="false" ht="15" hidden="false" customHeight="false" outlineLevel="0" collapsed="false">
      <c r="B19" s="16" t="s">
        <v>155</v>
      </c>
      <c r="C19" s="17" t="n">
        <f aca="false">F16-C18</f>
        <v>813572.965775557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55A"/>
    <pageSetUpPr fitToPage="false"/>
  </sheetPr>
  <dimension ref="B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B1" s="11" t="s">
        <v>156</v>
      </c>
    </row>
    <row r="2" customFormat="false" ht="15" hidden="false" customHeight="false" outlineLevel="0" collapsed="false">
      <c r="B2" s="6" t="s">
        <v>157</v>
      </c>
    </row>
    <row r="4" customFormat="false" ht="15" hidden="false" customHeight="false" outlineLevel="0" collapsed="false">
      <c r="B4" s="4" t="s">
        <v>158</v>
      </c>
    </row>
    <row r="5" customFormat="false" ht="15" hidden="false" customHeight="false" outlineLevel="0" collapsed="false">
      <c r="B5" s="12" t="s">
        <v>159</v>
      </c>
      <c r="C5" s="23" t="n">
        <f aca="false">SETUP!C6</f>
        <v>30</v>
      </c>
    </row>
    <row r="6" customFormat="false" ht="15" hidden="false" customHeight="false" outlineLevel="0" collapsed="false">
      <c r="B6" s="12" t="s">
        <v>31</v>
      </c>
      <c r="C6" s="23" t="n">
        <f aca="false">SETUP!C7</f>
        <v>65</v>
      </c>
    </row>
    <row r="7" customFormat="false" ht="15" hidden="false" customHeight="false" outlineLevel="0" collapsed="false">
      <c r="B7" s="12" t="s">
        <v>160</v>
      </c>
      <c r="C7" s="28" t="n">
        <f aca="false">C6-C5</f>
        <v>35</v>
      </c>
    </row>
    <row r="8" customFormat="false" ht="15" hidden="false" customHeight="false" outlineLevel="0" collapsed="false">
      <c r="B8" s="12" t="s">
        <v>161</v>
      </c>
      <c r="C8" s="20" t="n">
        <f aca="false">SETUP!C25</f>
        <v>45000</v>
      </c>
    </row>
    <row r="9" customFormat="false" ht="15" hidden="false" customHeight="false" outlineLevel="0" collapsed="false">
      <c r="B9" s="12" t="s">
        <v>162</v>
      </c>
      <c r="C9" s="14" t="n">
        <v>400</v>
      </c>
    </row>
    <row r="10" customFormat="false" ht="15" hidden="false" customHeight="false" outlineLevel="0" collapsed="false">
      <c r="B10" s="12" t="s">
        <v>163</v>
      </c>
      <c r="C10" s="14" t="n">
        <v>200</v>
      </c>
    </row>
    <row r="11" customFormat="false" ht="15" hidden="false" customHeight="false" outlineLevel="0" collapsed="false">
      <c r="B11" s="12" t="s">
        <v>164</v>
      </c>
      <c r="C11" s="15" t="n">
        <v>0.07</v>
      </c>
    </row>
    <row r="13" customFormat="false" ht="15" hidden="false" customHeight="false" outlineLevel="0" collapsed="false">
      <c r="B13" s="4" t="s">
        <v>165</v>
      </c>
    </row>
    <row r="14" customFormat="false" ht="15" hidden="false" customHeight="false" outlineLevel="0" collapsed="false">
      <c r="B14" s="12" t="s">
        <v>166</v>
      </c>
      <c r="C14" s="20" t="n">
        <f aca="false">SETUP!C58*12</f>
        <v>60060</v>
      </c>
    </row>
    <row r="15" customFormat="false" ht="15" hidden="false" customHeight="false" outlineLevel="0" collapsed="false">
      <c r="B15" s="12" t="s">
        <v>167</v>
      </c>
      <c r="C15" s="17" t="n">
        <f aca="false">C14*25</f>
        <v>1501500</v>
      </c>
    </row>
    <row r="17" customFormat="false" ht="15" hidden="false" customHeight="false" outlineLevel="0" collapsed="false">
      <c r="B17" s="4" t="s">
        <v>168</v>
      </c>
    </row>
    <row r="18" customFormat="false" ht="15" hidden="false" customHeight="false" outlineLevel="0" collapsed="false">
      <c r="B18" s="12" t="s">
        <v>169</v>
      </c>
      <c r="C18" s="17" t="n">
        <f aca="false">IF(C7&gt;0,FV(C11/12,C7*12,-(C9+C10),-C8),C8)</f>
        <v>1598409.59358375</v>
      </c>
    </row>
    <row r="19" customFormat="false" ht="15" hidden="false" customHeight="false" outlineLevel="0" collapsed="false">
      <c r="B19" s="12" t="s">
        <v>170</v>
      </c>
      <c r="C19" s="17" t="n">
        <f aca="false">C18-C15</f>
        <v>96909.5935837522</v>
      </c>
    </row>
    <row r="20" customFormat="false" ht="15" hidden="false" customHeight="false" outlineLevel="0" collapsed="false">
      <c r="B20" s="12" t="s">
        <v>171</v>
      </c>
      <c r="C20" s="25" t="str">
        <f aca="false">IF(C19&gt;=0,"Yes - on track","Gap - increase savings")</f>
        <v>Yes - on track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8"/>
  </cols>
  <sheetData>
    <row r="1" customFormat="false" ht="17.35" hidden="false" customHeight="false" outlineLevel="0" collapsed="false">
      <c r="B1" s="11" t="s">
        <v>172</v>
      </c>
    </row>
    <row r="2" customFormat="false" ht="15" hidden="false" customHeight="false" outlineLevel="0" collapsed="false">
      <c r="B2" s="6" t="s">
        <v>173</v>
      </c>
    </row>
    <row r="4" customFormat="false" ht="15" hidden="false" customHeight="false" outlineLevel="0" collapsed="false">
      <c r="B4" s="4" t="s">
        <v>45</v>
      </c>
    </row>
    <row r="5" customFormat="false" ht="15" hidden="false" customHeight="false" outlineLevel="0" collapsed="false">
      <c r="A5" s="18"/>
      <c r="B5" s="18" t="s">
        <v>65</v>
      </c>
      <c r="C5" s="18" t="s">
        <v>174</v>
      </c>
      <c r="D5" s="18" t="s">
        <v>175</v>
      </c>
    </row>
    <row r="6" customFormat="false" ht="15" hidden="false" customHeight="false" outlineLevel="0" collapsed="false">
      <c r="B6" s="12" t="s">
        <v>46</v>
      </c>
      <c r="C6" s="20" t="n">
        <f aca="false">SETUP!C23</f>
        <v>15000</v>
      </c>
      <c r="D6" s="22" t="n">
        <f aca="false">IF(SETUP!C29&gt;0,C6/SETUP!C29,0)</f>
        <v>0.154639175257732</v>
      </c>
    </row>
    <row r="7" customFormat="false" ht="15" hidden="false" customHeight="false" outlineLevel="0" collapsed="false">
      <c r="B7" s="12" t="s">
        <v>47</v>
      </c>
      <c r="C7" s="20" t="n">
        <f aca="false">SETUP!C24</f>
        <v>25000</v>
      </c>
      <c r="D7" s="22" t="n">
        <f aca="false">IF(SETUP!C29&gt;0,C7/SETUP!C29,0)</f>
        <v>0.257731958762887</v>
      </c>
    </row>
    <row r="8" customFormat="false" ht="15" hidden="false" customHeight="false" outlineLevel="0" collapsed="false">
      <c r="B8" s="12" t="s">
        <v>48</v>
      </c>
      <c r="C8" s="20" t="n">
        <f aca="false">SETUP!C25</f>
        <v>45000</v>
      </c>
      <c r="D8" s="22" t="n">
        <f aca="false">IF(SETUP!C29&gt;0,C8/SETUP!C29,0)</f>
        <v>0.463917525773196</v>
      </c>
    </row>
    <row r="9" customFormat="false" ht="15" hidden="false" customHeight="false" outlineLevel="0" collapsed="false">
      <c r="B9" s="12" t="s">
        <v>176</v>
      </c>
      <c r="C9" s="20" t="n">
        <f aca="false">SETUP!C26</f>
        <v>0</v>
      </c>
      <c r="D9" s="22" t="n">
        <f aca="false">IF(SETUP!C29&gt;0,C9/SETUP!C29,0)</f>
        <v>0</v>
      </c>
    </row>
    <row r="10" customFormat="false" ht="15" hidden="false" customHeight="false" outlineLevel="0" collapsed="false">
      <c r="B10" s="12" t="s">
        <v>50</v>
      </c>
      <c r="C10" s="20" t="n">
        <f aca="false">SETUP!C27</f>
        <v>12000</v>
      </c>
      <c r="D10" s="22" t="n">
        <f aca="false">IF(SETUP!C29&gt;0,C10/SETUP!C29,0)</f>
        <v>0.123711340206186</v>
      </c>
    </row>
    <row r="11" customFormat="false" ht="15" hidden="false" customHeight="false" outlineLevel="0" collapsed="false">
      <c r="B11" s="12" t="s">
        <v>51</v>
      </c>
      <c r="C11" s="20" t="n">
        <f aca="false">SETUP!C28</f>
        <v>0</v>
      </c>
      <c r="D11" s="22" t="n">
        <f aca="false">IF(SETUP!C29&gt;0,C11/SETUP!C29,0)</f>
        <v>0</v>
      </c>
    </row>
    <row r="12" customFormat="false" ht="15" hidden="false" customHeight="false" outlineLevel="0" collapsed="false">
      <c r="B12" s="16" t="s">
        <v>52</v>
      </c>
      <c r="C12" s="17" t="n">
        <f aca="false">SUM(C6:C11)</f>
        <v>97000</v>
      </c>
    </row>
    <row r="14" customFormat="false" ht="15" hidden="false" customHeight="false" outlineLevel="0" collapsed="false">
      <c r="B14" s="4" t="s">
        <v>177</v>
      </c>
    </row>
    <row r="15" customFormat="false" ht="15" hidden="false" customHeight="false" outlineLevel="0" collapsed="false">
      <c r="B15" s="12" t="s">
        <v>63</v>
      </c>
      <c r="C15" s="20" t="n">
        <f aca="false">SETUP!C39</f>
        <v>38000</v>
      </c>
    </row>
    <row r="17" customFormat="false" ht="17.35" hidden="false" customHeight="false" outlineLevel="0" collapsed="false">
      <c r="B17" s="29" t="s">
        <v>178</v>
      </c>
    </row>
    <row r="18" customFormat="false" ht="17.35" hidden="false" customHeight="false" outlineLevel="0" collapsed="false">
      <c r="B18" s="25" t="s">
        <v>179</v>
      </c>
      <c r="C18" s="30" t="n">
        <f aca="false">C12-C15</f>
        <v>59000</v>
      </c>
    </row>
    <row r="20" customFormat="false" ht="15" hidden="false" customHeight="false" outlineLevel="0" collapsed="false">
      <c r="B20" s="12" t="s">
        <v>180</v>
      </c>
      <c r="C20" s="31" t="n">
        <f aca="false">IF(C15&gt;0,C12/C15,0)</f>
        <v>2.55263157894737</v>
      </c>
      <c r="D20" s="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B1" s="11" t="s">
        <v>182</v>
      </c>
    </row>
    <row r="2" customFormat="false" ht="15" hidden="false" customHeight="false" outlineLevel="0" collapsed="false">
      <c r="B2" s="6" t="s">
        <v>183</v>
      </c>
    </row>
    <row r="4" customFormat="false" ht="15" hidden="false" customHeight="false" outlineLevel="0" collapsed="false">
      <c r="A4" s="18"/>
      <c r="B4" s="18" t="s">
        <v>184</v>
      </c>
      <c r="C4" s="18" t="s">
        <v>174</v>
      </c>
      <c r="D4" s="18" t="s">
        <v>185</v>
      </c>
    </row>
    <row r="5" customFormat="false" ht="15" hidden="false" customHeight="false" outlineLevel="0" collapsed="false">
      <c r="B5" s="12" t="s">
        <v>44</v>
      </c>
      <c r="C5" s="20" t="n">
        <f aca="false">SETUP!C20</f>
        <v>4687.5</v>
      </c>
    </row>
    <row r="6" customFormat="false" ht="15" hidden="false" customHeight="false" outlineLevel="0" collapsed="false">
      <c r="B6" s="12" t="s">
        <v>186</v>
      </c>
      <c r="C6" s="20" t="n">
        <f aca="false">SETUP!C58</f>
        <v>5005</v>
      </c>
    </row>
    <row r="7" customFormat="false" ht="15" hidden="false" customHeight="false" outlineLevel="0" collapsed="false">
      <c r="B7" s="12" t="s">
        <v>187</v>
      </c>
      <c r="C7" s="20" t="n">
        <f aca="false">SETUP!C59</f>
        <v>-317.5</v>
      </c>
      <c r="D7" s="25" t="str">
        <f aca="false">IF(SETUP!C59&gt;=0,"Positive","Negative - overspending")</f>
        <v>Negative - overspending</v>
      </c>
    </row>
    <row r="8" customFormat="false" ht="15" hidden="false" customHeight="false" outlineLevel="0" collapsed="false">
      <c r="B8" s="12" t="s">
        <v>100</v>
      </c>
      <c r="C8" s="24" t="n">
        <f aca="false">BUDGET!C13</f>
        <v>0.234666666666667</v>
      </c>
      <c r="D8" s="25" t="str">
        <f aca="false">IF(BUDGET!C13&gt;=0.2,"20%+ target met","Below 20% target")</f>
        <v>20%+ target met</v>
      </c>
    </row>
    <row r="9" customFormat="false" ht="15" hidden="false" customHeight="false" outlineLevel="0" collapsed="false">
      <c r="B9" s="12" t="s">
        <v>52</v>
      </c>
      <c r="C9" s="20" t="n">
        <f aca="false">WEALTH!C12</f>
        <v>97000</v>
      </c>
    </row>
    <row r="10" customFormat="false" ht="15" hidden="false" customHeight="false" outlineLevel="0" collapsed="false">
      <c r="B10" s="12" t="s">
        <v>63</v>
      </c>
      <c r="C10" s="20" t="n">
        <f aca="false">SETUP!C39</f>
        <v>38000</v>
      </c>
    </row>
    <row r="11" customFormat="false" ht="15" hidden="false" customHeight="false" outlineLevel="0" collapsed="false">
      <c r="B11" s="12" t="s">
        <v>179</v>
      </c>
      <c r="C11" s="20" t="n">
        <f aca="false">WEALTH!C18</f>
        <v>59000</v>
      </c>
      <c r="D11" s="25" t="str">
        <f aca="false">IF(WEALTH!C18&gt;=0,"Positive","Negative net worth")</f>
        <v>Positive</v>
      </c>
    </row>
    <row r="12" customFormat="false" ht="15" hidden="false" customHeight="false" outlineLevel="0" collapsed="false">
      <c r="B12" s="12" t="s">
        <v>188</v>
      </c>
      <c r="C12" s="24" t="n">
        <f aca="false">'DEBT PAYOFF'!C18</f>
        <v>0.506666666666667</v>
      </c>
      <c r="D12" s="25" t="str">
        <f aca="false">IF('DEBT PAYOFF'!C18&lt;=0.36,"Healthy (&lt;36%)","High (&gt;36%)")</f>
        <v>High (&gt;36%)</v>
      </c>
    </row>
    <row r="13" customFormat="false" ht="15" hidden="false" customHeight="false" outlineLevel="0" collapsed="false">
      <c r="B13" s="12" t="s">
        <v>189</v>
      </c>
      <c r="C13" s="24" t="n">
        <f aca="false">HOUSING!C29</f>
        <v>0.589110854922019</v>
      </c>
      <c r="D13" s="25" t="str">
        <f aca="false">IF(HOUSING!C29&lt;=0.28,"Affordable (&lt;28%)","Stretched (&gt;28%)")</f>
        <v>Stretched (&gt;28%)</v>
      </c>
    </row>
    <row r="14" customFormat="false" ht="15" hidden="false" customHeight="false" outlineLevel="0" collapsed="false">
      <c r="B14" s="12" t="s">
        <v>190</v>
      </c>
      <c r="C14" s="32" t="str">
        <f aca="false">RETIRE!C20</f>
        <v>Yes - on track</v>
      </c>
      <c r="D14" s="25" t="str">
        <f aca="false">RETIRE!C20</f>
        <v>Yes - on track</v>
      </c>
    </row>
    <row r="15" customFormat="false" ht="15" hidden="false" customHeight="false" outlineLevel="0" collapsed="false">
      <c r="B15" s="12" t="s">
        <v>191</v>
      </c>
      <c r="C15" s="20" t="n">
        <f aca="false">RETIRE!C19</f>
        <v>96909.5935837522</v>
      </c>
      <c r="D15" s="25" t="str">
        <f aca="false">IF(RETIRE!C19&gt;=0,"Surplus","Shortfall")</f>
        <v>Surplus</v>
      </c>
    </row>
    <row r="16" customFormat="false" ht="15" hidden="false" customHeight="false" outlineLevel="0" collapsed="false">
      <c r="B16" s="12" t="s">
        <v>192</v>
      </c>
      <c r="C16" s="20" t="n">
        <f aca="false">INVEST!F16</f>
        <v>1018572.96577556</v>
      </c>
    </row>
    <row r="19" customFormat="false" ht="15" hidden="false" customHeight="false" outlineLevel="0" collapsed="false">
      <c r="B19" s="6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2026-03-21T22:09:34Z</dcterms:created>
  <dc:creator>openpyxl</dc:creator>
  <dc:description/>
  <dc:language>en-US</dc:language>
  <cp:lastModifiedBy/>
  <dcterms:modified xsi:type="dcterms:W3CDTF">2026-03-21T22:09:34Z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