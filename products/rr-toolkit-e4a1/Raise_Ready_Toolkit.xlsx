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1. Readiness Score" sheetId="2" state="visible" r:id="rId4"/>
    <sheet name="2. Runway &amp; Burn" sheetId="3" state="visible" r:id="rId5"/>
    <sheet name="3. Unit Economics" sheetId="4" state="visible" r:id="rId6"/>
    <sheet name="4. Revenue Model" sheetId="5" state="visible" r:id="rId7"/>
    <sheet name="5. Headcount" sheetId="6" state="visible" r:id="rId8"/>
    <sheet name="6. P&amp;L Snapshot" sheetId="7" state="visible" r:id="rId9"/>
    <sheet name="7. Scenario Planner" sheetId="8" state="visible" r:id="rId10"/>
    <sheet name="8. Sensitivity" sheetId="9" state="visible" r:id="rId11"/>
    <sheet name="9. Valuation" sheetId="10" state="visible" r:id="rId12"/>
    <sheet name="10. Dilution" sheetId="11" state="visible" r:id="rId13"/>
    <sheet name="11. SAFE vs Note" sheetId="12" state="visible" r:id="rId14"/>
    <sheet name="12. Multi-Round" sheetId="13" state="visible" r:id="rId15"/>
    <sheet name="13. Deck Score" sheetId="14" state="visible" r:id="rId16"/>
    <sheet name="14. Exit Proceed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<sst xmlns="http://schemas.openxmlformats.org/spreadsheetml/2006/main" count="378" uniqueCount="306">
  <si>
    <t xml:space="preserve">Raise Ready Toolkit</t>
  </si>
  <si>
    <t xml:space="preserve">14 Interactive Startup Calculators - raisereadybook.com</t>
  </si>
  <si>
    <t xml:space="preserve">How to Use This Workbook</t>
  </si>
  <si>
    <t xml:space="preserve">1. Each tab is an independent calculator. Navigate using the tabs at the bottom.</t>
  </si>
  <si>
    <t xml:space="preserve">2. Blue cells are inputs - change these to model your scenario.</t>
  </si>
  <si>
    <t xml:space="preserve">3. Yellow background = assumption cells you should customize.</t>
  </si>
  <si>
    <t xml:space="preserve">4. Black text = formulas (do not overwrite).</t>
  </si>
  <si>
    <t xml:space="preserve">5. All calculations update automatically when you change inputs.</t>
  </si>
  <si>
    <t xml:space="preserve">6. Start with the Funding Readiness Score to assess your position.</t>
  </si>
  <si>
    <t xml:space="preserve">7. Use Runway, Unit Economics, and P&amp;L to build your financial picture.</t>
  </si>
  <si>
    <t xml:space="preserve">8. Model fundraising with Valuation, Dilution, and SAFE calculators.</t>
  </si>
  <si>
    <t xml:space="preserve">9. Stress-test with Scenario Planner and Sensitivity Analysis.</t>
  </si>
  <si>
    <t xml:space="preserve">10. Score your pitch deck and estimate exit proceeds.</t>
  </si>
  <si>
    <t xml:space="preserve">Calculator Index</t>
  </si>
  <si>
    <t xml:space="preserve">#</t>
  </si>
  <si>
    <t xml:space="preserve">Calculator</t>
  </si>
  <si>
    <t xml:space="preserve">Category</t>
  </si>
  <si>
    <t xml:space="preserve">Key Outputs</t>
  </si>
  <si>
    <t xml:space="preserve">1</t>
  </si>
  <si>
    <t xml:space="preserve">Funding Readiness Score</t>
  </si>
  <si>
    <t xml:space="preserve">Readiness</t>
  </si>
  <si>
    <t xml:space="preserve">Score /100, Verdict, Gap Analysis</t>
  </si>
  <si>
    <t xml:space="preserve">2</t>
  </si>
  <si>
    <t xml:space="preserve">Runway &amp; Burn Calculator</t>
  </si>
  <si>
    <t xml:space="preserve">Metrics</t>
  </si>
  <si>
    <t xml:space="preserve">Months of Runway, Net Burn, Zero-Cash Date</t>
  </si>
  <si>
    <t xml:space="preserve">3</t>
  </si>
  <si>
    <t xml:space="preserve">Unit Economics</t>
  </si>
  <si>
    <t xml:space="preserve">CAC, LTV, LTV:CAC Ratio, Payback Period</t>
  </si>
  <si>
    <t xml:space="preserve">4</t>
  </si>
  <si>
    <t xml:space="preserve">Revenue Model Builder</t>
  </si>
  <si>
    <t xml:space="preserve">Financial Model</t>
  </si>
  <si>
    <t xml:space="preserve">MRR at M6/M12/M18, ARR Projection</t>
  </si>
  <si>
    <t xml:space="preserve">5</t>
  </si>
  <si>
    <t xml:space="preserve">Headcount &amp; Salary Planner</t>
  </si>
  <si>
    <t xml:space="preserve">Total Headcount, Monthly/Annual Payroll</t>
  </si>
  <si>
    <t xml:space="preserve">6</t>
  </si>
  <si>
    <t xml:space="preserve">P&amp;L Snapshot</t>
  </si>
  <si>
    <t xml:space="preserve">Gross Margin, Net Income, Net Margin</t>
  </si>
  <si>
    <t xml:space="preserve">7</t>
  </si>
  <si>
    <t xml:space="preserve">Three-Scenario Planner</t>
  </si>
  <si>
    <t xml:space="preserve">Bear/Base/Bull MRR, ARR, Cash, Runway</t>
  </si>
  <si>
    <t xml:space="preserve">8</t>
  </si>
  <si>
    <t xml:space="preserve">Sensitivity Analysis</t>
  </si>
  <si>
    <t xml:space="preserve">7x7 Revenue vs Burn Matrix</t>
  </si>
  <si>
    <t xml:space="preserve">9</t>
  </si>
  <si>
    <t xml:space="preserve">Valuation Estimator</t>
  </si>
  <si>
    <t xml:space="preserve">Fundraising</t>
  </si>
  <si>
    <t xml:space="preserve">Low/Mid/High Valuation Range</t>
  </si>
  <si>
    <t xml:space="preserve">10</t>
  </si>
  <si>
    <t xml:space="preserve">Dilution Simulator</t>
  </si>
  <si>
    <t xml:space="preserve">Cap Table</t>
  </si>
  <si>
    <t xml:space="preserve">Founder %, Investor %, Post-Money</t>
  </si>
  <si>
    <t xml:space="preserve">11</t>
  </si>
  <si>
    <t xml:space="preserve">SAFE vs Convertible Note</t>
  </si>
  <si>
    <t xml:space="preserve">Investor %, Founder %, Price/Share</t>
  </si>
  <si>
    <t xml:space="preserve">12</t>
  </si>
  <si>
    <t xml:space="preserve">Multi-Round Dilution</t>
  </si>
  <si>
    <t xml:space="preserve">Cumulative Founder % Through Series B</t>
  </si>
  <si>
    <t xml:space="preserve">13</t>
  </si>
  <si>
    <t xml:space="preserve">Pitch Deck Scorecard</t>
  </si>
  <si>
    <t xml:space="preserve">Score /50, Verdict, Weak Signals</t>
  </si>
  <si>
    <t xml:space="preserve">14</t>
  </si>
  <si>
    <t xml:space="preserve">Exit Proceeds Estimator</t>
  </si>
  <si>
    <t xml:space="preserve">Exit</t>
  </si>
  <si>
    <t xml:space="preserve">Founder Take-Home, Investor Multiple</t>
  </si>
  <si>
    <t xml:space="preserve">From Raise Ready by Yanni Papoutsi | raisereadybook.com | $9.99</t>
  </si>
  <si>
    <t xml:space="preserve">Score your startup across 10 investor metrics. Blue cells = your inputs.</t>
  </si>
  <si>
    <t xml:space="preserve">Your Inputs</t>
  </si>
  <si>
    <t xml:space="preserve">Target Round</t>
  </si>
  <si>
    <t xml:space="preserve">Series A</t>
  </si>
  <si>
    <t xml:space="preserve">Annual Recurring Revenue ($)</t>
  </si>
  <si>
    <t xml:space="preserve">MoM Growth Rate (%)</t>
  </si>
  <si>
    <t xml:space="preserve">Gross Margin (%)</t>
  </si>
  <si>
    <t xml:space="preserve">Net Revenue Retention (%)</t>
  </si>
  <si>
    <t xml:space="preserve">Burn Multiple (Net Burn / Net New ARR)</t>
  </si>
  <si>
    <t xml:space="preserve">CAC Payback (months)</t>
  </si>
  <si>
    <t xml:space="preserve">Team Strength (1-5)</t>
  </si>
  <si>
    <t xml:space="preserve">Product-Market Fit (1-5)</t>
  </si>
  <si>
    <t xml:space="preserve">Series A Benchmarks (Reference)</t>
  </si>
  <si>
    <t xml:space="preserve">Metric</t>
  </si>
  <si>
    <t xml:space="preserve">Benchmark</t>
  </si>
  <si>
    <t xml:space="preserve">Your Value</t>
  </si>
  <si>
    <t xml:space="preserve">Status</t>
  </si>
  <si>
    <t xml:space="preserve">ARR</t>
  </si>
  <si>
    <t xml:space="preserve">$500K-$2M</t>
  </si>
  <si>
    <t xml:space="preserve">MoM Growth</t>
  </si>
  <si>
    <t xml:space="preserve">12%+</t>
  </si>
  <si>
    <t xml:space="preserve">Gross Margin</t>
  </si>
  <si>
    <t xml:space="preserve">60%+</t>
  </si>
  <si>
    <t xml:space="preserve">NRR</t>
  </si>
  <si>
    <t xml:space="preserve">100%+</t>
  </si>
  <si>
    <t xml:space="preserve">Burn Multiple</t>
  </si>
  <si>
    <t xml:space="preserve">&lt;3x</t>
  </si>
  <si>
    <t xml:space="preserve">CAC Payback</t>
  </si>
  <si>
    <t xml:space="preserve">&lt;18 mo</t>
  </si>
  <si>
    <t xml:space="preserve">Team</t>
  </si>
  <si>
    <t xml:space="preserve">3+/5</t>
  </si>
  <si>
    <t xml:space="preserve">PMF</t>
  </si>
  <si>
    <t xml:space="preserve">Overall Score</t>
  </si>
  <si>
    <t xml:space="preserve">Metrics Passing</t>
  </si>
  <si>
    <t xml:space="preserve">Metrics Close</t>
  </si>
  <si>
    <t xml:space="preserve">Metrics with Gaps</t>
  </si>
  <si>
    <t xml:space="preserve">Readiness Score (approximate)</t>
  </si>
  <si>
    <t xml:space="preserve">Verdict</t>
  </si>
  <si>
    <t xml:space="preserve">Calculate months of runway with scenario toggles. Blue cells = your inputs.</t>
  </si>
  <si>
    <t xml:space="preserve">Cash on Hand ($)</t>
  </si>
  <si>
    <t xml:space="preserve">Monthly Burn ($)</t>
  </si>
  <si>
    <t xml:space="preserve">Monthly Revenue ($)</t>
  </si>
  <si>
    <t xml:space="preserve">Revenue Growth Rate (% MoM)</t>
  </si>
  <si>
    <t xml:space="preserve">Results</t>
  </si>
  <si>
    <t xml:space="preserve">Net Monthly Burn</t>
  </si>
  <si>
    <t xml:space="preserve">Months of Runway (static)</t>
  </si>
  <si>
    <t xml:space="preserve">Zero-Cash Date</t>
  </si>
  <si>
    <t xml:space="preserve">Runway Status</t>
  </si>
  <si>
    <t xml:space="preserve">12-Month Projection (with Growth)</t>
  </si>
  <si>
    <t xml:space="preserve">Month</t>
  </si>
  <si>
    <t xml:space="preserve">Revenue</t>
  </si>
  <si>
    <t xml:space="preserve">Burn</t>
  </si>
  <si>
    <t xml:space="preserve">Net</t>
  </si>
  <si>
    <t xml:space="preserve">Cash Remaining</t>
  </si>
  <si>
    <t xml:space="preserve">Unit Economics Calculator</t>
  </si>
  <si>
    <t xml:space="preserve">CAC, LTV, LTV:CAC ratio, and payback period. Blue cells = your inputs.</t>
  </si>
  <si>
    <t xml:space="preserve">Monthly S&amp;M Spend ($)</t>
  </si>
  <si>
    <t xml:space="preserve">New Customers Acquired</t>
  </si>
  <si>
    <t xml:space="preserve">Avg Revenue Per Customer ($/mo)</t>
  </si>
  <si>
    <t xml:space="preserve">Monthly Churn Rate (%)</t>
  </si>
  <si>
    <t xml:space="preserve">Customer Acquisition Cost (CAC)</t>
  </si>
  <si>
    <t xml:space="preserve">Average Customer Lifetime (months)</t>
  </si>
  <si>
    <t xml:space="preserve">Lifetime Value (LTV)</t>
  </si>
  <si>
    <t xml:space="preserve">LTV:CAC Ratio</t>
  </si>
  <si>
    <t xml:space="preserve">CAC Payback Period (months)</t>
  </si>
  <si>
    <t xml:space="preserve">Assessment</t>
  </si>
  <si>
    <t xml:space="preserve">Project MRR and ARR over 18 months. Blue cells = your inputs.</t>
  </si>
  <si>
    <t xml:space="preserve">Starting MRR ($)</t>
  </si>
  <si>
    <t xml:space="preserve">Monthly Growth Rate (%)</t>
  </si>
  <si>
    <t xml:space="preserve">Expansion Revenue Rate (%)</t>
  </si>
  <si>
    <t xml:space="preserve">Key Milestones</t>
  </si>
  <si>
    <t xml:space="preserve">MRR at Month 6</t>
  </si>
  <si>
    <t xml:space="preserve">MRR at Month 12</t>
  </si>
  <si>
    <t xml:space="preserve">MRR at Month 18</t>
  </si>
  <si>
    <t xml:space="preserve">ARR at Month 18</t>
  </si>
  <si>
    <t xml:space="preserve">18-Month Projection</t>
  </si>
  <si>
    <t xml:space="preserve">MRR</t>
  </si>
  <si>
    <t xml:space="preserve">New Revenue</t>
  </si>
  <si>
    <t xml:space="preserve">Churn</t>
  </si>
  <si>
    <t xml:space="preserve">Expansion</t>
  </si>
  <si>
    <t xml:space="preserve">Plan team costs by department. Blue cells = your inputs.</t>
  </si>
  <si>
    <t xml:space="preserve">Department</t>
  </si>
  <si>
    <t xml:space="preserve">Headcount</t>
  </si>
  <si>
    <t xml:space="preserve">Avg Salary ($)</t>
  </si>
  <si>
    <t xml:space="preserve">Burden %</t>
  </si>
  <si>
    <t xml:space="preserve">Engineering</t>
  </si>
  <si>
    <t xml:space="preserve">Sales &amp; Marketing</t>
  </si>
  <si>
    <t xml:space="preserve">Operations &amp; Support</t>
  </si>
  <si>
    <t xml:space="preserve">Leadership / G&amp;A</t>
  </si>
  <si>
    <t xml:space="preserve">Benefits Burden Rate (%)</t>
  </si>
  <si>
    <t xml:space="preserve">People</t>
  </si>
  <si>
    <t xml:space="preserve">Avg Salary</t>
  </si>
  <si>
    <t xml:space="preserve">Loaded Annual</t>
  </si>
  <si>
    <t xml:space="preserve">Loaded Monthly</t>
  </si>
  <si>
    <t xml:space="preserve">TOTAL</t>
  </si>
  <si>
    <t xml:space="preserve">Avg Fully-Loaded Cost Per Employee</t>
  </si>
  <si>
    <t xml:space="preserve">P&amp;L Snapshot Calculator</t>
  </si>
  <si>
    <t xml:space="preserve">Monthly P&amp;L with gross and net margins. Blue cells = your inputs.</t>
  </si>
  <si>
    <t xml:space="preserve">Monthly Inputs</t>
  </si>
  <si>
    <t xml:space="preserve">Cost of Goods Sold ($)</t>
  </si>
  <si>
    <t xml:space="preserve">Salaries &amp; Wages ($)</t>
  </si>
  <si>
    <t xml:space="preserve">Marketing &amp; Sales ($)</t>
  </si>
  <si>
    <t xml:space="preserve">Tools &amp; Infrastructure ($)</t>
  </si>
  <si>
    <t xml:space="preserve">Rent &amp; Office ($)</t>
  </si>
  <si>
    <t xml:space="preserve">Other Expenses ($)</t>
  </si>
  <si>
    <t xml:space="preserve">P&amp;L Statement</t>
  </si>
  <si>
    <t xml:space="preserve">  COGS</t>
  </si>
  <si>
    <t xml:space="preserve">Gross Profit</t>
  </si>
  <si>
    <t xml:space="preserve">  Salaries &amp; Wages</t>
  </si>
  <si>
    <t xml:space="preserve">  Marketing &amp; Sales</t>
  </si>
  <si>
    <t xml:space="preserve">  Tools &amp; Infrastructure</t>
  </si>
  <si>
    <t xml:space="preserve">  Rent &amp; Office</t>
  </si>
  <si>
    <t xml:space="preserve">  Other</t>
  </si>
  <si>
    <t xml:space="preserve">Total OpEx</t>
  </si>
  <si>
    <t xml:space="preserve">Net Income</t>
  </si>
  <si>
    <t xml:space="preserve">Key Margins</t>
  </si>
  <si>
    <t xml:space="preserve">Net Margin</t>
  </si>
  <si>
    <t xml:space="preserve">Annual Net Income</t>
  </si>
  <si>
    <t xml:space="preserve">Base, bull, and bear case projections. Blue cells = your inputs.</t>
  </si>
  <si>
    <t xml:space="preserve">Base MoM Growth Rate (%)</t>
  </si>
  <si>
    <t xml:space="preserve">Bull Multiplier</t>
  </si>
  <si>
    <t xml:space="preserve">Bear Multiplier</t>
  </si>
  <si>
    <t xml:space="preserve">12-Month Comparison</t>
  </si>
  <si>
    <t xml:space="preserve">Bear</t>
  </si>
  <si>
    <t xml:space="preserve">Base</t>
  </si>
  <si>
    <t xml:space="preserve">Bull</t>
  </si>
  <si>
    <t xml:space="preserve">Growth Rate</t>
  </si>
  <si>
    <t xml:space="preserve">ARR at Month 12</t>
  </si>
  <si>
    <t xml:space="preserve">Cash Remaining (approx)</t>
  </si>
  <si>
    <t xml:space="preserve">Revenue vs burn stress-test matrix. Blue cells = your inputs.</t>
  </si>
  <si>
    <t xml:space="preserve">Base Monthly Revenue ($)</t>
  </si>
  <si>
    <t xml:space="preserve">Base Monthly Burn ($)</t>
  </si>
  <si>
    <t xml:space="preserve">Runway (Months) - Revenue Change vs Burn Change</t>
  </si>
  <si>
    <t xml:space="preserve">Rev \ Burn</t>
  </si>
  <si>
    <t xml:space="preserve">-30%</t>
  </si>
  <si>
    <t xml:space="preserve">-20%</t>
  </si>
  <si>
    <t xml:space="preserve">-10%</t>
  </si>
  <si>
    <t xml:space="preserve">+0%</t>
  </si>
  <si>
    <t xml:space="preserve">+10%</t>
  </si>
  <si>
    <t xml:space="preserve">+20%</t>
  </si>
  <si>
    <t xml:space="preserve">+30%</t>
  </si>
  <si>
    <t xml:space="preserve">Startup Valuation Estimator</t>
  </si>
  <si>
    <t xml:space="preserve">Stage-based valuation range. Blue cells = your inputs.</t>
  </si>
  <si>
    <t xml:space="preserve">Stage</t>
  </si>
  <si>
    <t xml:space="preserve">Seed</t>
  </si>
  <si>
    <t xml:space="preserve">Options: Pre-Seed, Seed, Series A, Series B</t>
  </si>
  <si>
    <t xml:space="preserve">YoY Growth Rate (%)</t>
  </si>
  <si>
    <t xml:space="preserve">Multiplier Lookup</t>
  </si>
  <si>
    <t xml:space="preserve">Low Multiple</t>
  </si>
  <si>
    <t xml:space="preserve">Mid Multiple</t>
  </si>
  <si>
    <t xml:space="preserve">High Multiple</t>
  </si>
  <si>
    <t xml:space="preserve">Pre-Seed</t>
  </si>
  <si>
    <t xml:space="preserve">Series B</t>
  </si>
  <si>
    <t xml:space="preserve">Growth &amp; Margin Adjustments</t>
  </si>
  <si>
    <t xml:space="preserve">Growth Adjustment</t>
  </si>
  <si>
    <t xml:space="preserve">Margin Adjustment</t>
  </si>
  <si>
    <t xml:space="preserve">Valuation Range</t>
  </si>
  <si>
    <t xml:space="preserve">Low Valuation</t>
  </si>
  <si>
    <t xml:space="preserve">Midpoint Valuation</t>
  </si>
  <si>
    <t xml:space="preserve">High Valuation</t>
  </si>
  <si>
    <t xml:space="preserve">Single-round dilution model. Blue cells = your inputs.</t>
  </si>
  <si>
    <t xml:space="preserve">Founder Ownership Before Round (%)</t>
  </si>
  <si>
    <t xml:space="preserve">Pre-Money Valuation ($)</t>
  </si>
  <si>
    <t xml:space="preserve">Investment Amount ($)</t>
  </si>
  <si>
    <t xml:space="preserve">Option Pool Increase (%)</t>
  </si>
  <si>
    <t xml:space="preserve">Post-Money Valuation</t>
  </si>
  <si>
    <t xml:space="preserve">Investor Ownership (%)</t>
  </si>
  <si>
    <t xml:space="preserve">Founder Ownership After (%)</t>
  </si>
  <si>
    <t xml:space="preserve">Dilution (percentage points lost)</t>
  </si>
  <si>
    <t xml:space="preserve">Cap Table After Round</t>
  </si>
  <si>
    <t xml:space="preserve">Stakeholder</t>
  </si>
  <si>
    <t xml:space="preserve">Ownership %</t>
  </si>
  <si>
    <t xml:space="preserve">Founders</t>
  </si>
  <si>
    <t xml:space="preserve">Investors</t>
  </si>
  <si>
    <t xml:space="preserve">Option Pool</t>
  </si>
  <si>
    <t xml:space="preserve">Other (existing shareholders)</t>
  </si>
  <si>
    <t xml:space="preserve">Compare dilution across instrument types. Blue cells = your inputs.</t>
  </si>
  <si>
    <t xml:space="preserve">SAFE/Note Investment ($)</t>
  </si>
  <si>
    <t xml:space="preserve">Valuation Cap ($)</t>
  </si>
  <si>
    <t xml:space="preserve">Discount Rate (%)</t>
  </si>
  <si>
    <t xml:space="preserve">Next Round Pre-Money ($)</t>
  </si>
  <si>
    <t xml:space="preserve">Next Round Investment ($)</t>
  </si>
  <si>
    <t xml:space="preserve">Post-Money SAFE (YC Standard)</t>
  </si>
  <si>
    <t xml:space="preserve">SAFE Investor %</t>
  </si>
  <si>
    <t xml:space="preserve">Next Round Investor %</t>
  </si>
  <si>
    <t xml:space="preserve">Founder % After Both</t>
  </si>
  <si>
    <t xml:space="preserve">Pre-Money SAFE</t>
  </si>
  <si>
    <t xml:space="preserve">Effective Pre-Money</t>
  </si>
  <si>
    <t xml:space="preserve">Convertible Note</t>
  </si>
  <si>
    <t xml:space="preserve">Effective Valuation</t>
  </si>
  <si>
    <t xml:space="preserve">Note Investor %</t>
  </si>
  <si>
    <t xml:space="preserve">Founder % After</t>
  </si>
  <si>
    <t xml:space="preserve">Multi-Round Dilution Tracker</t>
  </si>
  <si>
    <t xml:space="preserve">Cumulative dilution from Seed to Series B. Blue cells = your inputs.</t>
  </si>
  <si>
    <t xml:space="preserve">Round Inputs</t>
  </si>
  <si>
    <t xml:space="preserve">Round</t>
  </si>
  <si>
    <t xml:space="preserve">Pre-Money ($)</t>
  </si>
  <si>
    <t xml:space="preserve">Investment ($)</t>
  </si>
  <si>
    <t xml:space="preserve">Option Pool (% each round)</t>
  </si>
  <si>
    <t xml:space="preserve">Dilution Waterfall</t>
  </si>
  <si>
    <t xml:space="preserve">Post-Money ($)</t>
  </si>
  <si>
    <t xml:space="preserve">Round Dilution</t>
  </si>
  <si>
    <t xml:space="preserve">Keep Ratio</t>
  </si>
  <si>
    <t xml:space="preserve">Founder %</t>
  </si>
  <si>
    <t xml:space="preserve">Start</t>
  </si>
  <si>
    <t xml:space="preserve">After Seed</t>
  </si>
  <si>
    <t xml:space="preserve">After Series A</t>
  </si>
  <si>
    <t xml:space="preserve">After Series B</t>
  </si>
  <si>
    <t xml:space="preserve">Score 10 elements investors evaluate. Rate each 1-5. Blue cells = your inputs.</t>
  </si>
  <si>
    <t xml:space="preserve">Rate Each Element (1 = Weak, 5 = Strong)</t>
  </si>
  <si>
    <t xml:space="preserve">Problem Clarity</t>
  </si>
  <si>
    <t xml:space="preserve">Solution Uniqueness</t>
  </si>
  <si>
    <t xml:space="preserve">Market Size Credibility</t>
  </si>
  <si>
    <t xml:space="preserve">Traction Evidence</t>
  </si>
  <si>
    <t xml:space="preserve">Business Model Clarity</t>
  </si>
  <si>
    <t xml:space="preserve">Team Credibility</t>
  </si>
  <si>
    <t xml:space="preserve">Competitive Moat</t>
  </si>
  <si>
    <t xml:space="preserve">Financial Model Quality</t>
  </si>
  <si>
    <t xml:space="preserve">Ask Clarity (amount, use, timeline)</t>
  </si>
  <si>
    <t xml:space="preserve">Design &amp; Narrative Flow</t>
  </si>
  <si>
    <t xml:space="preserve">Total Score</t>
  </si>
  <si>
    <t xml:space="preserve">/ 50</t>
  </si>
  <si>
    <t xml:space="preserve">Percentage</t>
  </si>
  <si>
    <t xml:space="preserve">Weak Signals (Score &lt;= 2)</t>
  </si>
  <si>
    <t xml:space="preserve">Model founder and investor payouts at exit. Blue cells = your inputs.</t>
  </si>
  <si>
    <t xml:space="preserve">Exit Valuation ($)</t>
  </si>
  <si>
    <t xml:space="preserve">Total Raised ($)</t>
  </si>
  <si>
    <t xml:space="preserve">Founder Ownership (%)</t>
  </si>
  <si>
    <t xml:space="preserve">Option Pool (%)</t>
  </si>
  <si>
    <t xml:space="preserve">Liquidation Preference (1x, 1.5x, 2x)</t>
  </si>
  <si>
    <t xml:space="preserve">Participation (0=None, 1=Capped 3x, 2=Full)</t>
  </si>
  <si>
    <t xml:space="preserve">Calculations</t>
  </si>
  <si>
    <t xml:space="preserve">Liquidation Preference Amount</t>
  </si>
  <si>
    <t xml:space="preserve">Investor as Common (pro-rata)</t>
  </si>
  <si>
    <t xml:space="preserve">Investor Take-Home</t>
  </si>
  <si>
    <t xml:space="preserve">Founder Take-Home</t>
  </si>
  <si>
    <t xml:space="preserve">Option Pool Payout</t>
  </si>
  <si>
    <t xml:space="preserve">Investor Multiple</t>
  </si>
  <si>
    <t xml:space="preserve">Founder % of Exit Proceeds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</si>
</sst>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"/>
    <numFmt numFmtId="167" formatCode="0"/>
    <numFmt numFmtId="168" formatCode="\$#,##0;&quot;($&quot;#,##0\);\-"/>
    <numFmt numFmtId="169" formatCode="0.0\x"/>
    <numFmt numFmtId="170" formatCode="0.0%"/>
    <numFmt numFmtId="171" formatCode="0.00"/>
    <numFmt numFmtId="172" formatCode="0.0\%"/>
    <numFmt numFmtId="173" formatCode="0.000"/>
    <numFmt numFmtId="174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8080D"/>
      <name val="Arial"/>
      <family val="0"/>
      <charset val="1"/>
    </font>
    <font>
      <i val="true"/>
      <sz val="9"/>
      <color rgb="FF6E6A61"/>
      <name val="Arial"/>
      <family val="0"/>
      <charset val="1"/>
    </font>
    <font>
      <b val="true"/>
      <sz val="12"/>
      <color rgb="FFC8A45A"/>
      <name val="Arial"/>
      <family val="0"/>
      <charset val="1"/>
    </font>
    <font>
      <sz val="10"/>
      <color rgb="FF3A38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8A45A"/>
      <name val="Arial"/>
      <family val="0"/>
      <charset val="1"/>
    </font>
    <font>
      <sz val="10"/>
      <color rgb="FF6E6A6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8080D"/>
      <name val="Arial"/>
      <family val="0"/>
      <charset val="1"/>
    </font>
    <font>
      <b val="true"/>
      <sz val="14"/>
      <color rgb="FF08080D"/>
      <name val="Arial"/>
      <family val="0"/>
      <charset val="1"/>
    </font>
    <font>
      <b val="true"/>
      <sz val="10"/>
      <color rgb="FF08080D"/>
      <name val="Arial"/>
      <family val="0"/>
      <charset val="1"/>
    </font>
    <font>
      <b val="true"/>
      <sz val="10"/>
      <color rgb="FF3A3830"/>
      <name val="Arial"/>
      <family val="0"/>
      <charset val="1"/>
    </font>
    <font>
      <sz val="14"/>
      <color rgb="FF6E6A6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EDE4"/>
        <bgColor rgb="FFF5EDDA"/>
      </patternFill>
    </fill>
    <fill>
      <patternFill patternType="solid">
        <fgColor rgb="FFF5EDDA"/>
        <bgColor rgb="FFF2EDE4"/>
      </patternFill>
    </fill>
    <fill>
      <patternFill patternType="solid">
        <fgColor rgb="FF08080D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BF5E8"/>
        <bgColor rgb="FFF2EDE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8A45A"/>
      </bottom>
      <diagonal/>
    </border>
    <border diagonalUp="false" diagonalDown="false">
      <left style="thin">
        <color rgb="FFC8A45A"/>
      </left>
      <right style="thin">
        <color rgb="FFC8A45A"/>
      </right>
      <top style="thin">
        <color rgb="FFC8A45A"/>
      </top>
      <bottom style="thin">
        <color rgb="FFC8A45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5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2EDE4"/>
      <rgbColor rgb="FFF5ED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A61"/>
      <rgbColor rgb="FFC8A45A"/>
      <rgbColor rgb="FF003366"/>
      <rgbColor rgb="FF339966"/>
      <rgbColor rgb="FF08080D"/>
      <rgbColor rgb="FF333300"/>
      <rgbColor rgb="FF993300"/>
      <rgbColor rgb="FF993366"/>
      <rgbColor rgb="FF333399"/>
      <rgbColor rgb="FF3A38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false"/>
  </sheetPr>
  <dimension ref="A1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50"/>
    <col collapsed="false" customWidth="true" hidden="false" outlineLevel="0" max="5" min="3" style="1" width="22"/>
    <col collapsed="false" customWidth="true" hidden="false" outlineLevel="0" max="9" min="6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</row>
    <row r="4" customFormat="false" ht="24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5"/>
      <c r="C5" s="5"/>
      <c r="D5" s="5"/>
      <c r="E5" s="5"/>
    </row>
    <row r="6" customFormat="false" ht="15" hidden="false" customHeight="true" outlineLevel="0" collapsed="false">
      <c r="A6" s="5" t="s">
        <v>4</v>
      </c>
      <c r="B6" s="5"/>
      <c r="C6" s="5"/>
      <c r="D6" s="5"/>
      <c r="E6" s="5"/>
    </row>
    <row r="7" customFormat="false" ht="15" hidden="false" customHeight="true" outlineLevel="0" collapsed="false">
      <c r="A7" s="5" t="s">
        <v>5</v>
      </c>
      <c r="B7" s="5"/>
      <c r="C7" s="5"/>
      <c r="D7" s="5"/>
      <c r="E7" s="5"/>
    </row>
    <row r="8" customFormat="false" ht="15" hidden="false" customHeight="true" outlineLevel="0" collapsed="false">
      <c r="A8" s="5" t="s">
        <v>6</v>
      </c>
      <c r="B8" s="5"/>
      <c r="C8" s="5"/>
      <c r="D8" s="5"/>
      <c r="E8" s="5"/>
    </row>
    <row r="9" customFormat="false" ht="15" hidden="false" customHeight="true" outlineLevel="0" collapsed="false">
      <c r="A9" s="5" t="s">
        <v>7</v>
      </c>
      <c r="B9" s="5"/>
      <c r="C9" s="5"/>
      <c r="D9" s="5"/>
      <c r="E9" s="5"/>
    </row>
    <row r="10" customFormat="false" ht="15" hidden="false" customHeight="true" outlineLevel="0" collapsed="false">
      <c r="A10" s="5" t="s">
        <v>8</v>
      </c>
      <c r="B10" s="5"/>
      <c r="C10" s="5"/>
      <c r="D10" s="5"/>
      <c r="E10" s="5"/>
    </row>
    <row r="11" customFormat="false" ht="15" hidden="false" customHeight="true" outlineLevel="0" collapsed="false">
      <c r="A11" s="5" t="s">
        <v>9</v>
      </c>
      <c r="B11" s="5"/>
      <c r="C11" s="5"/>
      <c r="D11" s="5"/>
      <c r="E11" s="5"/>
    </row>
    <row r="12" customFormat="false" ht="15" hidden="false" customHeight="true" outlineLevel="0" collapsed="false">
      <c r="A12" s="5" t="s">
        <v>10</v>
      </c>
      <c r="B12" s="5"/>
      <c r="C12" s="5"/>
      <c r="D12" s="5"/>
      <c r="E12" s="5"/>
    </row>
    <row r="13" customFormat="false" ht="15" hidden="false" customHeight="true" outlineLevel="0" collapsed="false">
      <c r="A13" s="5" t="s">
        <v>11</v>
      </c>
      <c r="B13" s="5"/>
      <c r="C13" s="5"/>
      <c r="D13" s="5"/>
      <c r="E13" s="5"/>
    </row>
    <row r="14" customFormat="false" ht="15" hidden="false" customHeight="true" outlineLevel="0" collapsed="false">
      <c r="A14" s="5" t="s">
        <v>12</v>
      </c>
      <c r="B14" s="5"/>
      <c r="C14" s="5"/>
      <c r="D14" s="5"/>
      <c r="E14" s="5"/>
    </row>
    <row r="16" customFormat="false" ht="24" hidden="false" customHeight="true" outlineLevel="0" collapsed="false">
      <c r="A16" s="4" t="s">
        <v>13</v>
      </c>
      <c r="B16" s="4"/>
      <c r="C16" s="4"/>
      <c r="D16" s="4"/>
      <c r="E16" s="4"/>
    </row>
    <row r="17" customFormat="false" ht="15" hidden="false" customHeight="true" outlineLevel="0" collapsed="false">
      <c r="A17" s="6" t="s">
        <v>14</v>
      </c>
      <c r="B17" s="6" t="s">
        <v>15</v>
      </c>
      <c r="C17" s="6" t="s">
        <v>16</v>
      </c>
      <c r="D17" s="6" t="s">
        <v>17</v>
      </c>
      <c r="E17" s="6"/>
    </row>
    <row r="18" customFormat="false" ht="15" hidden="false" customHeight="true" outlineLevel="0" collapsed="false">
      <c r="A18" s="7" t="s">
        <v>18</v>
      </c>
      <c r="B18" s="8" t="s">
        <v>19</v>
      </c>
      <c r="C18" s="8" t="s">
        <v>20</v>
      </c>
      <c r="D18" s="8" t="s">
        <v>21</v>
      </c>
    </row>
    <row r="19" customFormat="false" ht="15" hidden="false" customHeight="true" outlineLevel="0" collapsed="false">
      <c r="A19" s="7" t="s">
        <v>22</v>
      </c>
      <c r="B19" s="8" t="s">
        <v>23</v>
      </c>
      <c r="C19" s="8" t="s">
        <v>24</v>
      </c>
      <c r="D19" s="8" t="s">
        <v>25</v>
      </c>
    </row>
    <row r="20" customFormat="false" ht="15" hidden="false" customHeight="true" outlineLevel="0" collapsed="false">
      <c r="A20" s="7" t="s">
        <v>26</v>
      </c>
      <c r="B20" s="8" t="s">
        <v>27</v>
      </c>
      <c r="C20" s="8" t="s">
        <v>24</v>
      </c>
      <c r="D20" s="8" t="s">
        <v>28</v>
      </c>
    </row>
    <row r="21" customFormat="false" ht="15" hidden="false" customHeight="true" outlineLevel="0" collapsed="false">
      <c r="A21" s="7" t="s">
        <v>29</v>
      </c>
      <c r="B21" s="8" t="s">
        <v>30</v>
      </c>
      <c r="C21" s="8" t="s">
        <v>31</v>
      </c>
      <c r="D21" s="8" t="s">
        <v>32</v>
      </c>
    </row>
    <row r="22" customFormat="false" ht="15" hidden="false" customHeight="true" outlineLevel="0" collapsed="false">
      <c r="A22" s="7" t="s">
        <v>33</v>
      </c>
      <c r="B22" s="8" t="s">
        <v>34</v>
      </c>
      <c r="C22" s="8" t="s">
        <v>31</v>
      </c>
      <c r="D22" s="8" t="s">
        <v>35</v>
      </c>
    </row>
    <row r="23" customFormat="false" ht="15" hidden="false" customHeight="true" outlineLevel="0" collapsed="false">
      <c r="A23" s="7" t="s">
        <v>36</v>
      </c>
      <c r="B23" s="8" t="s">
        <v>37</v>
      </c>
      <c r="C23" s="8" t="s">
        <v>31</v>
      </c>
      <c r="D23" s="8" t="s">
        <v>38</v>
      </c>
    </row>
    <row r="24" customFormat="false" ht="15" hidden="false" customHeight="true" outlineLevel="0" collapsed="false">
      <c r="A24" s="7" t="s">
        <v>39</v>
      </c>
      <c r="B24" s="8" t="s">
        <v>40</v>
      </c>
      <c r="C24" s="8" t="s">
        <v>31</v>
      </c>
      <c r="D24" s="8" t="s">
        <v>41</v>
      </c>
    </row>
    <row r="25" customFormat="false" ht="15" hidden="false" customHeight="true" outlineLevel="0" collapsed="false">
      <c r="A25" s="7" t="s">
        <v>42</v>
      </c>
      <c r="B25" s="8" t="s">
        <v>43</v>
      </c>
      <c r="C25" s="8" t="s">
        <v>31</v>
      </c>
      <c r="D25" s="8" t="s">
        <v>44</v>
      </c>
    </row>
    <row r="26" customFormat="false" ht="15" hidden="false" customHeight="true" outlineLevel="0" collapsed="false">
      <c r="A26" s="7" t="s">
        <v>45</v>
      </c>
      <c r="B26" s="8" t="s">
        <v>46</v>
      </c>
      <c r="C26" s="8" t="s">
        <v>47</v>
      </c>
      <c r="D26" s="8" t="s">
        <v>48</v>
      </c>
    </row>
    <row r="27" customFormat="false" ht="15" hidden="false" customHeight="true" outlineLevel="0" collapsed="false">
      <c r="A27" s="7" t="s">
        <v>49</v>
      </c>
      <c r="B27" s="8" t="s">
        <v>50</v>
      </c>
      <c r="C27" s="8" t="s">
        <v>51</v>
      </c>
      <c r="D27" s="8" t="s">
        <v>52</v>
      </c>
    </row>
    <row r="28" customFormat="false" ht="15" hidden="false" customHeight="true" outlineLevel="0" collapsed="false">
      <c r="A28" s="7" t="s">
        <v>53</v>
      </c>
      <c r="B28" s="8" t="s">
        <v>54</v>
      </c>
      <c r="C28" s="8" t="s">
        <v>51</v>
      </c>
      <c r="D28" s="8" t="s">
        <v>55</v>
      </c>
    </row>
    <row r="29" customFormat="false" ht="15" hidden="false" customHeight="true" outlineLevel="0" collapsed="false">
      <c r="A29" s="7" t="s">
        <v>56</v>
      </c>
      <c r="B29" s="8" t="s">
        <v>57</v>
      </c>
      <c r="C29" s="8" t="s">
        <v>51</v>
      </c>
      <c r="D29" s="8" t="s">
        <v>58</v>
      </c>
    </row>
    <row r="30" customFormat="false" ht="15" hidden="false" customHeight="true" outlineLevel="0" collapsed="false">
      <c r="A30" s="7" t="s">
        <v>59</v>
      </c>
      <c r="B30" s="8" t="s">
        <v>60</v>
      </c>
      <c r="C30" s="8" t="s">
        <v>47</v>
      </c>
      <c r="D30" s="8" t="s">
        <v>61</v>
      </c>
    </row>
    <row r="31" customFormat="false" ht="15" hidden="false" customHeight="true" outlineLevel="0" collapsed="false">
      <c r="A31" s="7" t="s">
        <v>62</v>
      </c>
      <c r="B31" s="8" t="s">
        <v>63</v>
      </c>
      <c r="C31" s="8" t="s">
        <v>64</v>
      </c>
      <c r="D31" s="8" t="s">
        <v>65</v>
      </c>
    </row>
    <row r="34" customFormat="false" ht="15" hidden="false" customHeight="true" outlineLevel="0" collapsed="false">
      <c r="A34" s="9" t="s">
        <v>66</v>
      </c>
      <c r="B34" s="9"/>
      <c r="C34" s="9"/>
      <c r="D34" s="9"/>
      <c r="E34" s="9"/>
    </row>
  </sheetData>
  <mergeCells count="15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6:E16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2"/>
    <col collapsed="false" customWidth="true" hidden="false" outlineLevel="0" max="9" min="6" style="1" width="18"/>
  </cols>
  <sheetData>
    <row r="1" customFormat="false" ht="30" hidden="false" customHeight="true" outlineLevel="0" collapsed="false">
      <c r="A1" s="2" t="s">
        <v>19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67</v>
      </c>
      <c r="B2" s="3"/>
      <c r="C2" s="3"/>
      <c r="D2" s="3"/>
      <c r="E2" s="3"/>
    </row>
    <row r="4" customFormat="false" ht="24" hidden="false" customHeight="true" outlineLevel="0" collapsed="false">
      <c r="A4" s="4" t="s">
        <v>68</v>
      </c>
      <c r="B4" s="4"/>
      <c r="C4" s="4"/>
      <c r="D4" s="4"/>
      <c r="E4" s="4"/>
    </row>
    <row r="5" customFormat="false" ht="15" hidden="false" customHeight="true" outlineLevel="0" collapsed="false">
      <c r="A5" s="10" t="s">
        <v>69</v>
      </c>
      <c r="B5" s="11" t="s">
        <v>70</v>
      </c>
    </row>
    <row r="6" customFormat="false" ht="15" hidden="false" customHeight="true" outlineLevel="0" collapsed="false">
      <c r="A6" s="10" t="s">
        <v>71</v>
      </c>
      <c r="B6" s="12" t="n">
        <v>1200000</v>
      </c>
    </row>
    <row r="7" customFormat="false" ht="15" hidden="false" customHeight="true" outlineLevel="0" collapsed="false">
      <c r="A7" s="10" t="s">
        <v>72</v>
      </c>
      <c r="B7" s="13" t="n">
        <v>12</v>
      </c>
    </row>
    <row r="8" customFormat="false" ht="15" hidden="false" customHeight="true" outlineLevel="0" collapsed="false">
      <c r="A8" s="10" t="s">
        <v>73</v>
      </c>
      <c r="B8" s="13" t="n">
        <v>72</v>
      </c>
    </row>
    <row r="9" customFormat="false" ht="15" hidden="false" customHeight="true" outlineLevel="0" collapsed="false">
      <c r="A9" s="10" t="s">
        <v>74</v>
      </c>
      <c r="B9" s="13" t="n">
        <v>115</v>
      </c>
    </row>
    <row r="10" customFormat="false" ht="15" hidden="false" customHeight="true" outlineLevel="0" collapsed="false">
      <c r="A10" s="10" t="s">
        <v>75</v>
      </c>
      <c r="B10" s="13" t="n">
        <v>1.5</v>
      </c>
    </row>
    <row r="11" customFormat="false" ht="15" hidden="false" customHeight="true" outlineLevel="0" collapsed="false">
      <c r="A11" s="10" t="s">
        <v>76</v>
      </c>
      <c r="B11" s="14" t="n">
        <v>14</v>
      </c>
    </row>
    <row r="12" customFormat="false" ht="15" hidden="false" customHeight="true" outlineLevel="0" collapsed="false">
      <c r="A12" s="10" t="s">
        <v>77</v>
      </c>
      <c r="B12" s="14" t="n">
        <v>4</v>
      </c>
    </row>
    <row r="13" customFormat="false" ht="15" hidden="false" customHeight="true" outlineLevel="0" collapsed="false">
      <c r="A13" s="10" t="s">
        <v>78</v>
      </c>
      <c r="B13" s="14" t="n">
        <v>4</v>
      </c>
    </row>
    <row r="15" customFormat="false" ht="24" hidden="false" customHeight="true" outlineLevel="0" collapsed="false">
      <c r="A15" s="4" t="s">
        <v>79</v>
      </c>
      <c r="B15" s="4"/>
      <c r="C15" s="4"/>
      <c r="D15" s="4"/>
      <c r="E15" s="4"/>
    </row>
    <row r="16" customFormat="false" ht="15" hidden="false" customHeight="true" outlineLevel="0" collapsed="false">
      <c r="A16" s="6" t="s">
        <v>80</v>
      </c>
      <c r="B16" s="6" t="s">
        <v>81</v>
      </c>
      <c r="C16" s="6" t="s">
        <v>82</v>
      </c>
      <c r="D16" s="6" t="s">
        <v>83</v>
      </c>
      <c r="E16" s="6"/>
    </row>
    <row r="17" customFormat="false" ht="15" hidden="false" customHeight="true" outlineLevel="0" collapsed="false">
      <c r="A17" s="8" t="s">
        <v>84</v>
      </c>
      <c r="B17" s="7" t="s">
        <v>85</v>
      </c>
      <c r="C17" s="15" t="n">
        <f aca="false">B6</f>
        <v>1200000</v>
      </c>
      <c r="D17" s="16" t="str">
        <f aca="false">IF(B6&gt;=2000000,"Pass",IF(B6&gt;=500000,"Close","Gap"))</f>
        <v>Close</v>
      </c>
    </row>
    <row r="18" customFormat="false" ht="15" hidden="false" customHeight="true" outlineLevel="0" collapsed="false">
      <c r="A18" s="8" t="s">
        <v>86</v>
      </c>
      <c r="B18" s="7" t="s">
        <v>87</v>
      </c>
      <c r="C18" s="17" t="n">
        <f aca="false">B7</f>
        <v>12</v>
      </c>
      <c r="D18" s="16" t="str">
        <f aca="false">IF(B7&gt;=12,"Pass",IF(B7&gt;=8,"Close","Gap"))</f>
        <v>Pass</v>
      </c>
    </row>
    <row r="19" customFormat="false" ht="15" hidden="false" customHeight="true" outlineLevel="0" collapsed="false">
      <c r="A19" s="8" t="s">
        <v>88</v>
      </c>
      <c r="B19" s="7" t="s">
        <v>89</v>
      </c>
      <c r="C19" s="17" t="n">
        <f aca="false">B8</f>
        <v>72</v>
      </c>
      <c r="D19" s="16" t="str">
        <f aca="false">IF(B8&gt;=60,"Pass",IF(B8&gt;=50,"Close","Gap"))</f>
        <v>Pass</v>
      </c>
    </row>
    <row r="20" customFormat="false" ht="15" hidden="false" customHeight="true" outlineLevel="0" collapsed="false">
      <c r="A20" s="8" t="s">
        <v>90</v>
      </c>
      <c r="B20" s="7" t="s">
        <v>91</v>
      </c>
      <c r="C20" s="17" t="n">
        <f aca="false">B9</f>
        <v>115</v>
      </c>
      <c r="D20" s="16" t="str">
        <f aca="false">IF(B9&gt;=100,"Pass",IF(B9&gt;=90,"Close","Gap"))</f>
        <v>Pass</v>
      </c>
    </row>
    <row r="21" customFormat="false" ht="15" hidden="false" customHeight="true" outlineLevel="0" collapsed="false">
      <c r="A21" s="8" t="s">
        <v>92</v>
      </c>
      <c r="B21" s="7" t="s">
        <v>93</v>
      </c>
      <c r="C21" s="17" t="n">
        <f aca="false">B10</f>
        <v>1.5</v>
      </c>
      <c r="D21" s="16" t="str">
        <f aca="false">IF(B10&lt;=3,"Pass",IF(B10&lt;=5,"Close","Gap"))</f>
        <v>Pass</v>
      </c>
    </row>
    <row r="22" customFormat="false" ht="15" hidden="false" customHeight="true" outlineLevel="0" collapsed="false">
      <c r="A22" s="8" t="s">
        <v>94</v>
      </c>
      <c r="B22" s="7" t="s">
        <v>95</v>
      </c>
      <c r="C22" s="18" t="n">
        <f aca="false">B11</f>
        <v>14</v>
      </c>
      <c r="D22" s="16" t="str">
        <f aca="false">IF(B11&lt;=18,"Pass",IF(B11&lt;=24,"Close","Gap"))</f>
        <v>Pass</v>
      </c>
    </row>
    <row r="23" customFormat="false" ht="15" hidden="false" customHeight="true" outlineLevel="0" collapsed="false">
      <c r="A23" s="8" t="s">
        <v>96</v>
      </c>
      <c r="B23" s="7" t="s">
        <v>97</v>
      </c>
      <c r="C23" s="18" t="n">
        <f aca="false">B12</f>
        <v>4</v>
      </c>
      <c r="D23" s="16" t="str">
        <f aca="false">IF(B12&gt;=3,"Pass","Gap")</f>
        <v>Pass</v>
      </c>
    </row>
    <row r="24" customFormat="false" ht="15" hidden="false" customHeight="true" outlineLevel="0" collapsed="false">
      <c r="A24" s="8" t="s">
        <v>98</v>
      </c>
      <c r="B24" s="7" t="s">
        <v>97</v>
      </c>
      <c r="C24" s="18" t="n">
        <f aca="false">B13</f>
        <v>4</v>
      </c>
      <c r="D24" s="16" t="str">
        <f aca="false">IF(B13&gt;=3,"Pass","Gap")</f>
        <v>Pass</v>
      </c>
    </row>
    <row r="26" customFormat="false" ht="24" hidden="false" customHeight="true" outlineLevel="0" collapsed="false">
      <c r="A26" s="4" t="s">
        <v>99</v>
      </c>
      <c r="B26" s="4"/>
      <c r="C26" s="4"/>
      <c r="D26" s="4"/>
      <c r="E26" s="4"/>
    </row>
    <row r="27" customFormat="false" ht="15" hidden="false" customHeight="true" outlineLevel="0" collapsed="false">
      <c r="A27" s="10" t="s">
        <v>100</v>
      </c>
      <c r="B27" s="18" t="n">
        <f aca="false">COUNTIF(D17:D24,"Pass")</f>
        <v>7</v>
      </c>
    </row>
    <row r="28" customFormat="false" ht="15" hidden="false" customHeight="true" outlineLevel="0" collapsed="false">
      <c r="A28" s="10" t="s">
        <v>101</v>
      </c>
      <c r="B28" s="18" t="n">
        <f aca="false">COUNTIF(D17:D24,"Close")</f>
        <v>1</v>
      </c>
    </row>
    <row r="29" customFormat="false" ht="15" hidden="false" customHeight="true" outlineLevel="0" collapsed="false">
      <c r="A29" s="10" t="s">
        <v>102</v>
      </c>
      <c r="B29" s="18" t="n">
        <f aca="false">COUNTIF(D17:D24,"Gap")</f>
        <v>0</v>
      </c>
    </row>
    <row r="30" customFormat="false" ht="17.25" hidden="false" customHeight="true" outlineLevel="0" collapsed="false">
      <c r="A30" s="10" t="s">
        <v>103</v>
      </c>
      <c r="B30" s="19" t="n">
        <f aca="false">B27*12.5+B28*6.25</f>
        <v>93.75</v>
      </c>
    </row>
    <row r="31" customFormat="false" ht="15" hidden="false" customHeight="true" outlineLevel="0" collapsed="false">
      <c r="A31" s="10" t="s">
        <v>104</v>
      </c>
      <c r="B31" s="16" t="str">
        <f aca="false">IF(B30&gt;=75,"Ready",IF(B30&gt;=50,"Close","Not Yet"))</f>
        <v>Ready</v>
      </c>
    </row>
  </sheetData>
  <mergeCells count="5">
    <mergeCell ref="A1:E1"/>
    <mergeCell ref="A2:E2"/>
    <mergeCell ref="A4:E4"/>
    <mergeCell ref="A15:E15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2"/>
    <col collapsed="false" customWidth="true" hidden="false" outlineLevel="0" max="9" min="6" style="1" width="18"/>
  </cols>
  <sheetData>
    <row r="1" customFormat="false" ht="30" hidden="false" customHeight="true" outlineLevel="0" collapsed="false">
      <c r="A1" s="2" t="s">
        <v>23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105</v>
      </c>
      <c r="B2" s="3"/>
      <c r="C2" s="3"/>
      <c r="D2" s="3"/>
      <c r="E2" s="3"/>
    </row>
    <row r="4" customFormat="false" ht="24" hidden="false" customHeight="true" outlineLevel="0" collapsed="false">
      <c r="A4" s="4" t="s">
        <v>68</v>
      </c>
      <c r="B4" s="4"/>
      <c r="C4" s="4"/>
      <c r="D4" s="4"/>
      <c r="E4" s="4"/>
    </row>
    <row r="5" customFormat="false" ht="15" hidden="false" customHeight="true" outlineLevel="0" collapsed="false">
      <c r="A5" s="10" t="s">
        <v>106</v>
      </c>
      <c r="B5" s="12" t="n">
        <v>2000000</v>
      </c>
    </row>
    <row r="6" customFormat="false" ht="15" hidden="false" customHeight="true" outlineLevel="0" collapsed="false">
      <c r="A6" s="10" t="s">
        <v>107</v>
      </c>
      <c r="B6" s="12" t="n">
        <v>120000</v>
      </c>
    </row>
    <row r="7" customFormat="false" ht="15" hidden="false" customHeight="true" outlineLevel="0" collapsed="false">
      <c r="A7" s="10" t="s">
        <v>108</v>
      </c>
      <c r="B7" s="12" t="n">
        <v>80000</v>
      </c>
    </row>
    <row r="8" customFormat="false" ht="15" hidden="false" customHeight="true" outlineLevel="0" collapsed="false">
      <c r="A8" s="10" t="s">
        <v>109</v>
      </c>
      <c r="B8" s="13" t="n">
        <v>8</v>
      </c>
    </row>
    <row r="10" customFormat="false" ht="24" hidden="false" customHeight="true" outlineLevel="0" collapsed="false">
      <c r="A10" s="4" t="s">
        <v>110</v>
      </c>
      <c r="B10" s="4"/>
      <c r="C10" s="4"/>
      <c r="D10" s="4"/>
      <c r="E10" s="4"/>
    </row>
    <row r="11" customFormat="false" ht="17.25" hidden="false" customHeight="true" outlineLevel="0" collapsed="false">
      <c r="A11" s="10" t="s">
        <v>111</v>
      </c>
      <c r="B11" s="20" t="n">
        <f aca="false">B6-B7</f>
        <v>40000</v>
      </c>
    </row>
    <row r="12" customFormat="false" ht="17.25" hidden="false" customHeight="true" outlineLevel="0" collapsed="false">
      <c r="A12" s="10" t="s">
        <v>112</v>
      </c>
      <c r="B12" s="19" t="n">
        <f aca="false">IF(B11&lt;=0,"Infinite",ROUND(B5/B11,0))</f>
        <v>50</v>
      </c>
    </row>
    <row r="13" customFormat="false" ht="15" hidden="false" customHeight="true" outlineLevel="0" collapsed="false">
      <c r="A13" s="10" t="s">
        <v>113</v>
      </c>
      <c r="B13" s="16" t="str">
        <f aca="true">IF(B12="Infinite","N/A",TEXT(EDATE(TODAY(),B12),"MMM YYYY"))</f>
        <v>Jun 2030</v>
      </c>
    </row>
    <row r="14" customFormat="false" ht="15" hidden="false" customHeight="true" outlineLevel="0" collapsed="false">
      <c r="A14" s="10" t="s">
        <v>114</v>
      </c>
      <c r="B14" s="16" t="str">
        <f aca="false">IF(B12="Infinite","Profitable",IF(B12&gt;=18,"Strong (18+ mo)",IF(B12&gt;=12,"Healthy (12-18 mo)",IF(B12&gt;=6,"Caution (6-12 mo)","Critical (&lt;6 mo)"))))</f>
        <v>Strong (18+ mo)</v>
      </c>
    </row>
    <row r="16" customFormat="false" ht="24" hidden="false" customHeight="true" outlineLevel="0" collapsed="false">
      <c r="A16" s="4" t="s">
        <v>115</v>
      </c>
      <c r="B16" s="4"/>
      <c r="C16" s="4"/>
      <c r="D16" s="4"/>
      <c r="E16" s="4"/>
    </row>
    <row r="17" customFormat="false" ht="15" hidden="false" customHeight="true" outlineLevel="0" collapsed="false">
      <c r="A17" s="6" t="s">
        <v>116</v>
      </c>
      <c r="B17" s="6" t="s">
        <v>117</v>
      </c>
      <c r="C17" s="6" t="s">
        <v>118</v>
      </c>
      <c r="D17" s="6" t="s">
        <v>119</v>
      </c>
      <c r="E17" s="6" t="s">
        <v>120</v>
      </c>
    </row>
    <row r="18" customFormat="false" ht="15" hidden="false" customHeight="true" outlineLevel="0" collapsed="false">
      <c r="A18" s="7" t="n">
        <v>1</v>
      </c>
      <c r="B18" s="15" t="n">
        <f aca="false">B7*(1+B8/100)</f>
        <v>86400</v>
      </c>
      <c r="C18" s="15" t="n">
        <f aca="false">$B$6</f>
        <v>120000</v>
      </c>
      <c r="D18" s="21" t="n">
        <f aca="false">B18-C18</f>
        <v>-33600</v>
      </c>
      <c r="E18" s="21" t="n">
        <f aca="false">$B$5+D18</f>
        <v>1966400</v>
      </c>
    </row>
    <row r="19" customFormat="false" ht="15" hidden="false" customHeight="true" outlineLevel="0" collapsed="false">
      <c r="A19" s="7" t="n">
        <v>2</v>
      </c>
      <c r="B19" s="15" t="n">
        <f aca="false">B18*(1+$B$8/100)</f>
        <v>93312</v>
      </c>
      <c r="C19" s="15" t="n">
        <f aca="false">$B$6</f>
        <v>120000</v>
      </c>
      <c r="D19" s="21" t="n">
        <f aca="false">B19-C19</f>
        <v>-26688</v>
      </c>
      <c r="E19" s="21" t="n">
        <f aca="false">E18+D19</f>
        <v>1939712</v>
      </c>
    </row>
    <row r="20" customFormat="false" ht="15" hidden="false" customHeight="true" outlineLevel="0" collapsed="false">
      <c r="A20" s="7" t="n">
        <v>3</v>
      </c>
      <c r="B20" s="15" t="n">
        <f aca="false">B19*(1+$B$8/100)</f>
        <v>100776.96</v>
      </c>
      <c r="C20" s="15" t="n">
        <f aca="false">$B$6</f>
        <v>120000</v>
      </c>
      <c r="D20" s="21" t="n">
        <f aca="false">B20-C20</f>
        <v>-19223.04</v>
      </c>
      <c r="E20" s="21" t="n">
        <f aca="false">E19+D20</f>
        <v>1920488.96</v>
      </c>
    </row>
    <row r="21" customFormat="false" ht="15" hidden="false" customHeight="true" outlineLevel="0" collapsed="false">
      <c r="A21" s="7" t="n">
        <v>4</v>
      </c>
      <c r="B21" s="15" t="n">
        <f aca="false">B20*(1+$B$8/100)</f>
        <v>108839.1168</v>
      </c>
      <c r="C21" s="15" t="n">
        <f aca="false">$B$6</f>
        <v>120000</v>
      </c>
      <c r="D21" s="21" t="n">
        <f aca="false">B21-C21</f>
        <v>-11160.8832</v>
      </c>
      <c r="E21" s="21" t="n">
        <f aca="false">E20+D21</f>
        <v>1909328.0768</v>
      </c>
    </row>
    <row r="22" customFormat="false" ht="15" hidden="false" customHeight="true" outlineLevel="0" collapsed="false">
      <c r="A22" s="7" t="n">
        <v>5</v>
      </c>
      <c r="B22" s="15" t="n">
        <f aca="false">B21*(1+$B$8/100)</f>
        <v>117546.246144</v>
      </c>
      <c r="C22" s="15" t="n">
        <f aca="false">$B$6</f>
        <v>120000</v>
      </c>
      <c r="D22" s="21" t="n">
        <f aca="false">B22-C22</f>
        <v>-2453.75385599997</v>
      </c>
      <c r="E22" s="21" t="n">
        <f aca="false">E21+D22</f>
        <v>1906874.322944</v>
      </c>
    </row>
    <row r="23" customFormat="false" ht="15" hidden="false" customHeight="true" outlineLevel="0" collapsed="false">
      <c r="A23" s="7" t="n">
        <v>6</v>
      </c>
      <c r="B23" s="15" t="n">
        <f aca="false">B22*(1+$B$8/100)</f>
        <v>126949.94583552</v>
      </c>
      <c r="C23" s="15" t="n">
        <f aca="false">$B$6</f>
        <v>120000</v>
      </c>
      <c r="D23" s="21" t="n">
        <f aca="false">B23-C23</f>
        <v>6949.94583552005</v>
      </c>
      <c r="E23" s="21" t="n">
        <f aca="false">E22+D23</f>
        <v>1913824.26877952</v>
      </c>
    </row>
    <row r="24" customFormat="false" ht="15" hidden="false" customHeight="true" outlineLevel="0" collapsed="false">
      <c r="A24" s="7" t="n">
        <v>7</v>
      </c>
      <c r="B24" s="15" t="n">
        <f aca="false">B23*(1+$B$8/100)</f>
        <v>137105.941502362</v>
      </c>
      <c r="C24" s="15" t="n">
        <f aca="false">$B$6</f>
        <v>120000</v>
      </c>
      <c r="D24" s="21" t="n">
        <f aca="false">B24-C24</f>
        <v>17105.9415023617</v>
      </c>
      <c r="E24" s="21" t="n">
        <f aca="false">E23+D24</f>
        <v>1930930.21028188</v>
      </c>
    </row>
    <row r="25" customFormat="false" ht="15" hidden="false" customHeight="true" outlineLevel="0" collapsed="false">
      <c r="A25" s="7" t="n">
        <v>8</v>
      </c>
      <c r="B25" s="15" t="n">
        <f aca="false">B24*(1+$B$8/100)</f>
        <v>148074.416822551</v>
      </c>
      <c r="C25" s="15" t="n">
        <f aca="false">$B$6</f>
        <v>120000</v>
      </c>
      <c r="D25" s="21" t="n">
        <f aca="false">B25-C25</f>
        <v>28074.4168225506</v>
      </c>
      <c r="E25" s="21" t="n">
        <f aca="false">E24+D25</f>
        <v>1959004.62710443</v>
      </c>
    </row>
    <row r="26" customFormat="false" ht="15" hidden="false" customHeight="true" outlineLevel="0" collapsed="false">
      <c r="A26" s="7" t="n">
        <v>9</v>
      </c>
      <c r="B26" s="15" t="n">
        <f aca="false">B25*(1+$B$8/100)</f>
        <v>159920.370168355</v>
      </c>
      <c r="C26" s="15" t="n">
        <f aca="false">$B$6</f>
        <v>120000</v>
      </c>
      <c r="D26" s="21" t="n">
        <f aca="false">B26-C26</f>
        <v>39920.3701683547</v>
      </c>
      <c r="E26" s="21" t="n">
        <f aca="false">E25+D26</f>
        <v>1998924.99727279</v>
      </c>
    </row>
    <row r="27" customFormat="false" ht="15" hidden="false" customHeight="true" outlineLevel="0" collapsed="false">
      <c r="A27" s="7" t="n">
        <v>10</v>
      </c>
      <c r="B27" s="15" t="n">
        <f aca="false">B26*(1+$B$8/100)</f>
        <v>172713.999781823</v>
      </c>
      <c r="C27" s="15" t="n">
        <f aca="false">$B$6</f>
        <v>120000</v>
      </c>
      <c r="D27" s="21" t="n">
        <f aca="false">B27-C27</f>
        <v>52713.9997818231</v>
      </c>
      <c r="E27" s="21" t="n">
        <f aca="false">E26+D27</f>
        <v>2051638.99705461</v>
      </c>
    </row>
    <row r="28" customFormat="false" ht="15" hidden="false" customHeight="true" outlineLevel="0" collapsed="false">
      <c r="A28" s="7" t="n">
        <v>11</v>
      </c>
      <c r="B28" s="15" t="n">
        <f aca="false">B27*(1+$B$8/100)</f>
        <v>186531.119764369</v>
      </c>
      <c r="C28" s="15" t="n">
        <f aca="false">$B$6</f>
        <v>120000</v>
      </c>
      <c r="D28" s="21" t="n">
        <f aca="false">B28-C28</f>
        <v>66531.1197643689</v>
      </c>
      <c r="E28" s="21" t="n">
        <f aca="false">E27+D28</f>
        <v>2118170.11681898</v>
      </c>
    </row>
    <row r="29" customFormat="false" ht="15" hidden="false" customHeight="true" outlineLevel="0" collapsed="false">
      <c r="A29" s="7" t="n">
        <v>12</v>
      </c>
      <c r="B29" s="15" t="n">
        <f aca="false">B28*(1+$B$8/100)</f>
        <v>201453.609345518</v>
      </c>
      <c r="C29" s="15" t="n">
        <f aca="false">$B$6</f>
        <v>120000</v>
      </c>
      <c r="D29" s="21" t="n">
        <f aca="false">B29-C29</f>
        <v>81453.6093455185</v>
      </c>
      <c r="E29" s="21" t="n">
        <f aca="false">E28+D29</f>
        <v>2199623.7261645</v>
      </c>
    </row>
  </sheetData>
  <mergeCells count="5">
    <mergeCell ref="A1:E1"/>
    <mergeCell ref="A2:E2"/>
    <mergeCell ref="A4:E4"/>
    <mergeCell ref="A10:E10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2"/>
    <col collapsed="false" customWidth="true" hidden="false" outlineLevel="0" max="9" min="6" style="1" width="18"/>
  </cols>
  <sheetData>
    <row r="1" customFormat="false" ht="30" hidden="false" customHeight="true" outlineLevel="0" collapsed="false">
      <c r="A1" s="2" t="s">
        <v>121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122</v>
      </c>
      <c r="B2" s="3"/>
      <c r="C2" s="3"/>
      <c r="D2" s="3"/>
      <c r="E2" s="3"/>
    </row>
    <row r="4" customFormat="false" ht="24" hidden="false" customHeight="true" outlineLevel="0" collapsed="false">
      <c r="A4" s="4" t="s">
        <v>68</v>
      </c>
      <c r="B4" s="4"/>
      <c r="C4" s="4"/>
      <c r="D4" s="4"/>
      <c r="E4" s="4"/>
    </row>
    <row r="5" customFormat="false" ht="15" hidden="false" customHeight="true" outlineLevel="0" collapsed="false">
      <c r="A5" s="10" t="s">
        <v>123</v>
      </c>
      <c r="B5" s="12" t="n">
        <v>50000</v>
      </c>
    </row>
    <row r="6" customFormat="false" ht="15" hidden="false" customHeight="true" outlineLevel="0" collapsed="false">
      <c r="A6" s="10" t="s">
        <v>124</v>
      </c>
      <c r="B6" s="14" t="n">
        <v>25</v>
      </c>
    </row>
    <row r="7" customFormat="false" ht="15" hidden="false" customHeight="true" outlineLevel="0" collapsed="false">
      <c r="A7" s="10" t="s">
        <v>125</v>
      </c>
      <c r="B7" s="12" t="n">
        <v>500</v>
      </c>
    </row>
    <row r="8" customFormat="false" ht="15" hidden="false" customHeight="true" outlineLevel="0" collapsed="false">
      <c r="A8" s="10" t="s">
        <v>73</v>
      </c>
      <c r="B8" s="13" t="n">
        <v>75</v>
      </c>
    </row>
    <row r="9" customFormat="false" ht="15" hidden="false" customHeight="true" outlineLevel="0" collapsed="false">
      <c r="A9" s="10" t="s">
        <v>126</v>
      </c>
      <c r="B9" s="13" t="n">
        <v>3</v>
      </c>
    </row>
    <row r="10" customFormat="false" ht="15" hidden="false" customHeight="true" outlineLevel="0" collapsed="false">
      <c r="A10" s="10" t="s">
        <v>74</v>
      </c>
      <c r="B10" s="13" t="n">
        <v>110</v>
      </c>
    </row>
    <row r="12" customFormat="false" ht="24" hidden="false" customHeight="true" outlineLevel="0" collapsed="false">
      <c r="A12" s="4" t="s">
        <v>110</v>
      </c>
      <c r="B12" s="4"/>
      <c r="C12" s="4"/>
      <c r="D12" s="4"/>
      <c r="E12" s="4"/>
    </row>
    <row r="13" customFormat="false" ht="17.25" hidden="false" customHeight="true" outlineLevel="0" collapsed="false">
      <c r="A13" s="10" t="s">
        <v>127</v>
      </c>
      <c r="B13" s="20" t="n">
        <f aca="false">IF(B6&gt;0,B5/B6,0)</f>
        <v>2000</v>
      </c>
    </row>
    <row r="14" customFormat="false" ht="15" hidden="false" customHeight="true" outlineLevel="0" collapsed="false">
      <c r="A14" s="10" t="s">
        <v>128</v>
      </c>
      <c r="B14" s="17" t="n">
        <f aca="false">IF(B9&gt;0,1/(B9/100),120)</f>
        <v>33.3333333333333</v>
      </c>
    </row>
    <row r="15" customFormat="false" ht="17.25" hidden="false" customHeight="true" outlineLevel="0" collapsed="false">
      <c r="A15" s="10" t="s">
        <v>129</v>
      </c>
      <c r="B15" s="20" t="n">
        <f aca="false">B7*(B10/100)*(B8/100)*B14</f>
        <v>13750</v>
      </c>
    </row>
    <row r="16" customFormat="false" ht="17.25" hidden="false" customHeight="true" outlineLevel="0" collapsed="false">
      <c r="A16" s="10" t="s">
        <v>130</v>
      </c>
      <c r="B16" s="22" t="n">
        <f aca="false">IF(B13&gt;0,B15/B13,0)</f>
        <v>6.875</v>
      </c>
    </row>
    <row r="17" customFormat="false" ht="15" hidden="false" customHeight="true" outlineLevel="0" collapsed="false">
      <c r="A17" s="10" t="s">
        <v>131</v>
      </c>
      <c r="B17" s="17" t="n">
        <f aca="false">IF(B7*(B8/100)&gt;0,B13/(B7*(B8/100)),0)</f>
        <v>5.33333333333333</v>
      </c>
    </row>
    <row r="18" customFormat="false" ht="15" hidden="false" customHeight="true" outlineLevel="0" collapsed="false">
      <c r="A18" s="10" t="s">
        <v>132</v>
      </c>
      <c r="B18" s="16" t="str">
        <f aca="false">IF(B16&gt;=5,"Strong (5x+) - consider investing more in growth",IF(B16&gt;=3,"Healthy (3-5x) - meets investor benchmarks",IF(B16&gt;=1,"Marginal (1-3x) - improve before Series A","Unsustainable (&lt;1x) - losing money per customer")))</f>
        <v>Strong (5x+) - consider investing more in growth</v>
      </c>
    </row>
  </sheetData>
  <mergeCells count="4">
    <mergeCell ref="A1:E1"/>
    <mergeCell ref="A2:E2"/>
    <mergeCell ref="A4:E4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2"/>
    <col collapsed="false" customWidth="true" hidden="false" outlineLevel="0" max="9" min="6" style="1" width="18"/>
  </cols>
  <sheetData>
    <row r="1" customFormat="false" ht="30" hidden="false" customHeight="true" outlineLevel="0" collapsed="false">
      <c r="A1" s="2" t="s">
        <v>30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133</v>
      </c>
      <c r="B2" s="3"/>
      <c r="C2" s="3"/>
      <c r="D2" s="3"/>
      <c r="E2" s="3"/>
    </row>
    <row r="4" customFormat="false" ht="24" hidden="false" customHeight="true" outlineLevel="0" collapsed="false">
      <c r="A4" s="4" t="s">
        <v>68</v>
      </c>
      <c r="B4" s="4"/>
      <c r="C4" s="4"/>
      <c r="D4" s="4"/>
      <c r="E4" s="4"/>
    </row>
    <row r="5" customFormat="false" ht="15" hidden="false" customHeight="true" outlineLevel="0" collapsed="false">
      <c r="A5" s="10" t="s">
        <v>134</v>
      </c>
      <c r="B5" s="12" t="n">
        <v>80000</v>
      </c>
    </row>
    <row r="6" customFormat="false" ht="15" hidden="false" customHeight="true" outlineLevel="0" collapsed="false">
      <c r="A6" s="10" t="s">
        <v>135</v>
      </c>
      <c r="B6" s="13" t="n">
        <v>10</v>
      </c>
    </row>
    <row r="7" customFormat="false" ht="15" hidden="false" customHeight="true" outlineLevel="0" collapsed="false">
      <c r="A7" s="10" t="s">
        <v>126</v>
      </c>
      <c r="B7" s="13" t="n">
        <v>3</v>
      </c>
    </row>
    <row r="8" customFormat="false" ht="15" hidden="false" customHeight="true" outlineLevel="0" collapsed="false">
      <c r="A8" s="10" t="s">
        <v>136</v>
      </c>
      <c r="B8" s="13" t="n">
        <v>2</v>
      </c>
    </row>
    <row r="10" customFormat="false" ht="24" hidden="false" customHeight="true" outlineLevel="0" collapsed="false">
      <c r="A10" s="4" t="s">
        <v>137</v>
      </c>
      <c r="B10" s="4"/>
      <c r="C10" s="4"/>
      <c r="D10" s="4"/>
      <c r="E10" s="4"/>
    </row>
    <row r="11" customFormat="false" ht="17.25" hidden="false" customHeight="true" outlineLevel="0" collapsed="false">
      <c r="A11" s="10" t="s">
        <v>138</v>
      </c>
      <c r="B11" s="20" t="n">
        <f aca="false">B19</f>
        <v>103602.32</v>
      </c>
    </row>
    <row r="12" customFormat="false" ht="17.25" hidden="false" customHeight="true" outlineLevel="0" collapsed="false">
      <c r="A12" s="10" t="s">
        <v>139</v>
      </c>
      <c r="B12" s="20" t="n">
        <f aca="false">B25</f>
        <v>173751.462355385</v>
      </c>
    </row>
    <row r="13" customFormat="false" ht="17.25" hidden="false" customHeight="true" outlineLevel="0" collapsed="false">
      <c r="A13" s="10" t="s">
        <v>140</v>
      </c>
      <c r="B13" s="20" t="n">
        <f aca="false">B31</f>
        <v>291398.596775002</v>
      </c>
    </row>
    <row r="14" customFormat="false" ht="17.25" hidden="false" customHeight="true" outlineLevel="0" collapsed="false">
      <c r="A14" s="10" t="s">
        <v>141</v>
      </c>
      <c r="B14" s="20" t="n">
        <f aca="false">B31*12</f>
        <v>3496783.16130002</v>
      </c>
    </row>
    <row r="15" customFormat="false" ht="24" hidden="false" customHeight="true" outlineLevel="0" collapsed="false">
      <c r="A15" s="4" t="s">
        <v>142</v>
      </c>
      <c r="B15" s="4"/>
      <c r="C15" s="4"/>
      <c r="D15" s="4"/>
      <c r="E15" s="4"/>
    </row>
    <row r="16" customFormat="false" ht="15" hidden="false" customHeight="true" outlineLevel="0" collapsed="false">
      <c r="A16" s="6" t="s">
        <v>116</v>
      </c>
      <c r="B16" s="6" t="s">
        <v>143</v>
      </c>
      <c r="C16" s="6" t="s">
        <v>144</v>
      </c>
      <c r="D16" s="6" t="s">
        <v>145</v>
      </c>
      <c r="E16" s="6" t="s">
        <v>146</v>
      </c>
    </row>
    <row r="17" customFormat="false" ht="15" hidden="false" customHeight="true" outlineLevel="0" collapsed="false">
      <c r="A17" s="7" t="n">
        <v>1</v>
      </c>
      <c r="B17" s="15" t="n">
        <f aca="false">$B$5+C17-D17+E17</f>
        <v>87200</v>
      </c>
      <c r="C17" s="15" t="n">
        <f aca="false">$B$5*$B$6/100</f>
        <v>8000</v>
      </c>
      <c r="D17" s="15" t="n">
        <f aca="false">$B$5*$B$7/100</f>
        <v>2400</v>
      </c>
      <c r="E17" s="15" t="n">
        <f aca="false">$B$5*$B$8/100</f>
        <v>1600</v>
      </c>
    </row>
    <row r="18" customFormat="false" ht="15" hidden="false" customHeight="true" outlineLevel="0" collapsed="false">
      <c r="A18" s="7" t="n">
        <v>2</v>
      </c>
      <c r="B18" s="15" t="n">
        <f aca="false">B17+C18-D18+E18</f>
        <v>95048</v>
      </c>
      <c r="C18" s="15" t="n">
        <f aca="false">B17*$B$6/100</f>
        <v>8720</v>
      </c>
      <c r="D18" s="15" t="n">
        <f aca="false">B17*$B$7/100</f>
        <v>2616</v>
      </c>
      <c r="E18" s="15" t="n">
        <f aca="false">B17*$B$8/100</f>
        <v>1744</v>
      </c>
    </row>
    <row r="19" customFormat="false" ht="15" hidden="false" customHeight="true" outlineLevel="0" collapsed="false">
      <c r="A19" s="7" t="n">
        <v>3</v>
      </c>
      <c r="B19" s="15" t="n">
        <f aca="false">B18+C19-D19+E19</f>
        <v>103602.32</v>
      </c>
      <c r="C19" s="15" t="n">
        <f aca="false">B18*$B$6/100</f>
        <v>9504.8</v>
      </c>
      <c r="D19" s="15" t="n">
        <f aca="false">B18*$B$7/100</f>
        <v>2851.44</v>
      </c>
      <c r="E19" s="15" t="n">
        <f aca="false">B18*$B$8/100</f>
        <v>1900.96</v>
      </c>
    </row>
    <row r="20" customFormat="false" ht="15" hidden="false" customHeight="true" outlineLevel="0" collapsed="false">
      <c r="A20" s="7" t="n">
        <v>4</v>
      </c>
      <c r="B20" s="15" t="n">
        <f aca="false">B19+C20-D20+E20</f>
        <v>112926.5288</v>
      </c>
      <c r="C20" s="15" t="n">
        <f aca="false">B19*$B$6/100</f>
        <v>10360.232</v>
      </c>
      <c r="D20" s="15" t="n">
        <f aca="false">B19*$B$7/100</f>
        <v>3108.0696</v>
      </c>
      <c r="E20" s="15" t="n">
        <f aca="false">B19*$B$8/100</f>
        <v>2072.0464</v>
      </c>
    </row>
    <row r="21" customFormat="false" ht="15" hidden="false" customHeight="true" outlineLevel="0" collapsed="false">
      <c r="A21" s="7" t="n">
        <v>5</v>
      </c>
      <c r="B21" s="15" t="n">
        <f aca="false">B20+C21-D21+E21</f>
        <v>123089.916392</v>
      </c>
      <c r="C21" s="15" t="n">
        <f aca="false">B20*$B$6/100</f>
        <v>11292.65288</v>
      </c>
      <c r="D21" s="15" t="n">
        <f aca="false">B20*$B$7/100</f>
        <v>3387.795864</v>
      </c>
      <c r="E21" s="15" t="n">
        <f aca="false">B20*$B$8/100</f>
        <v>2258.530576</v>
      </c>
    </row>
    <row r="22" customFormat="false" ht="15" hidden="false" customHeight="true" outlineLevel="0" collapsed="false">
      <c r="A22" s="7" t="n">
        <v>6</v>
      </c>
      <c r="B22" s="15" t="n">
        <f aca="false">B21+C22-D22+E22</f>
        <v>134168.00886728</v>
      </c>
      <c r="C22" s="15" t="n">
        <f aca="false">B21*$B$6/100</f>
        <v>12308.9916392</v>
      </c>
      <c r="D22" s="15" t="n">
        <f aca="false">B21*$B$7/100</f>
        <v>3692.69749176</v>
      </c>
      <c r="E22" s="15" t="n">
        <f aca="false">B21*$B$8/100</f>
        <v>2461.79832784</v>
      </c>
    </row>
    <row r="23" customFormat="false" ht="15" hidden="false" customHeight="true" outlineLevel="0" collapsed="false">
      <c r="A23" s="7" t="n">
        <v>7</v>
      </c>
      <c r="B23" s="15" t="n">
        <f aca="false">B22+C23-D23+E23</f>
        <v>146243.129665335</v>
      </c>
      <c r="C23" s="15" t="n">
        <f aca="false">B22*$B$6/100</f>
        <v>13416.800886728</v>
      </c>
      <c r="D23" s="15" t="n">
        <f aca="false">B22*$B$7/100</f>
        <v>4025.0402660184</v>
      </c>
      <c r="E23" s="15" t="n">
        <f aca="false">B22*$B$8/100</f>
        <v>2683.3601773456</v>
      </c>
    </row>
    <row r="24" customFormat="false" ht="15" hidden="false" customHeight="true" outlineLevel="0" collapsed="false">
      <c r="A24" s="7" t="n">
        <v>8</v>
      </c>
      <c r="B24" s="15" t="n">
        <f aca="false">B23+C24-D24+E24</f>
        <v>159405.011335215</v>
      </c>
      <c r="C24" s="15" t="n">
        <f aca="false">B23*$B$6/100</f>
        <v>14624.3129665335</v>
      </c>
      <c r="D24" s="15" t="n">
        <f aca="false">B23*$B$7/100</f>
        <v>4387.29388996006</v>
      </c>
      <c r="E24" s="15" t="n">
        <f aca="false">B23*$B$8/100</f>
        <v>2924.8625933067</v>
      </c>
    </row>
    <row r="25" customFormat="false" ht="15" hidden="false" customHeight="true" outlineLevel="0" collapsed="false">
      <c r="A25" s="7" t="n">
        <v>9</v>
      </c>
      <c r="B25" s="15" t="n">
        <f aca="false">B24+C25-D25+E25</f>
        <v>173751.462355385</v>
      </c>
      <c r="C25" s="15" t="n">
        <f aca="false">B24*$B$6/100</f>
        <v>15940.5011335215</v>
      </c>
      <c r="D25" s="15" t="n">
        <f aca="false">B24*$B$7/100</f>
        <v>4782.15034005646</v>
      </c>
      <c r="E25" s="15" t="n">
        <f aca="false">B24*$B$8/100</f>
        <v>3188.10022670431</v>
      </c>
    </row>
    <row r="26" customFormat="false" ht="15" hidden="false" customHeight="true" outlineLevel="0" collapsed="false">
      <c r="A26" s="7" t="n">
        <v>10</v>
      </c>
      <c r="B26" s="15" t="n">
        <f aca="false">B25+C26-D26+E26</f>
        <v>189389.093967369</v>
      </c>
      <c r="C26" s="15" t="n">
        <f aca="false">B25*$B$6/100</f>
        <v>17375.1462355385</v>
      </c>
      <c r="D26" s="15" t="n">
        <f aca="false">B25*$B$7/100</f>
        <v>5212.54387066154</v>
      </c>
      <c r="E26" s="15" t="n">
        <f aca="false">B25*$B$8/100</f>
        <v>3475.0292471077</v>
      </c>
    </row>
    <row r="27" customFormat="false" ht="15" hidden="false" customHeight="true" outlineLevel="0" collapsed="false">
      <c r="A27" s="7" t="n">
        <v>11</v>
      </c>
      <c r="B27" s="15" t="n">
        <f aca="false">B26+C27-D27+E27</f>
        <v>206434.112424433</v>
      </c>
      <c r="C27" s="15" t="n">
        <f aca="false">B26*$B$6/100</f>
        <v>18938.9093967369</v>
      </c>
      <c r="D27" s="15" t="n">
        <f aca="false">B26*$B$7/100</f>
        <v>5681.67281902108</v>
      </c>
      <c r="E27" s="15" t="n">
        <f aca="false">B26*$B$8/100</f>
        <v>3787.78187934739</v>
      </c>
    </row>
    <row r="28" customFormat="false" ht="15" hidden="false" customHeight="true" outlineLevel="0" collapsed="false">
      <c r="A28" s="7" t="n">
        <v>12</v>
      </c>
      <c r="B28" s="15" t="n">
        <f aca="false">B27+C28-D28+E28</f>
        <v>225013.182542632</v>
      </c>
      <c r="C28" s="15" t="n">
        <f aca="false">B27*$B$6/100</f>
        <v>20643.4112424433</v>
      </c>
      <c r="D28" s="15" t="n">
        <f aca="false">B27*$B$7/100</f>
        <v>6193.02337273298</v>
      </c>
      <c r="E28" s="15" t="n">
        <f aca="false">B27*$B$8/100</f>
        <v>4128.68224848865</v>
      </c>
    </row>
    <row r="29" customFormat="false" ht="15" hidden="false" customHeight="true" outlineLevel="0" collapsed="false">
      <c r="A29" s="7" t="n">
        <v>13</v>
      </c>
      <c r="B29" s="15" t="n">
        <f aca="false">B28+C29-D29+E29</f>
        <v>245264.368971468</v>
      </c>
      <c r="C29" s="15" t="n">
        <f aca="false">B28*$B$6/100</f>
        <v>22501.3182542632</v>
      </c>
      <c r="D29" s="15" t="n">
        <f aca="false">B28*$B$7/100</f>
        <v>6750.39547627895</v>
      </c>
      <c r="E29" s="15" t="n">
        <f aca="false">B28*$B$8/100</f>
        <v>4500.26365085263</v>
      </c>
    </row>
    <row r="30" customFormat="false" ht="15" hidden="false" customHeight="true" outlineLevel="0" collapsed="false">
      <c r="A30" s="7" t="n">
        <v>14</v>
      </c>
      <c r="B30" s="15" t="n">
        <f aca="false">B29+C30-D30+E30</f>
        <v>267338.162178901</v>
      </c>
      <c r="C30" s="15" t="n">
        <f aca="false">B29*$B$6/100</f>
        <v>24526.4368971468</v>
      </c>
      <c r="D30" s="15" t="n">
        <f aca="false">B29*$B$7/100</f>
        <v>7357.93106914405</v>
      </c>
      <c r="E30" s="15" t="n">
        <f aca="false">B29*$B$8/100</f>
        <v>4905.28737942937</v>
      </c>
    </row>
    <row r="31" customFormat="false" ht="15" hidden="false" customHeight="true" outlineLevel="0" collapsed="false">
      <c r="A31" s="7" t="n">
        <v>15</v>
      </c>
      <c r="B31" s="15" t="n">
        <f aca="false">B30+C31-D31+E31</f>
        <v>291398.596775002</v>
      </c>
      <c r="C31" s="15" t="n">
        <f aca="false">B30*$B$6/100</f>
        <v>26733.8162178901</v>
      </c>
      <c r="D31" s="15" t="n">
        <f aca="false">B30*$B$7/100</f>
        <v>8020.14486536702</v>
      </c>
      <c r="E31" s="15" t="n">
        <f aca="false">B30*$B$8/100</f>
        <v>5346.76324357801</v>
      </c>
    </row>
    <row r="32" customFormat="false" ht="15" hidden="false" customHeight="true" outlineLevel="0" collapsed="false">
      <c r="A32" s="7" t="n">
        <v>16</v>
      </c>
      <c r="B32" s="15" t="n">
        <f aca="false">B31+C32-D32+E32</f>
        <v>317624.470484752</v>
      </c>
      <c r="C32" s="15" t="n">
        <f aca="false">B31*$B$6/100</f>
        <v>29139.8596775002</v>
      </c>
      <c r="D32" s="15" t="n">
        <f aca="false">B31*$B$7/100</f>
        <v>8741.95790325005</v>
      </c>
      <c r="E32" s="15" t="n">
        <f aca="false">B31*$B$8/100</f>
        <v>5827.97193550003</v>
      </c>
    </row>
    <row r="33" customFormat="false" ht="15" hidden="false" customHeight="true" outlineLevel="0" collapsed="false">
      <c r="A33" s="7" t="n">
        <v>17</v>
      </c>
      <c r="B33" s="15" t="n">
        <f aca="false">B32+C33-D33+E33</f>
        <v>346210.67282838</v>
      </c>
      <c r="C33" s="15" t="n">
        <f aca="false">B32*$B$6/100</f>
        <v>31762.4470484752</v>
      </c>
      <c r="D33" s="15" t="n">
        <f aca="false">B32*$B$7/100</f>
        <v>9528.73411454255</v>
      </c>
      <c r="E33" s="15" t="n">
        <f aca="false">B32*$B$8/100</f>
        <v>6352.48940969504</v>
      </c>
    </row>
    <row r="34" customFormat="false" ht="15" hidden="false" customHeight="true" outlineLevel="0" collapsed="false">
      <c r="A34" s="7" t="n">
        <v>18</v>
      </c>
      <c r="B34" s="15" t="n">
        <f aca="false">B33+C34-D34+E34</f>
        <v>377369.633382934</v>
      </c>
      <c r="C34" s="15" t="n">
        <f aca="false">B33*$B$6/100</f>
        <v>34621.067282838</v>
      </c>
      <c r="D34" s="15" t="n">
        <f aca="false">B33*$B$7/100</f>
        <v>10386.3201848514</v>
      </c>
      <c r="E34" s="15" t="n">
        <f aca="false">B33*$B$8/100</f>
        <v>6924.21345656759</v>
      </c>
    </row>
  </sheetData>
  <mergeCells count="5">
    <mergeCell ref="A1:E1"/>
    <mergeCell ref="A2:E2"/>
    <mergeCell ref="A4:E4"/>
    <mergeCell ref="A10:E10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2"/>
    <col collapsed="false" customWidth="true" hidden="false" outlineLevel="0" max="9" min="6" style="1" width="18"/>
  </cols>
  <sheetData>
    <row r="1" customFormat="false" ht="30" hidden="false" customHeight="true" outlineLevel="0" collapsed="false">
      <c r="A1" s="2" t="s">
        <v>34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147</v>
      </c>
      <c r="B2" s="3"/>
      <c r="C2" s="3"/>
      <c r="D2" s="3"/>
      <c r="E2" s="3"/>
    </row>
    <row r="4" customFormat="false" ht="24" hidden="false" customHeight="true" outlineLevel="0" collapsed="false">
      <c r="A4" s="4" t="s">
        <v>68</v>
      </c>
      <c r="B4" s="4"/>
      <c r="C4" s="4"/>
      <c r="D4" s="4"/>
      <c r="E4" s="4"/>
    </row>
    <row r="5" customFormat="false" ht="15" hidden="false" customHeight="true" outlineLevel="0" collapsed="false">
      <c r="A5" s="6" t="s">
        <v>148</v>
      </c>
      <c r="B5" s="6" t="s">
        <v>149</v>
      </c>
      <c r="C5" s="6" t="s">
        <v>150</v>
      </c>
      <c r="D5" s="6" t="s">
        <v>151</v>
      </c>
      <c r="E5" s="6"/>
    </row>
    <row r="6" customFormat="false" ht="15" hidden="false" customHeight="true" outlineLevel="0" collapsed="false">
      <c r="A6" s="8" t="s">
        <v>152</v>
      </c>
      <c r="B6" s="14" t="n">
        <v>8</v>
      </c>
      <c r="C6" s="12" t="n">
        <v>140000</v>
      </c>
    </row>
    <row r="7" customFormat="false" ht="15" hidden="false" customHeight="true" outlineLevel="0" collapsed="false">
      <c r="A7" s="8" t="s">
        <v>153</v>
      </c>
      <c r="B7" s="14" t="n">
        <v>4</v>
      </c>
      <c r="C7" s="12" t="n">
        <v>95000</v>
      </c>
    </row>
    <row r="8" customFormat="false" ht="15" hidden="false" customHeight="true" outlineLevel="0" collapsed="false">
      <c r="A8" s="8" t="s">
        <v>154</v>
      </c>
      <c r="B8" s="14" t="n">
        <v>3</v>
      </c>
      <c r="C8" s="12" t="n">
        <v>70000</v>
      </c>
    </row>
    <row r="9" customFormat="false" ht="15" hidden="false" customHeight="true" outlineLevel="0" collapsed="false">
      <c r="A9" s="8" t="s">
        <v>155</v>
      </c>
      <c r="B9" s="14" t="n">
        <v>2</v>
      </c>
      <c r="C9" s="12" t="n">
        <v>120000</v>
      </c>
    </row>
    <row r="11" customFormat="false" ht="15" hidden="false" customHeight="true" outlineLevel="0" collapsed="false">
      <c r="A11" s="10" t="s">
        <v>156</v>
      </c>
      <c r="B11" s="13" t="n">
        <v>25</v>
      </c>
    </row>
    <row r="13" customFormat="false" ht="24" hidden="false" customHeight="true" outlineLevel="0" collapsed="false">
      <c r="A13" s="4" t="s">
        <v>110</v>
      </c>
      <c r="B13" s="4"/>
      <c r="C13" s="4"/>
      <c r="D13" s="4"/>
      <c r="E13" s="4"/>
    </row>
    <row r="14" customFormat="false" ht="15" hidden="false" customHeight="true" outlineLevel="0" collapsed="false">
      <c r="A14" s="6" t="s">
        <v>148</v>
      </c>
      <c r="B14" s="6" t="s">
        <v>157</v>
      </c>
      <c r="C14" s="6" t="s">
        <v>158</v>
      </c>
      <c r="D14" s="6" t="s">
        <v>159</v>
      </c>
      <c r="E14" s="6" t="s">
        <v>160</v>
      </c>
    </row>
    <row r="15" customFormat="false" ht="15" hidden="false" customHeight="true" outlineLevel="0" collapsed="false">
      <c r="A15" s="8" t="s">
        <v>152</v>
      </c>
      <c r="B15" s="18" t="n">
        <f aca="false">B6</f>
        <v>8</v>
      </c>
      <c r="C15" s="15" t="n">
        <f aca="false">C6</f>
        <v>140000</v>
      </c>
      <c r="D15" s="15" t="n">
        <f aca="false">B6*C6*(1+$B$11/100)</f>
        <v>1400000</v>
      </c>
      <c r="E15" s="15" t="n">
        <f aca="false">D15/12</f>
        <v>116666.666666667</v>
      </c>
    </row>
    <row r="16" customFormat="false" ht="15" hidden="false" customHeight="true" outlineLevel="0" collapsed="false">
      <c r="A16" s="8" t="s">
        <v>153</v>
      </c>
      <c r="B16" s="18" t="n">
        <f aca="false">B7</f>
        <v>4</v>
      </c>
      <c r="C16" s="15" t="n">
        <f aca="false">C7</f>
        <v>95000</v>
      </c>
      <c r="D16" s="15" t="n">
        <f aca="false">B7*C7*(1+$B$11/100)</f>
        <v>475000</v>
      </c>
      <c r="E16" s="15" t="n">
        <f aca="false">D16/12</f>
        <v>39583.3333333333</v>
      </c>
    </row>
    <row r="17" customFormat="false" ht="15" hidden="false" customHeight="true" outlineLevel="0" collapsed="false">
      <c r="A17" s="8" t="s">
        <v>154</v>
      </c>
      <c r="B17" s="18" t="n">
        <f aca="false">B8</f>
        <v>3</v>
      </c>
      <c r="C17" s="15" t="n">
        <f aca="false">C8</f>
        <v>70000</v>
      </c>
      <c r="D17" s="15" t="n">
        <f aca="false">B8*C8*(1+$B$11/100)</f>
        <v>262500</v>
      </c>
      <c r="E17" s="15" t="n">
        <f aca="false">D17/12</f>
        <v>21875</v>
      </c>
    </row>
    <row r="18" customFormat="false" ht="15" hidden="false" customHeight="true" outlineLevel="0" collapsed="false">
      <c r="A18" s="8" t="s">
        <v>155</v>
      </c>
      <c r="B18" s="18" t="n">
        <f aca="false">B9</f>
        <v>2</v>
      </c>
      <c r="C18" s="15" t="n">
        <f aca="false">C9</f>
        <v>120000</v>
      </c>
      <c r="D18" s="15" t="n">
        <f aca="false">B9*C9*(1+$B$11/100)</f>
        <v>300000</v>
      </c>
      <c r="E18" s="15" t="n">
        <f aca="false">D18/12</f>
        <v>25000</v>
      </c>
    </row>
    <row r="19" customFormat="false" ht="17.25" hidden="false" customHeight="true" outlineLevel="0" collapsed="false">
      <c r="A19" s="23" t="s">
        <v>161</v>
      </c>
      <c r="B19" s="18" t="n">
        <f aca="false">SUM(B15:B18)</f>
        <v>17</v>
      </c>
      <c r="D19" s="20" t="n">
        <f aca="false">SUM(D15:D18)</f>
        <v>2437500</v>
      </c>
      <c r="E19" s="20" t="n">
        <f aca="false">SUM(E15:E18)</f>
        <v>203125</v>
      </c>
    </row>
    <row r="20" customFormat="false" ht="15" hidden="false" customHeight="true" outlineLevel="0" collapsed="false">
      <c r="A20" s="10" t="s">
        <v>162</v>
      </c>
      <c r="B20" s="15" t="n">
        <f aca="false">IF(B19&gt;0,D19/B19,0)</f>
        <v>143382.352941176</v>
      </c>
    </row>
  </sheetData>
  <mergeCells count="4">
    <mergeCell ref="A1:E1"/>
    <mergeCell ref="A2:E2"/>
    <mergeCell ref="A4:E4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2"/>
    <col collapsed="false" customWidth="true" hidden="false" outlineLevel="0" max="9" min="6" style="1" width="18"/>
  </cols>
  <sheetData>
    <row r="1" customFormat="false" ht="30" hidden="false" customHeight="true" outlineLevel="0" collapsed="false">
      <c r="A1" s="2" t="s">
        <v>163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164</v>
      </c>
      <c r="B2" s="3"/>
      <c r="C2" s="3"/>
      <c r="D2" s="3"/>
      <c r="E2" s="3"/>
    </row>
    <row r="4" customFormat="false" ht="24" hidden="false" customHeight="true" outlineLevel="0" collapsed="false">
      <c r="A4" s="4" t="s">
        <v>165</v>
      </c>
      <c r="B4" s="4"/>
      <c r="C4" s="4"/>
      <c r="D4" s="4"/>
      <c r="E4" s="4"/>
    </row>
    <row r="5" customFormat="false" ht="15" hidden="false" customHeight="true" outlineLevel="0" collapsed="false">
      <c r="A5" s="10" t="s">
        <v>108</v>
      </c>
      <c r="B5" s="12" t="n">
        <v>120000</v>
      </c>
    </row>
    <row r="6" customFormat="false" ht="15" hidden="false" customHeight="true" outlineLevel="0" collapsed="false">
      <c r="A6" s="10" t="s">
        <v>166</v>
      </c>
      <c r="B6" s="12" t="n">
        <v>30000</v>
      </c>
    </row>
    <row r="7" customFormat="false" ht="15" hidden="false" customHeight="true" outlineLevel="0" collapsed="false">
      <c r="A7" s="10" t="s">
        <v>167</v>
      </c>
      <c r="B7" s="12" t="n">
        <v>180000</v>
      </c>
    </row>
    <row r="8" customFormat="false" ht="15" hidden="false" customHeight="true" outlineLevel="0" collapsed="false">
      <c r="A8" s="10" t="s">
        <v>168</v>
      </c>
      <c r="B8" s="12" t="n">
        <v>25000</v>
      </c>
    </row>
    <row r="9" customFormat="false" ht="15" hidden="false" customHeight="true" outlineLevel="0" collapsed="false">
      <c r="A9" s="10" t="s">
        <v>169</v>
      </c>
      <c r="B9" s="12" t="n">
        <v>8000</v>
      </c>
    </row>
    <row r="10" customFormat="false" ht="15" hidden="false" customHeight="true" outlineLevel="0" collapsed="false">
      <c r="A10" s="10" t="s">
        <v>170</v>
      </c>
      <c r="B10" s="12" t="n">
        <v>5000</v>
      </c>
    </row>
    <row r="11" customFormat="false" ht="15" hidden="false" customHeight="true" outlineLevel="0" collapsed="false">
      <c r="A11" s="10" t="s">
        <v>171</v>
      </c>
      <c r="B11" s="12" t="n">
        <v>3000</v>
      </c>
    </row>
    <row r="13" customFormat="false" ht="24" hidden="false" customHeight="true" outlineLevel="0" collapsed="false">
      <c r="A13" s="4" t="s">
        <v>172</v>
      </c>
      <c r="B13" s="4"/>
      <c r="C13" s="4"/>
      <c r="D13" s="4"/>
      <c r="E13" s="4"/>
    </row>
    <row r="14" customFormat="false" ht="15" hidden="false" customHeight="true" outlineLevel="0" collapsed="false">
      <c r="A14" s="10" t="s">
        <v>117</v>
      </c>
      <c r="B14" s="15" t="n">
        <f aca="false">B5</f>
        <v>120000</v>
      </c>
    </row>
    <row r="15" customFormat="false" ht="15" hidden="false" customHeight="true" outlineLevel="0" collapsed="false">
      <c r="A15" s="10" t="s">
        <v>173</v>
      </c>
      <c r="B15" s="21" t="n">
        <f aca="false">-B6</f>
        <v>-30000</v>
      </c>
    </row>
    <row r="16" customFormat="false" ht="17.25" hidden="false" customHeight="true" outlineLevel="0" collapsed="false">
      <c r="A16" s="24" t="s">
        <v>174</v>
      </c>
      <c r="B16" s="25" t="n">
        <f aca="false">B5-B6</f>
        <v>90000</v>
      </c>
    </row>
    <row r="17" customFormat="false" ht="15" hidden="false" customHeight="true" outlineLevel="0" collapsed="false">
      <c r="A17" s="10" t="s">
        <v>175</v>
      </c>
      <c r="B17" s="21" t="n">
        <f aca="false">-B7</f>
        <v>-180000</v>
      </c>
    </row>
    <row r="18" customFormat="false" ht="15" hidden="false" customHeight="true" outlineLevel="0" collapsed="false">
      <c r="A18" s="10" t="s">
        <v>176</v>
      </c>
      <c r="B18" s="21" t="n">
        <f aca="false">-B8</f>
        <v>-25000</v>
      </c>
    </row>
    <row r="19" customFormat="false" ht="15" hidden="false" customHeight="true" outlineLevel="0" collapsed="false">
      <c r="A19" s="10" t="s">
        <v>177</v>
      </c>
      <c r="B19" s="21" t="n">
        <f aca="false">-B9</f>
        <v>-8000</v>
      </c>
    </row>
    <row r="20" customFormat="false" ht="15" hidden="false" customHeight="true" outlineLevel="0" collapsed="false">
      <c r="A20" s="10" t="s">
        <v>178</v>
      </c>
      <c r="B20" s="21" t="n">
        <f aca="false">-B10</f>
        <v>-5000</v>
      </c>
    </row>
    <row r="21" customFormat="false" ht="15" hidden="false" customHeight="true" outlineLevel="0" collapsed="false">
      <c r="A21" s="10" t="s">
        <v>179</v>
      </c>
      <c r="B21" s="21" t="n">
        <f aca="false">-B11</f>
        <v>-3000</v>
      </c>
    </row>
    <row r="22" customFormat="false" ht="15" hidden="false" customHeight="true" outlineLevel="0" collapsed="false">
      <c r="A22" s="24" t="s">
        <v>180</v>
      </c>
      <c r="B22" s="15" t="n">
        <f aca="false">B7+B8+B9+B10+B11</f>
        <v>221000</v>
      </c>
    </row>
    <row r="23" customFormat="false" ht="17.25" hidden="false" customHeight="true" outlineLevel="0" collapsed="false">
      <c r="A23" s="26" t="s">
        <v>181</v>
      </c>
      <c r="B23" s="25" t="n">
        <f aca="false">B16-B22</f>
        <v>-131000</v>
      </c>
    </row>
    <row r="25" customFormat="false" ht="24" hidden="false" customHeight="true" outlineLevel="0" collapsed="false">
      <c r="A25" s="4" t="s">
        <v>182</v>
      </c>
      <c r="B25" s="4"/>
      <c r="C25" s="4"/>
      <c r="D25" s="4"/>
      <c r="E25" s="4"/>
    </row>
    <row r="26" customFormat="false" ht="15" hidden="false" customHeight="true" outlineLevel="0" collapsed="false">
      <c r="A26" s="10" t="s">
        <v>88</v>
      </c>
      <c r="B26" s="27" t="n">
        <f aca="false">IF(B5&gt;0,B16/B5,0)</f>
        <v>0.75</v>
      </c>
    </row>
    <row r="27" customFormat="false" ht="15" hidden="false" customHeight="true" outlineLevel="0" collapsed="false">
      <c r="A27" s="10" t="s">
        <v>183</v>
      </c>
      <c r="B27" s="27" t="n">
        <f aca="false">IF(B5&gt;0,B23/B5,0)</f>
        <v>-1.09166666666667</v>
      </c>
    </row>
    <row r="28" customFormat="false" ht="15" hidden="false" customHeight="true" outlineLevel="0" collapsed="false">
      <c r="A28" s="10" t="s">
        <v>184</v>
      </c>
      <c r="B28" s="21" t="n">
        <f aca="false">B23*12</f>
        <v>-1572000</v>
      </c>
    </row>
  </sheetData>
  <mergeCells count="5">
    <mergeCell ref="A1:E1"/>
    <mergeCell ref="A2:E2"/>
    <mergeCell ref="A4:E4"/>
    <mergeCell ref="A13:E13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2"/>
    <col collapsed="false" customWidth="true" hidden="false" outlineLevel="0" max="9" min="6" style="1" width="18"/>
  </cols>
  <sheetData>
    <row r="1" customFormat="false" ht="30" hidden="false" customHeight="true" outlineLevel="0" collapsed="false">
      <c r="A1" s="2" t="s">
        <v>40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185</v>
      </c>
      <c r="B2" s="3"/>
      <c r="C2" s="3"/>
      <c r="D2" s="3"/>
      <c r="E2" s="3"/>
    </row>
    <row r="4" customFormat="false" ht="24" hidden="false" customHeight="true" outlineLevel="0" collapsed="false">
      <c r="A4" s="4" t="s">
        <v>68</v>
      </c>
      <c r="B4" s="4"/>
      <c r="C4" s="4"/>
      <c r="D4" s="4"/>
      <c r="E4" s="4"/>
    </row>
    <row r="5" customFormat="false" ht="15" hidden="false" customHeight="true" outlineLevel="0" collapsed="false">
      <c r="A5" s="10" t="s">
        <v>134</v>
      </c>
      <c r="B5" s="12" t="n">
        <v>80000</v>
      </c>
    </row>
    <row r="6" customFormat="false" ht="15" hidden="false" customHeight="true" outlineLevel="0" collapsed="false">
      <c r="A6" s="10" t="s">
        <v>186</v>
      </c>
      <c r="B6" s="13" t="n">
        <v>8</v>
      </c>
    </row>
    <row r="7" customFormat="false" ht="15" hidden="false" customHeight="true" outlineLevel="0" collapsed="false">
      <c r="A7" s="10" t="s">
        <v>107</v>
      </c>
      <c r="B7" s="12" t="n">
        <v>120000</v>
      </c>
    </row>
    <row r="8" customFormat="false" ht="15" hidden="false" customHeight="true" outlineLevel="0" collapsed="false">
      <c r="A8" s="10" t="s">
        <v>106</v>
      </c>
      <c r="B8" s="12" t="n">
        <v>2000000</v>
      </c>
    </row>
    <row r="9" customFormat="false" ht="15" hidden="false" customHeight="true" outlineLevel="0" collapsed="false">
      <c r="A9" s="10" t="s">
        <v>187</v>
      </c>
      <c r="B9" s="28" t="n">
        <v>1.5</v>
      </c>
    </row>
    <row r="10" customFormat="false" ht="15" hidden="false" customHeight="true" outlineLevel="0" collapsed="false">
      <c r="A10" s="10" t="s">
        <v>188</v>
      </c>
      <c r="B10" s="28" t="n">
        <v>0.5</v>
      </c>
    </row>
    <row r="12" customFormat="false" ht="24" hidden="false" customHeight="true" outlineLevel="0" collapsed="false">
      <c r="A12" s="4" t="s">
        <v>189</v>
      </c>
      <c r="B12" s="4"/>
      <c r="C12" s="4"/>
      <c r="D12" s="4"/>
      <c r="E12" s="4"/>
    </row>
    <row r="13" customFormat="false" ht="15" hidden="false" customHeight="true" outlineLevel="0" collapsed="false">
      <c r="A13" s="6"/>
      <c r="B13" s="6" t="s">
        <v>190</v>
      </c>
      <c r="C13" s="6" t="s">
        <v>191</v>
      </c>
      <c r="D13" s="6" t="s">
        <v>192</v>
      </c>
      <c r="E13" s="6"/>
    </row>
    <row r="14" customFormat="false" ht="15" hidden="false" customHeight="true" outlineLevel="0" collapsed="false">
      <c r="A14" s="10" t="s">
        <v>193</v>
      </c>
      <c r="B14" s="27" t="n">
        <f aca="false">B6*B10/100</f>
        <v>0.04</v>
      </c>
      <c r="C14" s="27" t="n">
        <f aca="false">B6/100</f>
        <v>0.08</v>
      </c>
      <c r="D14" s="27" t="n">
        <f aca="false">B6*B9/100</f>
        <v>0.12</v>
      </c>
    </row>
    <row r="15" customFormat="false" ht="15" hidden="false" customHeight="true" outlineLevel="0" collapsed="false">
      <c r="A15" s="10" t="s">
        <v>139</v>
      </c>
      <c r="B15" s="15" t="n">
        <f aca="false">B5*(1+B14)^12</f>
        <v>128082.577485415</v>
      </c>
      <c r="C15" s="15" t="n">
        <f aca="false">B5*(1+C14)^12</f>
        <v>201453.609345518</v>
      </c>
      <c r="D15" s="15" t="n">
        <f aca="false">B5*(1+D14)^12</f>
        <v>311678.079403758</v>
      </c>
    </row>
    <row r="16" customFormat="false" ht="15" hidden="false" customHeight="true" outlineLevel="0" collapsed="false">
      <c r="A16" s="10" t="s">
        <v>194</v>
      </c>
      <c r="B16" s="15" t="n">
        <f aca="false">B15*12</f>
        <v>1536990.92982497</v>
      </c>
      <c r="C16" s="15" t="n">
        <f aca="false">C15*12</f>
        <v>2417443.31214622</v>
      </c>
      <c r="D16" s="15" t="n">
        <f aca="false">D15*12</f>
        <v>3740136.9528451</v>
      </c>
    </row>
    <row r="17" customFormat="false" ht="15" hidden="false" customHeight="true" outlineLevel="0" collapsed="false">
      <c r="A17" s="10" t="s">
        <v>195</v>
      </c>
      <c r="B17" s="21" t="n">
        <f aca="false">B8-12*(B7-(B5+B15)/2)</f>
        <v>1808495.46491249</v>
      </c>
      <c r="C17" s="21" t="n">
        <f aca="false">B8-12*(B7-(B5+C15)/2)</f>
        <v>2248721.65607311</v>
      </c>
      <c r="D17" s="21" t="n">
        <f aca="false">B8-12*(B7-(B5+D15)/2)</f>
        <v>2910068.47642255</v>
      </c>
    </row>
    <row r="18" customFormat="false" ht="15" hidden="false" customHeight="true" outlineLevel="0" collapsed="false">
      <c r="A18" s="10" t="s">
        <v>83</v>
      </c>
      <c r="B18" s="16" t="str">
        <f aca="false">IF(B17&gt;=0,"Funded","Out of Cash")</f>
        <v>Funded</v>
      </c>
      <c r="C18" s="16" t="str">
        <f aca="false">IF(C17&gt;=0,"Funded","Out of Cash")</f>
        <v>Funded</v>
      </c>
      <c r="D18" s="16" t="str">
        <f aca="false">IF(D17&gt;=0,"Funded","Out of Cash")</f>
        <v>Funded</v>
      </c>
    </row>
  </sheetData>
  <mergeCells count="4">
    <mergeCell ref="A1:E1"/>
    <mergeCell ref="A2:E2"/>
    <mergeCell ref="A4:E4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2"/>
    <col collapsed="false" customWidth="true" hidden="false" outlineLevel="0" max="9" min="6" style="1" width="18"/>
  </cols>
  <sheetData>
    <row r="1" customFormat="false" ht="30" hidden="false" customHeight="true" outlineLevel="0" collapsed="false">
      <c r="A1" s="2" t="s">
        <v>43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196</v>
      </c>
      <c r="B2" s="3"/>
      <c r="C2" s="3"/>
      <c r="D2" s="3"/>
      <c r="E2" s="3"/>
    </row>
    <row r="4" customFormat="false" ht="24" hidden="false" customHeight="true" outlineLevel="0" collapsed="false">
      <c r="A4" s="4" t="s">
        <v>68</v>
      </c>
      <c r="B4" s="4"/>
      <c r="C4" s="4"/>
      <c r="D4" s="4"/>
      <c r="E4" s="4"/>
    </row>
    <row r="5" customFormat="false" ht="15" hidden="false" customHeight="true" outlineLevel="0" collapsed="false">
      <c r="A5" s="10" t="s">
        <v>197</v>
      </c>
      <c r="B5" s="12" t="n">
        <v>120000</v>
      </c>
    </row>
    <row r="6" customFormat="false" ht="15" hidden="false" customHeight="true" outlineLevel="0" collapsed="false">
      <c r="A6" s="10" t="s">
        <v>198</v>
      </c>
      <c r="B6" s="12" t="n">
        <v>150000</v>
      </c>
    </row>
    <row r="7" customFormat="false" ht="15" hidden="false" customHeight="true" outlineLevel="0" collapsed="false">
      <c r="A7" s="10" t="s">
        <v>106</v>
      </c>
      <c r="B7" s="12" t="n">
        <v>2000000</v>
      </c>
    </row>
    <row r="9" customFormat="false" ht="24" hidden="false" customHeight="true" outlineLevel="0" collapsed="false">
      <c r="A9" s="4" t="s">
        <v>199</v>
      </c>
      <c r="B9" s="4"/>
      <c r="C9" s="4"/>
      <c r="D9" s="4"/>
      <c r="E9" s="4"/>
    </row>
    <row r="10" customFormat="false" ht="15" hidden="false" customHeight="true" outlineLevel="0" collapsed="false">
      <c r="A10" s="29" t="s">
        <v>200</v>
      </c>
      <c r="B10" s="6" t="s">
        <v>201</v>
      </c>
      <c r="C10" s="6" t="s">
        <v>202</v>
      </c>
      <c r="D10" s="6" t="s">
        <v>203</v>
      </c>
      <c r="E10" s="6" t="s">
        <v>204</v>
      </c>
      <c r="F10" s="6" t="s">
        <v>205</v>
      </c>
      <c r="G10" s="6" t="s">
        <v>206</v>
      </c>
      <c r="H10" s="6" t="s">
        <v>207</v>
      </c>
    </row>
    <row r="11" customFormat="false" ht="15" hidden="false" customHeight="true" outlineLevel="0" collapsed="false">
      <c r="A11" s="30" t="s">
        <v>201</v>
      </c>
      <c r="B11" s="18" t="n">
        <f aca="false">IF($B$6*(1+-30/100)-$B$5*(1+-30/100)&lt;=0,"Inf",ROUND($B$7/($B$6*(1+-30/100)-$B$5*(1+-30/100)),0))</f>
        <v>95</v>
      </c>
      <c r="C11" s="18" t="n">
        <f aca="false">IF($B$6*(1+-20/100)-$B$5*(1+-30/100)&lt;=0,"Inf",ROUND($B$7/($B$6*(1+-20/100)-$B$5*(1+-30/100)),0))</f>
        <v>56</v>
      </c>
      <c r="D11" s="18" t="n">
        <f aca="false">IF($B$6*(1+-10/100)-$B$5*(1+-30/100)&lt;=0,"Inf",ROUND($B$7/($B$6*(1+-10/100)-$B$5*(1+-30/100)),0))</f>
        <v>39</v>
      </c>
      <c r="E11" s="18" t="n">
        <f aca="false">IF($B$6*(1+0/100)-$B$5*(1+-30/100)&lt;=0,"Inf",ROUND($B$7/($B$6*(1+0/100)-$B$5*(1+-30/100)),0))</f>
        <v>30</v>
      </c>
      <c r="F11" s="18" t="n">
        <f aca="false">IF($B$6*(1+10/100)-$B$5*(1+-30/100)&lt;=0,"Inf",ROUND($B$7/($B$6*(1+10/100)-$B$5*(1+-30/100)),0))</f>
        <v>25</v>
      </c>
      <c r="G11" s="18" t="n">
        <f aca="false">IF($B$6*(1+20/100)-$B$5*(1+-30/100)&lt;=0,"Inf",ROUND($B$7/($B$6*(1+20/100)-$B$5*(1+-30/100)),0))</f>
        <v>21</v>
      </c>
      <c r="H11" s="18" t="n">
        <f aca="false">IF($B$6*(1+30/100)-$B$5*(1+-30/100)&lt;=0,"Inf",ROUND($B$7/($B$6*(1+30/100)-$B$5*(1+-30/100)),0))</f>
        <v>18</v>
      </c>
    </row>
    <row r="12" customFormat="false" ht="15" hidden="false" customHeight="true" outlineLevel="0" collapsed="false">
      <c r="A12" s="30" t="s">
        <v>202</v>
      </c>
      <c r="B12" s="18" t="n">
        <f aca="false">IF($B$6*(1+-30/100)-$B$5*(1+-20/100)&lt;=0,"Inf",ROUND($B$7/($B$6*(1+-30/100)-$B$5*(1+-20/100)),0))</f>
        <v>222</v>
      </c>
      <c r="C12" s="18" t="n">
        <f aca="false">IF($B$6*(1+-20/100)-$B$5*(1+-20/100)&lt;=0,"Inf",ROUND($B$7/($B$6*(1+-20/100)-$B$5*(1+-20/100)),0))</f>
        <v>83</v>
      </c>
      <c r="D12" s="18" t="n">
        <f aca="false">IF($B$6*(1+-10/100)-$B$5*(1+-20/100)&lt;=0,"Inf",ROUND($B$7/($B$6*(1+-10/100)-$B$5*(1+-20/100)),0))</f>
        <v>51</v>
      </c>
      <c r="E12" s="18" t="n">
        <f aca="false">IF($B$6*(1+0/100)-$B$5*(1+-20/100)&lt;=0,"Inf",ROUND($B$7/($B$6*(1+0/100)-$B$5*(1+-20/100)),0))</f>
        <v>37</v>
      </c>
      <c r="F12" s="18" t="n">
        <f aca="false">IF($B$6*(1+10/100)-$B$5*(1+-20/100)&lt;=0,"Inf",ROUND($B$7/($B$6*(1+10/100)-$B$5*(1+-20/100)),0))</f>
        <v>29</v>
      </c>
      <c r="G12" s="18" t="n">
        <f aca="false">IF($B$6*(1+20/100)-$B$5*(1+-20/100)&lt;=0,"Inf",ROUND($B$7/($B$6*(1+20/100)-$B$5*(1+-20/100)),0))</f>
        <v>24</v>
      </c>
      <c r="H12" s="18" t="n">
        <f aca="false">IF($B$6*(1+30/100)-$B$5*(1+-20/100)&lt;=0,"Inf",ROUND($B$7/($B$6*(1+30/100)-$B$5*(1+-20/100)),0))</f>
        <v>20</v>
      </c>
    </row>
    <row r="13" customFormat="false" ht="15" hidden="false" customHeight="true" outlineLevel="0" collapsed="false">
      <c r="A13" s="30" t="s">
        <v>203</v>
      </c>
      <c r="B13" s="18" t="str">
        <f aca="false">IF($B$6*(1+-30/100)-$B$5*(1+-10/100)&lt;=0,"Inf",ROUND($B$7/($B$6*(1+-30/100)-$B$5*(1+-10/100)),0))</f>
        <v>Inf</v>
      </c>
      <c r="C13" s="18" t="n">
        <f aca="false">IF($B$6*(1+-20/100)-$B$5*(1+-10/100)&lt;=0,"Inf",ROUND($B$7/($B$6*(1+-20/100)-$B$5*(1+-10/100)),0))</f>
        <v>167</v>
      </c>
      <c r="D13" s="18" t="n">
        <f aca="false">IF($B$6*(1+-10/100)-$B$5*(1+-10/100)&lt;=0,"Inf",ROUND($B$7/($B$6*(1+-10/100)-$B$5*(1+-10/100)),0))</f>
        <v>74</v>
      </c>
      <c r="E13" s="18" t="n">
        <f aca="false">IF($B$6*(1+0/100)-$B$5*(1+-10/100)&lt;=0,"Inf",ROUND($B$7/($B$6*(1+0/100)-$B$5*(1+-10/100)),0))</f>
        <v>48</v>
      </c>
      <c r="F13" s="18" t="n">
        <f aca="false">IF($B$6*(1+10/100)-$B$5*(1+-10/100)&lt;=0,"Inf",ROUND($B$7/($B$6*(1+10/100)-$B$5*(1+-10/100)),0))</f>
        <v>35</v>
      </c>
      <c r="G13" s="18" t="n">
        <f aca="false">IF($B$6*(1+20/100)-$B$5*(1+-10/100)&lt;=0,"Inf",ROUND($B$7/($B$6*(1+20/100)-$B$5*(1+-10/100)),0))</f>
        <v>28</v>
      </c>
      <c r="H13" s="18" t="n">
        <f aca="false">IF($B$6*(1+30/100)-$B$5*(1+-10/100)&lt;=0,"Inf",ROUND($B$7/($B$6*(1+30/100)-$B$5*(1+-10/100)),0))</f>
        <v>23</v>
      </c>
    </row>
    <row r="14" customFormat="false" ht="15" hidden="false" customHeight="true" outlineLevel="0" collapsed="false">
      <c r="A14" s="30" t="s">
        <v>204</v>
      </c>
      <c r="B14" s="18" t="str">
        <f aca="false">IF($B$6*(1+-30/100)-$B$5*(1+0/100)&lt;=0,"Inf",ROUND($B$7/($B$6*(1+-30/100)-$B$5*(1+0/100)),0))</f>
        <v>Inf</v>
      </c>
      <c r="C14" s="18" t="str">
        <f aca="false">IF($B$6*(1+-20/100)-$B$5*(1+0/100)&lt;=0,"Inf",ROUND($B$7/($B$6*(1+-20/100)-$B$5*(1+0/100)),0))</f>
        <v>Inf</v>
      </c>
      <c r="D14" s="18" t="n">
        <f aca="false">IF($B$6*(1+-10/100)-$B$5*(1+0/100)&lt;=0,"Inf",ROUND($B$7/($B$6*(1+-10/100)-$B$5*(1+0/100)),0))</f>
        <v>133</v>
      </c>
      <c r="E14" s="18" t="n">
        <f aca="false">IF($B$6*(1+0/100)-$B$5*(1+0/100)&lt;=0,"Inf",ROUND($B$7/($B$6*(1+0/100)-$B$5*(1+0/100)),0))</f>
        <v>67</v>
      </c>
      <c r="F14" s="18" t="n">
        <f aca="false">IF($B$6*(1+10/100)-$B$5*(1+0/100)&lt;=0,"Inf",ROUND($B$7/($B$6*(1+10/100)-$B$5*(1+0/100)),0))</f>
        <v>44</v>
      </c>
      <c r="G14" s="18" t="n">
        <f aca="false">IF($B$6*(1+20/100)-$B$5*(1+0/100)&lt;=0,"Inf",ROUND($B$7/($B$6*(1+20/100)-$B$5*(1+0/100)),0))</f>
        <v>33</v>
      </c>
      <c r="H14" s="18" t="n">
        <f aca="false">IF($B$6*(1+30/100)-$B$5*(1+0/100)&lt;=0,"Inf",ROUND($B$7/($B$6*(1+30/100)-$B$5*(1+0/100)),0))</f>
        <v>27</v>
      </c>
    </row>
    <row r="15" customFormat="false" ht="15" hidden="false" customHeight="true" outlineLevel="0" collapsed="false">
      <c r="A15" s="30" t="s">
        <v>205</v>
      </c>
      <c r="B15" s="18" t="str">
        <f aca="false">IF($B$6*(1+-30/100)-$B$5*(1+10/100)&lt;=0,"Inf",ROUND($B$7/($B$6*(1+-30/100)-$B$5*(1+10/100)),0))</f>
        <v>Inf</v>
      </c>
      <c r="C15" s="18" t="str">
        <f aca="false">IF($B$6*(1+-20/100)-$B$5*(1+10/100)&lt;=0,"Inf",ROUND($B$7/($B$6*(1+-20/100)-$B$5*(1+10/100)),0))</f>
        <v>Inf</v>
      </c>
      <c r="D15" s="18" t="n">
        <f aca="false">IF($B$6*(1+-10/100)-$B$5*(1+10/100)&lt;=0,"Inf",ROUND($B$7/($B$6*(1+-10/100)-$B$5*(1+10/100)),0))</f>
        <v>667</v>
      </c>
      <c r="E15" s="18" t="n">
        <f aca="false">IF($B$6*(1+0/100)-$B$5*(1+10/100)&lt;=0,"Inf",ROUND($B$7/($B$6*(1+0/100)-$B$5*(1+10/100)),0))</f>
        <v>111</v>
      </c>
      <c r="F15" s="18" t="n">
        <f aca="false">IF($B$6*(1+10/100)-$B$5*(1+10/100)&lt;=0,"Inf",ROUND($B$7/($B$6*(1+10/100)-$B$5*(1+10/100)),0))</f>
        <v>61</v>
      </c>
      <c r="G15" s="18" t="n">
        <f aca="false">IF($B$6*(1+20/100)-$B$5*(1+10/100)&lt;=0,"Inf",ROUND($B$7/($B$6*(1+20/100)-$B$5*(1+10/100)),0))</f>
        <v>42</v>
      </c>
      <c r="H15" s="18" t="n">
        <f aca="false">IF($B$6*(1+30/100)-$B$5*(1+10/100)&lt;=0,"Inf",ROUND($B$7/($B$6*(1+30/100)-$B$5*(1+10/100)),0))</f>
        <v>32</v>
      </c>
    </row>
    <row r="16" customFormat="false" ht="15" hidden="false" customHeight="true" outlineLevel="0" collapsed="false">
      <c r="A16" s="30" t="s">
        <v>206</v>
      </c>
      <c r="B16" s="18" t="str">
        <f aca="false">IF($B$6*(1+-30/100)-$B$5*(1+20/100)&lt;=0,"Inf",ROUND($B$7/($B$6*(1+-30/100)-$B$5*(1+20/100)),0))</f>
        <v>Inf</v>
      </c>
      <c r="C16" s="18" t="str">
        <f aca="false">IF($B$6*(1+-20/100)-$B$5*(1+20/100)&lt;=0,"Inf",ROUND($B$7/($B$6*(1+-20/100)-$B$5*(1+20/100)),0))</f>
        <v>Inf</v>
      </c>
      <c r="D16" s="18" t="str">
        <f aca="false">IF($B$6*(1+-10/100)-$B$5*(1+20/100)&lt;=0,"Inf",ROUND($B$7/($B$6*(1+-10/100)-$B$5*(1+20/100)),0))</f>
        <v>Inf</v>
      </c>
      <c r="E16" s="18" t="n">
        <f aca="false">IF($B$6*(1+0/100)-$B$5*(1+20/100)&lt;=0,"Inf",ROUND($B$7/($B$6*(1+0/100)-$B$5*(1+20/100)),0))</f>
        <v>333</v>
      </c>
      <c r="F16" s="18" t="n">
        <f aca="false">IF($B$6*(1+10/100)-$B$5*(1+20/100)&lt;=0,"Inf",ROUND($B$7/($B$6*(1+10/100)-$B$5*(1+20/100)),0))</f>
        <v>95</v>
      </c>
      <c r="G16" s="18" t="n">
        <f aca="false">IF($B$6*(1+20/100)-$B$5*(1+20/100)&lt;=0,"Inf",ROUND($B$7/($B$6*(1+20/100)-$B$5*(1+20/100)),0))</f>
        <v>56</v>
      </c>
      <c r="H16" s="18" t="n">
        <f aca="false">IF($B$6*(1+30/100)-$B$5*(1+20/100)&lt;=0,"Inf",ROUND($B$7/($B$6*(1+30/100)-$B$5*(1+20/100)),0))</f>
        <v>39</v>
      </c>
    </row>
    <row r="17" customFormat="false" ht="15" hidden="false" customHeight="true" outlineLevel="0" collapsed="false">
      <c r="A17" s="30" t="s">
        <v>207</v>
      </c>
      <c r="B17" s="18" t="str">
        <f aca="false">IF($B$6*(1+-30/100)-$B$5*(1+30/100)&lt;=0,"Inf",ROUND($B$7/($B$6*(1+-30/100)-$B$5*(1+30/100)),0))</f>
        <v>Inf</v>
      </c>
      <c r="C17" s="18" t="str">
        <f aca="false">IF($B$6*(1+-20/100)-$B$5*(1+30/100)&lt;=0,"Inf",ROUND($B$7/($B$6*(1+-20/100)-$B$5*(1+30/100)),0))</f>
        <v>Inf</v>
      </c>
      <c r="D17" s="18" t="str">
        <f aca="false">IF($B$6*(1+-10/100)-$B$5*(1+30/100)&lt;=0,"Inf",ROUND($B$7/($B$6*(1+-10/100)-$B$5*(1+30/100)),0))</f>
        <v>Inf</v>
      </c>
      <c r="E17" s="18" t="str">
        <f aca="false">IF($B$6*(1+0/100)-$B$5*(1+30/100)&lt;=0,"Inf",ROUND($B$7/($B$6*(1+0/100)-$B$5*(1+30/100)),0))</f>
        <v>Inf</v>
      </c>
      <c r="F17" s="18" t="n">
        <f aca="false">IF($B$6*(1+10/100)-$B$5*(1+30/100)&lt;=0,"Inf",ROUND($B$7/($B$6*(1+10/100)-$B$5*(1+30/100)),0))</f>
        <v>222</v>
      </c>
      <c r="G17" s="18" t="n">
        <f aca="false">IF($B$6*(1+20/100)-$B$5*(1+30/100)&lt;=0,"Inf",ROUND($B$7/($B$6*(1+20/100)-$B$5*(1+30/100)),0))</f>
        <v>83</v>
      </c>
      <c r="H17" s="18" t="n">
        <f aca="false">IF($B$6*(1+30/100)-$B$5*(1+30/100)&lt;=0,"Inf",ROUND($B$7/($B$6*(1+30/100)-$B$5*(1+30/100)),0))</f>
        <v>51</v>
      </c>
    </row>
  </sheetData>
  <mergeCells count="4">
    <mergeCell ref="A1:E1"/>
    <mergeCell ref="A2:E2"/>
    <mergeCell ref="A4:E4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2"/>
    <col collapsed="false" customWidth="true" hidden="false" outlineLevel="0" max="9" min="6" style="1" width="18"/>
  </cols>
  <sheetData>
    <row r="1" customFormat="false" ht="30" hidden="false" customHeight="true" outlineLevel="0" collapsed="false">
      <c r="A1" s="2" t="s">
        <v>208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209</v>
      </c>
      <c r="B2" s="3"/>
      <c r="C2" s="3"/>
      <c r="D2" s="3"/>
      <c r="E2" s="3"/>
    </row>
    <row r="4" customFormat="false" ht="24" hidden="false" customHeight="true" outlineLevel="0" collapsed="false">
      <c r="A4" s="4" t="s">
        <v>68</v>
      </c>
      <c r="B4" s="4"/>
      <c r="C4" s="4"/>
      <c r="D4" s="4"/>
      <c r="E4" s="4"/>
    </row>
    <row r="5" customFormat="false" ht="15" hidden="false" customHeight="true" outlineLevel="0" collapsed="false">
      <c r="A5" s="10" t="s">
        <v>210</v>
      </c>
      <c r="B5" s="11" t="s">
        <v>211</v>
      </c>
      <c r="C5" s="31" t="s">
        <v>212</v>
      </c>
    </row>
    <row r="6" customFormat="false" ht="15" hidden="false" customHeight="true" outlineLevel="0" collapsed="false">
      <c r="A6" s="10" t="s">
        <v>71</v>
      </c>
      <c r="B6" s="12" t="n">
        <v>1200000</v>
      </c>
    </row>
    <row r="7" customFormat="false" ht="15" hidden="false" customHeight="true" outlineLevel="0" collapsed="false">
      <c r="A7" s="10" t="s">
        <v>213</v>
      </c>
      <c r="B7" s="14" t="n">
        <v>150</v>
      </c>
    </row>
    <row r="8" customFormat="false" ht="15" hidden="false" customHeight="true" outlineLevel="0" collapsed="false">
      <c r="A8" s="10" t="s">
        <v>73</v>
      </c>
      <c r="B8" s="13" t="n">
        <v>75</v>
      </c>
    </row>
    <row r="10" customFormat="false" ht="24" hidden="false" customHeight="true" outlineLevel="0" collapsed="false">
      <c r="A10" s="4" t="s">
        <v>214</v>
      </c>
      <c r="B10" s="4"/>
      <c r="C10" s="4"/>
      <c r="D10" s="4"/>
      <c r="E10" s="4"/>
    </row>
    <row r="11" customFormat="false" ht="15" hidden="false" customHeight="true" outlineLevel="0" collapsed="false">
      <c r="A11" s="6" t="s">
        <v>210</v>
      </c>
      <c r="B11" s="6" t="s">
        <v>215</v>
      </c>
      <c r="C11" s="6" t="s">
        <v>216</v>
      </c>
      <c r="D11" s="6" t="s">
        <v>217</v>
      </c>
      <c r="E11" s="6"/>
    </row>
    <row r="12" customFormat="false" ht="15" hidden="false" customHeight="true" outlineLevel="0" collapsed="false">
      <c r="A12" s="8" t="s">
        <v>218</v>
      </c>
      <c r="B12" s="7" t="n">
        <v>1</v>
      </c>
      <c r="C12" s="7" t="n">
        <v>2</v>
      </c>
      <c r="D12" s="7" t="n">
        <v>4</v>
      </c>
    </row>
    <row r="13" customFormat="false" ht="15" hidden="false" customHeight="true" outlineLevel="0" collapsed="false">
      <c r="A13" s="8" t="s">
        <v>211</v>
      </c>
      <c r="B13" s="7" t="n">
        <v>1.5</v>
      </c>
      <c r="C13" s="7" t="n">
        <v>3</v>
      </c>
      <c r="D13" s="7" t="n">
        <v>6</v>
      </c>
    </row>
    <row r="14" customFormat="false" ht="15" hidden="false" customHeight="true" outlineLevel="0" collapsed="false">
      <c r="A14" s="8" t="s">
        <v>70</v>
      </c>
      <c r="B14" s="7" t="n">
        <v>1</v>
      </c>
      <c r="C14" s="7" t="n">
        <v>2</v>
      </c>
      <c r="D14" s="7" t="n">
        <v>4</v>
      </c>
    </row>
    <row r="15" customFormat="false" ht="15" hidden="false" customHeight="true" outlineLevel="0" collapsed="false">
      <c r="A15" s="8" t="s">
        <v>219</v>
      </c>
      <c r="B15" s="7" t="n">
        <v>0.8</v>
      </c>
      <c r="C15" s="7" t="n">
        <v>1.5</v>
      </c>
      <c r="D15" s="7" t="n">
        <v>3</v>
      </c>
    </row>
    <row r="17" customFormat="false" ht="24" hidden="false" customHeight="true" outlineLevel="0" collapsed="false">
      <c r="A17" s="4" t="s">
        <v>220</v>
      </c>
      <c r="B17" s="4"/>
      <c r="C17" s="4"/>
      <c r="D17" s="4"/>
      <c r="E17" s="4"/>
    </row>
    <row r="18" customFormat="false" ht="15" hidden="false" customHeight="true" outlineLevel="0" collapsed="false">
      <c r="A18" s="10" t="s">
        <v>221</v>
      </c>
      <c r="B18" s="32" t="n">
        <f aca="false">IF(B7&gt;300,1.3,IF(B7&gt;200,1.15,IF(B7&gt;100,1,IF(B7&gt;50,0.8,0.6))))</f>
        <v>1</v>
      </c>
    </row>
    <row r="19" customFormat="false" ht="15" hidden="false" customHeight="true" outlineLevel="0" collapsed="false">
      <c r="A19" s="10" t="s">
        <v>222</v>
      </c>
      <c r="B19" s="32" t="n">
        <f aca="false">IF(B8&gt;=70,1.1,IF(B8&gt;=50,1,0.85))</f>
        <v>1.1</v>
      </c>
    </row>
    <row r="21" customFormat="false" ht="24" hidden="false" customHeight="true" outlineLevel="0" collapsed="false">
      <c r="A21" s="4" t="s">
        <v>223</v>
      </c>
      <c r="B21" s="4"/>
      <c r="C21" s="4"/>
      <c r="D21" s="4"/>
      <c r="E21" s="4"/>
    </row>
    <row r="22" customFormat="false" ht="17.25" hidden="false" customHeight="true" outlineLevel="0" collapsed="false">
      <c r="A22" s="10" t="s">
        <v>224</v>
      </c>
      <c r="B22" s="20" t="n">
        <f aca="false">B6*VLOOKUP(B5,A12:D15,2,FALSE())*B18*B19</f>
        <v>1980000</v>
      </c>
    </row>
    <row r="23" customFormat="false" ht="17.25" hidden="false" customHeight="true" outlineLevel="0" collapsed="false">
      <c r="A23" s="10" t="s">
        <v>225</v>
      </c>
      <c r="B23" s="20" t="n">
        <f aca="false">B6*VLOOKUP(B5,A12:D15,3,FALSE())*B18*B19</f>
        <v>3960000</v>
      </c>
    </row>
    <row r="24" customFormat="false" ht="17.25" hidden="false" customHeight="true" outlineLevel="0" collapsed="false">
      <c r="A24" s="10" t="s">
        <v>226</v>
      </c>
      <c r="B24" s="20" t="n">
        <f aca="false">B6*VLOOKUP(B5,A12:D15,4,FALSE())*B18*B19</f>
        <v>7920000</v>
      </c>
    </row>
  </sheetData>
  <mergeCells count="6">
    <mergeCell ref="A1:E1"/>
    <mergeCell ref="A2:E2"/>
    <mergeCell ref="A4:E4"/>
    <mergeCell ref="A10:E10"/>
    <mergeCell ref="A17:E17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2"/>
    <col collapsed="false" customWidth="true" hidden="false" outlineLevel="0" max="9" min="6" style="1" width="18"/>
  </cols>
  <sheetData>
    <row r="1" customFormat="false" ht="30" hidden="false" customHeight="true" outlineLevel="0" collapsed="false">
      <c r="A1" s="2" t="s">
        <v>50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227</v>
      </c>
      <c r="B2" s="3"/>
      <c r="C2" s="3"/>
      <c r="D2" s="3"/>
      <c r="E2" s="3"/>
    </row>
    <row r="4" customFormat="false" ht="24" hidden="false" customHeight="true" outlineLevel="0" collapsed="false">
      <c r="A4" s="4" t="s">
        <v>68</v>
      </c>
      <c r="B4" s="4"/>
      <c r="C4" s="4"/>
      <c r="D4" s="4"/>
      <c r="E4" s="4"/>
    </row>
    <row r="5" customFormat="false" ht="15" hidden="false" customHeight="true" outlineLevel="0" collapsed="false">
      <c r="A5" s="10" t="s">
        <v>228</v>
      </c>
      <c r="B5" s="13" t="n">
        <v>100</v>
      </c>
    </row>
    <row r="6" customFormat="false" ht="15" hidden="false" customHeight="true" outlineLevel="0" collapsed="false">
      <c r="A6" s="10" t="s">
        <v>229</v>
      </c>
      <c r="B6" s="12" t="n">
        <v>8000000</v>
      </c>
    </row>
    <row r="7" customFormat="false" ht="15" hidden="false" customHeight="true" outlineLevel="0" collapsed="false">
      <c r="A7" s="10" t="s">
        <v>230</v>
      </c>
      <c r="B7" s="12" t="n">
        <v>2000000</v>
      </c>
    </row>
    <row r="8" customFormat="false" ht="15" hidden="false" customHeight="true" outlineLevel="0" collapsed="false">
      <c r="A8" s="10" t="s">
        <v>231</v>
      </c>
      <c r="B8" s="13" t="n">
        <v>10</v>
      </c>
    </row>
    <row r="10" customFormat="false" ht="24" hidden="false" customHeight="true" outlineLevel="0" collapsed="false">
      <c r="A10" s="4" t="s">
        <v>110</v>
      </c>
      <c r="B10" s="4"/>
      <c r="C10" s="4"/>
      <c r="D10" s="4"/>
      <c r="E10" s="4"/>
    </row>
    <row r="11" customFormat="false" ht="17.25" hidden="false" customHeight="true" outlineLevel="0" collapsed="false">
      <c r="A11" s="10" t="s">
        <v>232</v>
      </c>
      <c r="B11" s="20" t="n">
        <f aca="false">B6+B7</f>
        <v>10000000</v>
      </c>
    </row>
    <row r="12" customFormat="false" ht="17.25" hidden="false" customHeight="true" outlineLevel="0" collapsed="false">
      <c r="A12" s="10" t="s">
        <v>233</v>
      </c>
      <c r="B12" s="33" t="n">
        <f aca="false">B7/B11*100</f>
        <v>20</v>
      </c>
    </row>
    <row r="13" customFormat="false" ht="17.25" hidden="false" customHeight="true" outlineLevel="0" collapsed="false">
      <c r="A13" s="10" t="s">
        <v>234</v>
      </c>
      <c r="B13" s="33" t="n">
        <f aca="false">B5*(100-B12-B8)/100</f>
        <v>70</v>
      </c>
    </row>
    <row r="14" customFormat="false" ht="15" hidden="false" customHeight="true" outlineLevel="0" collapsed="false">
      <c r="A14" s="10" t="s">
        <v>235</v>
      </c>
      <c r="B14" s="17" t="n">
        <f aca="false">B5-B13</f>
        <v>30</v>
      </c>
    </row>
    <row r="16" customFormat="false" ht="24" hidden="false" customHeight="true" outlineLevel="0" collapsed="false">
      <c r="A16" s="4" t="s">
        <v>236</v>
      </c>
      <c r="B16" s="4"/>
      <c r="C16" s="4"/>
      <c r="D16" s="4"/>
      <c r="E16" s="4"/>
    </row>
    <row r="17" customFormat="false" ht="15" hidden="false" customHeight="true" outlineLevel="0" collapsed="false">
      <c r="A17" s="6" t="s">
        <v>237</v>
      </c>
      <c r="B17" s="6" t="s">
        <v>238</v>
      </c>
      <c r="C17" s="6"/>
      <c r="D17" s="6"/>
      <c r="E17" s="6"/>
    </row>
    <row r="18" customFormat="false" ht="15" hidden="false" customHeight="true" outlineLevel="0" collapsed="false">
      <c r="A18" s="10" t="s">
        <v>239</v>
      </c>
      <c r="B18" s="34" t="n">
        <f aca="false">B13</f>
        <v>70</v>
      </c>
    </row>
    <row r="19" customFormat="false" ht="15" hidden="false" customHeight="true" outlineLevel="0" collapsed="false">
      <c r="A19" s="10" t="s">
        <v>240</v>
      </c>
      <c r="B19" s="34" t="n">
        <f aca="false">B12</f>
        <v>20</v>
      </c>
    </row>
    <row r="20" customFormat="false" ht="15" hidden="false" customHeight="true" outlineLevel="0" collapsed="false">
      <c r="A20" s="10" t="s">
        <v>241</v>
      </c>
      <c r="B20" s="34" t="n">
        <f aca="false">B8</f>
        <v>10</v>
      </c>
    </row>
    <row r="21" customFormat="false" ht="15" hidden="false" customHeight="true" outlineLevel="0" collapsed="false">
      <c r="A21" s="10" t="s">
        <v>242</v>
      </c>
      <c r="B21" s="34" t="n">
        <f aca="false">100-B18-B19-B20</f>
        <v>0</v>
      </c>
    </row>
  </sheetData>
  <mergeCells count="5">
    <mergeCell ref="A1:E1"/>
    <mergeCell ref="A2:E2"/>
    <mergeCell ref="A4:E4"/>
    <mergeCell ref="A10:E10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2"/>
    <col collapsed="false" customWidth="true" hidden="false" outlineLevel="0" max="9" min="6" style="1" width="18"/>
  </cols>
  <sheetData>
    <row r="1" customFormat="false" ht="30" hidden="false" customHeight="true" outlineLevel="0" collapsed="false">
      <c r="A1" s="2" t="s">
        <v>54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243</v>
      </c>
      <c r="B2" s="3"/>
      <c r="C2" s="3"/>
      <c r="D2" s="3"/>
      <c r="E2" s="3"/>
    </row>
    <row r="4" customFormat="false" ht="24" hidden="false" customHeight="true" outlineLevel="0" collapsed="false">
      <c r="A4" s="4" t="s">
        <v>68</v>
      </c>
      <c r="B4" s="4"/>
      <c r="C4" s="4"/>
      <c r="D4" s="4"/>
      <c r="E4" s="4"/>
    </row>
    <row r="5" customFormat="false" ht="15" hidden="false" customHeight="true" outlineLevel="0" collapsed="false">
      <c r="A5" s="10" t="s">
        <v>244</v>
      </c>
      <c r="B5" s="12" t="n">
        <v>500000</v>
      </c>
    </row>
    <row r="6" customFormat="false" ht="15" hidden="false" customHeight="true" outlineLevel="0" collapsed="false">
      <c r="A6" s="10" t="s">
        <v>245</v>
      </c>
      <c r="B6" s="12" t="n">
        <v>8000000</v>
      </c>
    </row>
    <row r="7" customFormat="false" ht="15" hidden="false" customHeight="true" outlineLevel="0" collapsed="false">
      <c r="A7" s="10" t="s">
        <v>246</v>
      </c>
      <c r="B7" s="14" t="n">
        <v>20</v>
      </c>
    </row>
    <row r="8" customFormat="false" ht="15" hidden="false" customHeight="true" outlineLevel="0" collapsed="false">
      <c r="A8" s="10" t="s">
        <v>247</v>
      </c>
      <c r="B8" s="12" t="n">
        <v>12000000</v>
      </c>
    </row>
    <row r="9" customFormat="false" ht="15" hidden="false" customHeight="true" outlineLevel="0" collapsed="false">
      <c r="A9" s="10" t="s">
        <v>248</v>
      </c>
      <c r="B9" s="12" t="n">
        <v>3000000</v>
      </c>
    </row>
    <row r="11" customFormat="false" ht="24" hidden="false" customHeight="true" outlineLevel="0" collapsed="false">
      <c r="A11" s="4" t="s">
        <v>249</v>
      </c>
      <c r="B11" s="4"/>
      <c r="C11" s="4"/>
      <c r="D11" s="4"/>
      <c r="E11" s="4"/>
    </row>
    <row r="12" customFormat="false" ht="17.25" hidden="false" customHeight="true" outlineLevel="0" collapsed="false">
      <c r="A12" s="10" t="s">
        <v>250</v>
      </c>
      <c r="B12" s="33" t="n">
        <f aca="false">IF(B6&gt;0,B5/B6*100,0)</f>
        <v>6.25</v>
      </c>
    </row>
    <row r="13" customFormat="false" ht="15" hidden="false" customHeight="true" outlineLevel="0" collapsed="false">
      <c r="A13" s="10" t="s">
        <v>251</v>
      </c>
      <c r="B13" s="34" t="n">
        <f aca="false">B9/(B8+B9)*100</f>
        <v>20</v>
      </c>
    </row>
    <row r="14" customFormat="false" ht="17.25" hidden="false" customHeight="true" outlineLevel="0" collapsed="false">
      <c r="A14" s="10" t="s">
        <v>252</v>
      </c>
      <c r="B14" s="33" t="n">
        <f aca="false">100-B12-B13</f>
        <v>73.75</v>
      </c>
    </row>
    <row r="16" customFormat="false" ht="24" hidden="false" customHeight="true" outlineLevel="0" collapsed="false">
      <c r="A16" s="4" t="s">
        <v>253</v>
      </c>
      <c r="B16" s="4"/>
      <c r="C16" s="4"/>
      <c r="D16" s="4"/>
      <c r="E16" s="4"/>
    </row>
    <row r="17" customFormat="false" ht="15" hidden="false" customHeight="true" outlineLevel="0" collapsed="false">
      <c r="A17" s="10" t="s">
        <v>254</v>
      </c>
      <c r="B17" s="15" t="n">
        <f aca="false">MIN(B6,B8*(1-B7/100))</f>
        <v>8000000</v>
      </c>
    </row>
    <row r="18" customFormat="false" ht="15" hidden="false" customHeight="true" outlineLevel="0" collapsed="false">
      <c r="A18" s="10" t="s">
        <v>250</v>
      </c>
      <c r="B18" s="34" t="n">
        <f aca="false">B5/(B17+B5+B9)*100</f>
        <v>4.34782608695652</v>
      </c>
    </row>
    <row r="19" customFormat="false" ht="15" hidden="false" customHeight="true" outlineLevel="0" collapsed="false">
      <c r="A19" s="10" t="s">
        <v>252</v>
      </c>
      <c r="B19" s="34" t="n">
        <f aca="false">100-B18-B9/(B17+B5+B9)*100</f>
        <v>69.5652173913044</v>
      </c>
    </row>
    <row r="21" customFormat="false" ht="24" hidden="false" customHeight="true" outlineLevel="0" collapsed="false">
      <c r="A21" s="4" t="s">
        <v>255</v>
      </c>
      <c r="B21" s="4"/>
      <c r="C21" s="4"/>
      <c r="D21" s="4"/>
      <c r="E21" s="4"/>
    </row>
    <row r="22" customFormat="false" ht="15" hidden="false" customHeight="true" outlineLevel="0" collapsed="false">
      <c r="A22" s="10" t="s">
        <v>256</v>
      </c>
      <c r="B22" s="15" t="n">
        <f aca="false">MIN(B6,B8*(1-B7/100))</f>
        <v>8000000</v>
      </c>
    </row>
    <row r="23" customFormat="false" ht="15" hidden="false" customHeight="true" outlineLevel="0" collapsed="false">
      <c r="A23" s="10" t="s">
        <v>257</v>
      </c>
      <c r="B23" s="34" t="n">
        <f aca="false">B5/(B22+B9)*100</f>
        <v>4.54545454545455</v>
      </c>
    </row>
    <row r="24" customFormat="false" ht="15" hidden="false" customHeight="true" outlineLevel="0" collapsed="false">
      <c r="A24" s="10" t="s">
        <v>258</v>
      </c>
      <c r="B24" s="34" t="n">
        <f aca="false">100-B23-B9/(B22+B9)*100</f>
        <v>68.1818181818182</v>
      </c>
    </row>
  </sheetData>
  <mergeCells count="6">
    <mergeCell ref="A1:E1"/>
    <mergeCell ref="A2:E2"/>
    <mergeCell ref="A4:E4"/>
    <mergeCell ref="A11:E11"/>
    <mergeCell ref="A16:E16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2"/>
    <col collapsed="false" customWidth="true" hidden="false" outlineLevel="0" max="9" min="6" style="1" width="18"/>
  </cols>
  <sheetData>
    <row r="1" customFormat="false" ht="30" hidden="false" customHeight="true" outlineLevel="0" collapsed="false">
      <c r="A1" s="2" t="s">
        <v>259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260</v>
      </c>
      <c r="B2" s="3"/>
      <c r="C2" s="3"/>
      <c r="D2" s="3"/>
      <c r="E2" s="3"/>
    </row>
    <row r="4" customFormat="false" ht="24" hidden="false" customHeight="true" outlineLevel="0" collapsed="false">
      <c r="A4" s="4" t="s">
        <v>261</v>
      </c>
      <c r="B4" s="4"/>
      <c r="C4" s="4"/>
      <c r="D4" s="4"/>
      <c r="E4" s="4"/>
    </row>
    <row r="5" customFormat="false" ht="15" hidden="false" customHeight="true" outlineLevel="0" collapsed="false">
      <c r="A5" s="6" t="s">
        <v>262</v>
      </c>
      <c r="B5" s="6" t="s">
        <v>263</v>
      </c>
      <c r="C5" s="6" t="s">
        <v>264</v>
      </c>
      <c r="D5" s="6"/>
      <c r="E5" s="6"/>
    </row>
    <row r="6" customFormat="false" ht="15" hidden="false" customHeight="true" outlineLevel="0" collapsed="false">
      <c r="A6" s="8" t="s">
        <v>211</v>
      </c>
      <c r="B6" s="12" t="n">
        <v>5000000</v>
      </c>
      <c r="C6" s="12" t="n">
        <v>1500000</v>
      </c>
    </row>
    <row r="7" customFormat="false" ht="15" hidden="false" customHeight="true" outlineLevel="0" collapsed="false">
      <c r="A7" s="8" t="s">
        <v>70</v>
      </c>
      <c r="B7" s="12" t="n">
        <v>20000000</v>
      </c>
      <c r="C7" s="12" t="n">
        <v>5000000</v>
      </c>
    </row>
    <row r="8" customFormat="false" ht="15" hidden="false" customHeight="true" outlineLevel="0" collapsed="false">
      <c r="A8" s="8" t="s">
        <v>219</v>
      </c>
      <c r="B8" s="12" t="n">
        <v>60000000</v>
      </c>
      <c r="C8" s="12" t="n">
        <v>15000000</v>
      </c>
    </row>
    <row r="9" customFormat="false" ht="15" hidden="false" customHeight="true" outlineLevel="0" collapsed="false">
      <c r="A9" s="10" t="s">
        <v>265</v>
      </c>
      <c r="B9" s="13" t="n">
        <v>10</v>
      </c>
    </row>
    <row r="11" customFormat="false" ht="24" hidden="false" customHeight="true" outlineLevel="0" collapsed="false">
      <c r="A11" s="4" t="s">
        <v>266</v>
      </c>
      <c r="B11" s="4"/>
      <c r="C11" s="4"/>
      <c r="D11" s="4"/>
      <c r="E11" s="4"/>
    </row>
    <row r="12" customFormat="false" ht="15" hidden="false" customHeight="true" outlineLevel="0" collapsed="false">
      <c r="A12" s="6" t="s">
        <v>210</v>
      </c>
      <c r="B12" s="6" t="s">
        <v>267</v>
      </c>
      <c r="C12" s="6" t="s">
        <v>268</v>
      </c>
      <c r="D12" s="6" t="s">
        <v>269</v>
      </c>
      <c r="E12" s="6" t="s">
        <v>270</v>
      </c>
    </row>
    <row r="13" customFormat="false" ht="17.25" hidden="false" customHeight="true" outlineLevel="0" collapsed="false">
      <c r="A13" s="35" t="s">
        <v>271</v>
      </c>
      <c r="E13" s="36" t="n">
        <v>100</v>
      </c>
    </row>
    <row r="14" customFormat="false" ht="15" hidden="false" customHeight="true" outlineLevel="0" collapsed="false">
      <c r="A14" s="8" t="s">
        <v>272</v>
      </c>
      <c r="B14" s="15" t="n">
        <f aca="false">B6+C6</f>
        <v>6500000</v>
      </c>
      <c r="C14" s="34" t="n">
        <f aca="false">C6/(B6+C6)*100+B9</f>
        <v>33.0769230769231</v>
      </c>
      <c r="D14" s="37" t="n">
        <f aca="false">(100-B14)/100</f>
        <v>-64999</v>
      </c>
      <c r="E14" s="34" t="n">
        <f aca="false">E13*D14</f>
        <v>-6499900</v>
      </c>
    </row>
    <row r="15" customFormat="false" ht="15" hidden="false" customHeight="true" outlineLevel="0" collapsed="false">
      <c r="A15" s="8" t="s">
        <v>273</v>
      </c>
      <c r="B15" s="15" t="n">
        <f aca="false">B7+C7</f>
        <v>25000000</v>
      </c>
      <c r="C15" s="34" t="n">
        <f aca="false">C7/(B7+C7)*100+B9</f>
        <v>30</v>
      </c>
      <c r="D15" s="37" t="n">
        <f aca="false">(100-B15)/100</f>
        <v>-249999</v>
      </c>
      <c r="E15" s="34" t="n">
        <f aca="false">E14*D15</f>
        <v>1624968500100</v>
      </c>
    </row>
    <row r="16" customFormat="false" ht="17.25" hidden="false" customHeight="true" outlineLevel="0" collapsed="false">
      <c r="A16" s="23" t="s">
        <v>274</v>
      </c>
      <c r="B16" s="15" t="n">
        <f aca="false">B8+C8</f>
        <v>75000000</v>
      </c>
      <c r="C16" s="34" t="n">
        <f aca="false">C8/(B8+C8)*100+B9</f>
        <v>30</v>
      </c>
      <c r="D16" s="37" t="n">
        <f aca="false">(100-B16)/100</f>
        <v>-749999</v>
      </c>
      <c r="E16" s="33" t="n">
        <f aca="false">E15*D16</f>
        <v>-1.2187247501065E+018</v>
      </c>
    </row>
  </sheetData>
  <mergeCells count="4">
    <mergeCell ref="A1:E1"/>
    <mergeCell ref="A2:E2"/>
    <mergeCell ref="A4:E4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2"/>
    <col collapsed="false" customWidth="true" hidden="false" outlineLevel="0" max="9" min="6" style="1" width="18"/>
  </cols>
  <sheetData>
    <row r="1" customFormat="false" ht="30" hidden="false" customHeight="true" outlineLevel="0" collapsed="false">
      <c r="A1" s="2" t="s">
        <v>60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275</v>
      </c>
      <c r="B2" s="3"/>
      <c r="C2" s="3"/>
      <c r="D2" s="3"/>
      <c r="E2" s="3"/>
    </row>
    <row r="4" customFormat="false" ht="24" hidden="false" customHeight="true" outlineLevel="0" collapsed="false">
      <c r="A4" s="4" t="s">
        <v>276</v>
      </c>
      <c r="B4" s="4"/>
      <c r="C4" s="4"/>
      <c r="D4" s="4"/>
      <c r="E4" s="4"/>
    </row>
    <row r="5" customFormat="false" ht="15" hidden="false" customHeight="true" outlineLevel="0" collapsed="false">
      <c r="A5" s="10" t="s">
        <v>277</v>
      </c>
      <c r="B5" s="14" t="n">
        <v>3</v>
      </c>
    </row>
    <row r="6" customFormat="false" ht="15" hidden="false" customHeight="true" outlineLevel="0" collapsed="false">
      <c r="A6" s="10" t="s">
        <v>278</v>
      </c>
      <c r="B6" s="14" t="n">
        <v>3</v>
      </c>
    </row>
    <row r="7" customFormat="false" ht="15" hidden="false" customHeight="true" outlineLevel="0" collapsed="false">
      <c r="A7" s="10" t="s">
        <v>279</v>
      </c>
      <c r="B7" s="14" t="n">
        <v>3</v>
      </c>
    </row>
    <row r="8" customFormat="false" ht="15" hidden="false" customHeight="true" outlineLevel="0" collapsed="false">
      <c r="A8" s="10" t="s">
        <v>280</v>
      </c>
      <c r="B8" s="14" t="n">
        <v>3</v>
      </c>
    </row>
    <row r="9" customFormat="false" ht="15" hidden="false" customHeight="true" outlineLevel="0" collapsed="false">
      <c r="A9" s="10" t="s">
        <v>281</v>
      </c>
      <c r="B9" s="14" t="n">
        <v>3</v>
      </c>
    </row>
    <row r="10" customFormat="false" ht="15" hidden="false" customHeight="true" outlineLevel="0" collapsed="false">
      <c r="A10" s="10" t="s">
        <v>282</v>
      </c>
      <c r="B10" s="14" t="n">
        <v>3</v>
      </c>
    </row>
    <row r="11" customFormat="false" ht="15" hidden="false" customHeight="true" outlineLevel="0" collapsed="false">
      <c r="A11" s="10" t="s">
        <v>283</v>
      </c>
      <c r="B11" s="14" t="n">
        <v>3</v>
      </c>
    </row>
    <row r="12" customFormat="false" ht="15" hidden="false" customHeight="true" outlineLevel="0" collapsed="false">
      <c r="A12" s="10" t="s">
        <v>284</v>
      </c>
      <c r="B12" s="14" t="n">
        <v>3</v>
      </c>
    </row>
    <row r="13" customFormat="false" ht="15" hidden="false" customHeight="true" outlineLevel="0" collapsed="false">
      <c r="A13" s="10" t="s">
        <v>285</v>
      </c>
      <c r="B13" s="14" t="n">
        <v>3</v>
      </c>
    </row>
    <row r="14" customFormat="false" ht="15" hidden="false" customHeight="true" outlineLevel="0" collapsed="false">
      <c r="A14" s="10" t="s">
        <v>286</v>
      </c>
      <c r="B14" s="14" t="n">
        <v>3</v>
      </c>
    </row>
    <row r="16" customFormat="false" ht="24" hidden="false" customHeight="true" outlineLevel="0" collapsed="false">
      <c r="A16" s="4" t="s">
        <v>110</v>
      </c>
      <c r="B16" s="4"/>
      <c r="C16" s="4"/>
      <c r="D16" s="4"/>
      <c r="E16" s="4"/>
    </row>
    <row r="17" customFormat="false" ht="17.25" hidden="false" customHeight="true" outlineLevel="0" collapsed="false">
      <c r="A17" s="10" t="s">
        <v>287</v>
      </c>
      <c r="B17" s="19" t="n">
        <f aca="false">B5+B6+B7+B8+B9+B10+B11+B12+B13+B14</f>
        <v>30</v>
      </c>
      <c r="C17" s="38" t="s">
        <v>288</v>
      </c>
    </row>
    <row r="18" customFormat="false" ht="15" hidden="false" customHeight="true" outlineLevel="0" collapsed="false">
      <c r="A18" s="10" t="s">
        <v>289</v>
      </c>
      <c r="B18" s="39" t="n">
        <f aca="false">B17/50</f>
        <v>0.6</v>
      </c>
    </row>
    <row r="19" customFormat="false" ht="15" hidden="false" customHeight="true" outlineLevel="0" collapsed="false">
      <c r="A19" s="10" t="s">
        <v>104</v>
      </c>
      <c r="B19" s="16" t="str">
        <f aca="false">IF(B18&gt;=0.8,"Strong - Ready for top-tier investors",IF(B18&gt;=0.6,"Decent - Fundable with right narrative",IF(B18&gt;=0.4,"Needs Work - Multiple dimensions weak","Major Overhaul Needed")))</f>
        <v>Decent - Fundable with right narrative</v>
      </c>
    </row>
    <row r="21" customFormat="false" ht="24" hidden="false" customHeight="true" outlineLevel="0" collapsed="false">
      <c r="A21" s="4" t="s">
        <v>290</v>
      </c>
      <c r="B21" s="4"/>
      <c r="C21" s="4"/>
      <c r="D21" s="4"/>
      <c r="E21" s="4"/>
    </row>
    <row r="22" customFormat="false" ht="15" hidden="false" customHeight="true" outlineLevel="0" collapsed="false">
      <c r="A22" s="16" t="str">
        <f aca="false">IF(B5&lt;=2,"Problem Clarity (scored "&amp;B5&amp;"/5)","")</f>
        <v/>
      </c>
    </row>
    <row r="23" customFormat="false" ht="15" hidden="false" customHeight="true" outlineLevel="0" collapsed="false">
      <c r="A23" s="16" t="str">
        <f aca="false">IF(B6&lt;=2,"Solution Uniqueness (scored "&amp;B6&amp;"/5)","")</f>
        <v/>
      </c>
    </row>
    <row r="24" customFormat="false" ht="15" hidden="false" customHeight="true" outlineLevel="0" collapsed="false">
      <c r="A24" s="16" t="str">
        <f aca="false">IF(B7&lt;=2,"Market Size Credibility (scored "&amp;B7&amp;"/5)","")</f>
        <v/>
      </c>
    </row>
    <row r="25" customFormat="false" ht="15" hidden="false" customHeight="true" outlineLevel="0" collapsed="false">
      <c r="A25" s="16" t="str">
        <f aca="false">IF(B8&lt;=2,"Traction Evidence (scored "&amp;B8&amp;"/5)","")</f>
        <v/>
      </c>
    </row>
    <row r="26" customFormat="false" ht="15" hidden="false" customHeight="true" outlineLevel="0" collapsed="false">
      <c r="A26" s="16" t="str">
        <f aca="false">IF(B9&lt;=2,"Business Model Clarity (scored "&amp;B9&amp;"/5)","")</f>
        <v/>
      </c>
    </row>
    <row r="27" customFormat="false" ht="15" hidden="false" customHeight="true" outlineLevel="0" collapsed="false">
      <c r="A27" s="16" t="str">
        <f aca="false">IF(B10&lt;=2,"Team Credibility (scored "&amp;B10&amp;"/5)","")</f>
        <v/>
      </c>
    </row>
    <row r="28" customFormat="false" ht="15" hidden="false" customHeight="true" outlineLevel="0" collapsed="false">
      <c r="A28" s="16" t="str">
        <f aca="false">IF(B11&lt;=2,"Competitive Moat (scored "&amp;B11&amp;"/5)","")</f>
        <v/>
      </c>
    </row>
    <row r="29" customFormat="false" ht="15" hidden="false" customHeight="true" outlineLevel="0" collapsed="false">
      <c r="A29" s="16" t="str">
        <f aca="false">IF(B12&lt;=2,"Financial Model Quality (scored "&amp;B12&amp;"/5)","")</f>
        <v/>
      </c>
    </row>
    <row r="30" customFormat="false" ht="15" hidden="false" customHeight="true" outlineLevel="0" collapsed="false">
      <c r="A30" s="16" t="str">
        <f aca="false">IF(B13&lt;=2,"Ask Clarity (amount, use, timeline) (scored "&amp;B13&amp;"/5)","")</f>
        <v/>
      </c>
    </row>
    <row r="31" customFormat="false" ht="15" hidden="false" customHeight="true" outlineLevel="0" collapsed="false">
      <c r="A31" s="16" t="str">
        <f aca="false">IF(B14&lt;=2,"Design &amp; Narrative Flow (scored "&amp;B14&amp;"/5)","")</f>
        <v/>
      </c>
    </row>
  </sheetData>
  <mergeCells count="5">
    <mergeCell ref="A1:E1"/>
    <mergeCell ref="A2:E2"/>
    <mergeCell ref="A4:E4"/>
    <mergeCell ref="A16:E16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45A"/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2"/>
    <col collapsed="false" customWidth="true" hidden="false" outlineLevel="0" max="9" min="6" style="1" width="18"/>
  </cols>
  <sheetData>
    <row r="1" customFormat="false" ht="30" hidden="false" customHeight="true" outlineLevel="0" collapsed="false">
      <c r="A1" s="2" t="s">
        <v>63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291</v>
      </c>
      <c r="B2" s="3"/>
      <c r="C2" s="3"/>
      <c r="D2" s="3"/>
      <c r="E2" s="3"/>
    </row>
    <row r="4" customFormat="false" ht="24" hidden="false" customHeight="true" outlineLevel="0" collapsed="false">
      <c r="A4" s="4" t="s">
        <v>68</v>
      </c>
      <c r="B4" s="4"/>
      <c r="C4" s="4"/>
      <c r="D4" s="4"/>
      <c r="E4" s="4"/>
    </row>
    <row r="5" customFormat="false" ht="15" hidden="false" customHeight="true" outlineLevel="0" collapsed="false">
      <c r="A5" s="10" t="s">
        <v>292</v>
      </c>
      <c r="B5" s="12" t="n">
        <v>50000000</v>
      </c>
    </row>
    <row r="6" customFormat="false" ht="15" hidden="false" customHeight="true" outlineLevel="0" collapsed="false">
      <c r="A6" s="10" t="s">
        <v>293</v>
      </c>
      <c r="B6" s="12" t="n">
        <v>8500000</v>
      </c>
    </row>
    <row r="7" customFormat="false" ht="15" hidden="false" customHeight="true" outlineLevel="0" collapsed="false">
      <c r="A7" s="10" t="s">
        <v>294</v>
      </c>
      <c r="B7" s="13" t="n">
        <v>35</v>
      </c>
    </row>
    <row r="8" customFormat="false" ht="15" hidden="false" customHeight="true" outlineLevel="0" collapsed="false">
      <c r="A8" s="10" t="s">
        <v>295</v>
      </c>
      <c r="B8" s="13" t="n">
        <v>10</v>
      </c>
    </row>
    <row r="9" customFormat="false" ht="15" hidden="false" customHeight="true" outlineLevel="0" collapsed="false">
      <c r="A9" s="10" t="s">
        <v>296</v>
      </c>
      <c r="B9" s="28" t="n">
        <v>1</v>
      </c>
    </row>
    <row r="10" customFormat="false" ht="15" hidden="false" customHeight="true" outlineLevel="0" collapsed="false">
      <c r="A10" s="10" t="s">
        <v>297</v>
      </c>
      <c r="B10" s="14" t="n">
        <v>0</v>
      </c>
    </row>
    <row r="12" customFormat="false" ht="24" hidden="false" customHeight="true" outlineLevel="0" collapsed="false">
      <c r="A12" s="4" t="s">
        <v>298</v>
      </c>
      <c r="B12" s="4"/>
      <c r="C12" s="4"/>
      <c r="D12" s="4"/>
      <c r="E12" s="4"/>
    </row>
    <row r="13" customFormat="false" ht="15" hidden="false" customHeight="true" outlineLevel="0" collapsed="false">
      <c r="A13" s="10" t="s">
        <v>233</v>
      </c>
      <c r="B13" s="34" t="n">
        <f aca="false">100-B7-B8</f>
        <v>55</v>
      </c>
    </row>
    <row r="14" customFormat="false" ht="15" hidden="false" customHeight="true" outlineLevel="0" collapsed="false">
      <c r="A14" s="10" t="s">
        <v>299</v>
      </c>
      <c r="B14" s="15" t="n">
        <f aca="false">B6*B9</f>
        <v>8500000</v>
      </c>
    </row>
    <row r="15" customFormat="false" ht="15" hidden="false" customHeight="true" outlineLevel="0" collapsed="false">
      <c r="A15" s="10" t="s">
        <v>300</v>
      </c>
      <c r="B15" s="15" t="n">
        <f aca="false">B5*B13/100</f>
        <v>27500000</v>
      </c>
    </row>
    <row r="17" customFormat="false" ht="24" hidden="false" customHeight="true" outlineLevel="0" collapsed="false">
      <c r="A17" s="4" t="s">
        <v>110</v>
      </c>
      <c r="B17" s="4"/>
      <c r="C17" s="4"/>
      <c r="D17" s="4"/>
      <c r="E17" s="4"/>
    </row>
    <row r="18" customFormat="false" ht="17.25" hidden="false" customHeight="true" outlineLevel="0" collapsed="false">
      <c r="A18" s="10" t="s">
        <v>301</v>
      </c>
      <c r="B18" s="20" t="n">
        <f aca="false">IF(B10=0,IF(B15&gt;B14,B15,MIN(B14,B5)),IF(B10=1,MIN(B6*3,MAX(B14,B14+(B5-B14)*B13/100)),MIN(B5,B14+MAX(0,B5-B14)*B13/100)))</f>
        <v>27500000</v>
      </c>
    </row>
    <row r="19" customFormat="false" ht="17.25" hidden="false" customHeight="true" outlineLevel="0" collapsed="false">
      <c r="A19" s="10" t="s">
        <v>302</v>
      </c>
      <c r="B19" s="20" t="n">
        <f aca="false">MAX(0,(B5-B18)*B7/(B7+B8))</f>
        <v>17500000</v>
      </c>
    </row>
    <row r="20" customFormat="false" ht="15" hidden="false" customHeight="true" outlineLevel="0" collapsed="false">
      <c r="A20" s="10" t="s">
        <v>303</v>
      </c>
      <c r="B20" s="15" t="n">
        <f aca="false">MAX(0,B5-B18-B19)</f>
        <v>5000000</v>
      </c>
    </row>
    <row r="21" customFormat="false" ht="17.25" hidden="false" customHeight="true" outlineLevel="0" collapsed="false">
      <c r="A21" s="10" t="s">
        <v>304</v>
      </c>
      <c r="B21" s="22" t="n">
        <f aca="false">IF(B6&gt;0,B18/B6,0)</f>
        <v>3.23529411764706</v>
      </c>
    </row>
    <row r="22" customFormat="false" ht="15" hidden="false" customHeight="true" outlineLevel="0" collapsed="false">
      <c r="A22" s="10" t="s">
        <v>305</v>
      </c>
      <c r="B22" s="34" t="n">
        <f aca="false">IF(B5&gt;0,B19/B5*100,0)</f>
        <v>35</v>
      </c>
    </row>
  </sheetData>
  <mergeCells count="5">
    <mergeCell ref="A1:E1"/>
    <mergeCell ref="A2:E2"/>
    <mergeCell ref="A4:E4"/>
    <mergeCell ref="A12:E12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2026-04-05T17:57:25Z</dcterms:created>
  <dc:creator>openpyxl</dc:creator>
  <dc:description/>
  <dc:language>en-US</dc:language>
  <cp:lastModifiedBy/>
  <dcterms:modified xsi:type="dcterms:W3CDTF">2026-04-05T17:57:52Z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