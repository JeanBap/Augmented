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7.xml" ContentType="application/vnd.openxmlformats-officedocument.drawing+xml"/>
  <Override PartName="/xl/worksheets/sheet12.xml" ContentType="application/vnd.openxmlformats-officedocument.spreadsheetml.worksheet+xml"/>
  <Override PartName="/xl/drawings/drawing8.xml" ContentType="application/vnd.openxmlformats-officedocument.drawing+xml"/>
  <Override PartName="/xl/worksheets/sheet13.xml" ContentType="application/vnd.openxmlformats-officedocument.spreadsheetml.worksheet+xml"/>
  <Override PartName="/xl/drawings/drawing9.xml" ContentType="application/vnd.openxmlformats-officedocument.drawing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" sheetId="3" state="visible" r:id="rId3"/>
    <sheet xmlns:r="http://schemas.openxmlformats.org/officeDocument/2006/relationships" name="HEADCOUNT" sheetId="4" state="visible" r:id="rId4"/>
    <sheet xmlns:r="http://schemas.openxmlformats.org/officeDocument/2006/relationships" name="P&amp;L" sheetId="5" state="visible" r:id="rId5"/>
    <sheet xmlns:r="http://schemas.openxmlformats.org/officeDocument/2006/relationships" name="CASH FLOW" sheetId="6" state="visible" r:id="rId6"/>
    <sheet xmlns:r="http://schemas.openxmlformats.org/officeDocument/2006/relationships" name="BALANCE SHEET" sheetId="7" state="visible" r:id="rId7"/>
    <sheet xmlns:r="http://schemas.openxmlformats.org/officeDocument/2006/relationships" name="KPI DASHBOARD" sheetId="8" state="visible" r:id="rId8"/>
    <sheet xmlns:r="http://schemas.openxmlformats.org/officeDocument/2006/relationships" name="CAP TABLE" sheetId="9" state="visible" r:id="rId9"/>
    <sheet xmlns:r="http://schemas.openxmlformats.org/officeDocument/2006/relationships" name="FUNDRAISE SCENARIOS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COHORT ANALYSIS" sheetId="12" state="visible" r:id="rId12"/>
    <sheet xmlns:r="http://schemas.openxmlformats.org/officeDocument/2006/relationships" name="MONTHLY DASHBOARD" sheetId="13" state="visible" r:id="rId13"/>
    <sheet xmlns:r="http://schemas.openxmlformats.org/officeDocument/2006/relationships" name="SCENARIOS" sheetId="14" state="visible" r:id="rId14"/>
    <sheet xmlns:r="http://schemas.openxmlformats.org/officeDocument/2006/relationships" name="DATA ROOM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2">
    <numFmt numFmtId="164" formatCode="#,##0;\(#,##0\);\-"/>
    <numFmt numFmtId="165" formatCode="0.0%;\(0.0%\);\-"/>
    <numFmt numFmtId="166" formatCode="[$£-809]#,##0"/>
    <numFmt numFmtId="167" formatCode="0.0&quot; mo&quot;"/>
    <numFmt numFmtId="168" formatCode="\$#,##0;&quot;($&quot;#,##0\);\-"/>
    <numFmt numFmtId="169" formatCode="0.0%"/>
    <numFmt numFmtId="170" formatCode="0.0\x"/>
    <numFmt numFmtId="171" formatCode="#,##0.0"/>
    <numFmt numFmtId="172" formatCode="\$#,##0"/>
    <numFmt numFmtId="173" formatCode="\$#,##0.0000"/>
    <numFmt numFmtId="174" formatCode="\$#,##0.00"/>
    <numFmt numFmtId="175" formatCode="0.0"/>
  </numFmts>
  <fonts count="36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4"/>
    </font>
    <font>
      <name val="Georgia"/>
      <charset val="1"/>
      <family val="0"/>
      <color rgb="FF595959"/>
      <sz val="14"/>
    </font>
    <font>
      <name val="Arial"/>
      <charset val="1"/>
      <family val="0"/>
      <b val="1"/>
      <color rgb="FF1B3A5C"/>
      <sz val="12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1B2A4A"/>
      <sz val="11"/>
    </font>
    <font>
      <name val="Arial"/>
      <charset val="1"/>
      <family val="0"/>
      <color rgb="FF444444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i val="1"/>
      <color rgb="FF888888"/>
      <sz val="9"/>
    </font>
    <font>
      <name val="Arial"/>
      <charset val="1"/>
      <family val="0"/>
      <color rgb="FF595959"/>
      <sz val="9"/>
    </font>
    <font>
      <name val="Arial"/>
      <charset val="1"/>
      <family val="0"/>
      <b val="1"/>
      <color rgb="FF217346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C0000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1B3A5C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Arial"/>
      <charset val="1"/>
      <family val="0"/>
      <color rgb="FF217346"/>
      <sz val="10"/>
    </font>
    <font>
      <name val="Arial"/>
      <charset val="1"/>
      <family val="0"/>
      <b val="1"/>
      <color rgb="FF217346"/>
      <sz val="11"/>
    </font>
    <font>
      <name val="Arial"/>
      <charset val="1"/>
      <family val="0"/>
      <b val="1"/>
      <color rgb="FF1B2A4A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B2A4A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595959"/>
      <sz val="10"/>
    </font>
    <font>
      <name val="Arial"/>
      <charset val="1"/>
      <family val="0"/>
      <b val="1"/>
      <color rgb="FF1B2A4A"/>
      <sz val="9"/>
    </font>
    <font>
      <name val="Calibri"/>
      <family val="2"/>
      <b val="1"/>
      <color rgb="FF000000"/>
      <sz val="10"/>
    </font>
  </fonts>
  <fills count="20">
    <fill>
      <patternFill/>
    </fill>
    <fill>
      <patternFill patternType="gray125"/>
    </fill>
    <fill>
      <patternFill patternType="solid">
        <fgColor rgb="FF1B3A5C"/>
        <bgColor rgb="FF2C3E6B"/>
      </patternFill>
    </fill>
    <fill>
      <patternFill patternType="solid">
        <fgColor rgb="FFEBF4FB"/>
        <bgColor rgb="FFF2F2F2"/>
      </patternFill>
    </fill>
    <fill>
      <patternFill patternType="solid">
        <fgColor rgb="FFD9D9D9"/>
        <bgColor rgb="FFD6E4F0"/>
      </patternFill>
    </fill>
    <fill>
      <patternFill patternType="solid">
        <fgColor rgb="FF2E75B6"/>
        <bgColor rgb="FF4672A8"/>
      </patternFill>
    </fill>
    <fill>
      <patternFill patternType="solid">
        <fgColor rgb="FF217346"/>
        <bgColor rgb="FF008000"/>
      </patternFill>
    </fill>
    <fill>
      <patternFill patternType="solid">
        <fgColor rgb="FFFFFF00"/>
        <bgColor rgb="FFFFFF00"/>
      </patternFill>
    </fill>
    <fill>
      <patternFill patternType="solid">
        <fgColor rgb="FFF5F5F5"/>
        <bgColor rgb="FFF2F2F2"/>
      </patternFill>
    </fill>
    <fill>
      <patternFill patternType="solid">
        <fgColor rgb="FFFFFFFF"/>
        <bgColor rgb="FFF5F5F5"/>
      </patternFill>
    </fill>
    <fill>
      <patternFill patternType="solid">
        <fgColor rgb="FFE2EFDA"/>
        <bgColor rgb="FFE8F5E9"/>
      </patternFill>
    </fill>
    <fill>
      <patternFill patternType="solid">
        <fgColor rgb="FFD6E4F0"/>
        <bgColor rgb="FFD9D9D9"/>
      </patternFill>
    </fill>
    <fill>
      <patternFill patternType="solid">
        <fgColor rgb="FFF2F2F2"/>
        <bgColor rgb="FFF5F5F5"/>
      </patternFill>
    </fill>
    <fill>
      <patternFill patternType="solid">
        <fgColor rgb="FFFCE4D6"/>
        <bgColor rgb="FFFFF3F0"/>
      </patternFill>
    </fill>
    <fill>
      <patternFill patternType="solid">
        <fgColor rgb="FFC00000"/>
        <bgColor rgb="FF800000"/>
      </patternFill>
    </fill>
    <fill>
      <patternFill patternType="solid">
        <fgColor rgb="FF1B2A4A"/>
        <bgColor rgb="FF1B3A5C"/>
      </patternFill>
    </fill>
    <fill>
      <patternFill patternType="solid">
        <fgColor rgb="FFED7D31"/>
        <bgColor rgb="FFDC853E"/>
      </patternFill>
    </fill>
    <fill>
      <patternFill patternType="solid">
        <fgColor rgb="FFE8ECF4"/>
        <bgColor rgb="FFEBF4FB"/>
      </patternFill>
    </fill>
    <fill>
      <patternFill patternType="solid">
        <fgColor rgb="FFFFF3F0"/>
        <bgColor rgb="FFF5F5F5"/>
      </patternFill>
    </fill>
    <fill>
      <patternFill patternType="solid">
        <fgColor rgb="FFE8F5E9"/>
        <bgColor rgb="FFEBF4FB"/>
      </patternFill>
    </fill>
  </fills>
  <borders count="4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0" fillId="4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10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10" fillId="9" borderId="1" applyAlignment="1" pivotButton="0" quotePrefix="0" xfId="0">
      <alignment horizontal="left" vertical="center" wrapText="1"/>
    </xf>
    <xf numFmtId="0" fontId="10" fillId="10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left" vertical="center" wrapText="1"/>
    </xf>
    <xf numFmtId="0" fontId="11" fillId="9" borderId="1" applyAlignment="1" pivotButton="0" quotePrefix="0" xfId="0">
      <alignment horizontal="left" vertical="center" wrapText="1"/>
    </xf>
    <xf numFmtId="49" fontId="14" fillId="7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left" vertical="center"/>
    </xf>
    <xf numFmtId="164" fontId="14" fillId="7" borderId="1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general" vertical="top" wrapText="1"/>
    </xf>
    <xf numFmtId="165" fontId="14" fillId="7" borderId="1" applyAlignment="1" pivotButton="0" quotePrefix="0" xfId="0">
      <alignment horizontal="center" vertical="center" wrapText="1"/>
    </xf>
    <xf numFmtId="165" fontId="14" fillId="7" borderId="1" applyAlignment="1" pivotButton="0" quotePrefix="0" xfId="0">
      <alignment horizontal="right" vertical="center"/>
    </xf>
    <xf numFmtId="165" fontId="14" fillId="7" borderId="0" applyAlignment="1" pivotButton="0" quotePrefix="0" xfId="0">
      <alignment horizontal="right" vertical="center"/>
    </xf>
    <xf numFmtId="0" fontId="14" fillId="7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right" vertical="center"/>
    </xf>
    <xf numFmtId="0" fontId="14" fillId="7" borderId="0" applyAlignment="1" pivotButton="0" quotePrefix="0" xfId="0">
      <alignment horizontal="right" vertical="center"/>
    </xf>
    <xf numFmtId="2" fontId="14" fillId="7" borderId="1" applyAlignment="1" pivotButton="0" quotePrefix="0" xfId="0">
      <alignment horizontal="center" vertical="center" wrapText="1"/>
    </xf>
    <xf numFmtId="2" fontId="14" fillId="7" borderId="1" applyAlignment="1" pivotButton="0" quotePrefix="0" xfId="0">
      <alignment horizontal="right" vertical="center"/>
    </xf>
    <xf numFmtId="2" fontId="14" fillId="7" borderId="0" applyAlignment="1" pivotButton="0" quotePrefix="0" xfId="0">
      <alignment horizontal="right" vertical="center"/>
    </xf>
    <xf numFmtId="0" fontId="18" fillId="10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2" borderId="0" applyAlignment="1" pivotButton="0" quotePrefix="0" xfId="0">
      <alignment horizontal="general" vertical="bottom"/>
    </xf>
    <xf numFmtId="0" fontId="19" fillId="5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center" wrapText="1"/>
    </xf>
    <xf numFmtId="0" fontId="11" fillId="13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left" vertical="center" wrapText="1"/>
    </xf>
    <xf numFmtId="0" fontId="20" fillId="8" borderId="1" applyAlignment="1" pivotButton="0" quotePrefix="0" xfId="0">
      <alignment horizontal="left" vertical="center" wrapText="1"/>
    </xf>
    <xf numFmtId="164" fontId="15" fillId="3" borderId="1" applyAlignment="1" pivotButton="0" quotePrefix="0" xfId="0">
      <alignment horizontal="left" vertical="center" wrapText="1"/>
    </xf>
    <xf numFmtId="0" fontId="21" fillId="2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left" vertical="center" wrapText="1"/>
    </xf>
    <xf numFmtId="0" fontId="0" fillId="2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left" vertical="center" wrapText="1"/>
    </xf>
    <xf numFmtId="0" fontId="12" fillId="6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/>
    </xf>
    <xf numFmtId="164" fontId="11" fillId="9" borderId="1" applyAlignment="1" pivotButton="0" quotePrefix="0" xfId="0">
      <alignment horizontal="center" vertical="center" wrapText="1"/>
    </xf>
    <xf numFmtId="164" fontId="20" fillId="11" borderId="1" applyAlignment="1" pivotButton="0" quotePrefix="0" xfId="0">
      <alignment horizontal="center" vertical="center" wrapText="1"/>
    </xf>
    <xf numFmtId="164" fontId="11" fillId="11" borderId="1" applyAlignment="1" pivotButton="0" quotePrefix="0" xfId="0">
      <alignment horizontal="center" vertical="center" wrapText="1"/>
    </xf>
    <xf numFmtId="164" fontId="22" fillId="9" borderId="1" applyAlignment="1" pivotButton="0" quotePrefix="0" xfId="0">
      <alignment horizontal="center" vertical="center" wrapText="1"/>
    </xf>
    <xf numFmtId="164" fontId="23" fillId="11" borderId="1" applyAlignment="1" pivotButton="0" quotePrefix="0" xfId="0">
      <alignment horizontal="center" vertical="center" wrapText="1"/>
    </xf>
    <xf numFmtId="0" fontId="20" fillId="9" borderId="1" applyAlignment="1" pivotButton="0" quotePrefix="0" xfId="0">
      <alignment horizontal="left" vertical="center" wrapText="1"/>
    </xf>
    <xf numFmtId="164" fontId="24" fillId="9" borderId="1" applyAlignment="1" pivotButton="0" quotePrefix="0" xfId="0">
      <alignment horizontal="center" vertical="center" wrapText="1"/>
    </xf>
    <xf numFmtId="164" fontId="24" fillId="11" borderId="1" applyAlignment="1" pivotButton="0" quotePrefix="0" xfId="0">
      <alignment horizontal="center" vertical="center" wrapText="1"/>
    </xf>
    <xf numFmtId="0" fontId="11" fillId="11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left" vertical="center" wrapText="1"/>
    </xf>
    <xf numFmtId="166" fontId="20" fillId="8" borderId="1" applyAlignment="1" pivotButton="0" quotePrefix="0" xfId="0">
      <alignment horizontal="left" vertical="center" wrapText="1"/>
    </xf>
    <xf numFmtId="166" fontId="20" fillId="9" borderId="1" applyAlignment="1" pivotButton="0" quotePrefix="0" xfId="0">
      <alignment horizontal="center" vertical="center" wrapText="1"/>
    </xf>
    <xf numFmtId="166" fontId="20" fillId="11" borderId="1" applyAlignment="1" pivotButton="0" quotePrefix="0" xfId="0">
      <alignment horizontal="center" vertical="center" wrapText="1"/>
    </xf>
    <xf numFmtId="166" fontId="11" fillId="11" borderId="1" applyAlignment="1" pivotButton="0" quotePrefix="0" xfId="0">
      <alignment horizontal="center" vertical="center" wrapText="1"/>
    </xf>
    <xf numFmtId="166" fontId="11" fillId="9" borderId="1" applyAlignment="1" pivotButton="0" quotePrefix="0" xfId="0">
      <alignment horizontal="left" vertical="center" wrapText="1"/>
    </xf>
    <xf numFmtId="166" fontId="11" fillId="9" borderId="1" applyAlignment="1" pivotButton="0" quotePrefix="0" xfId="0">
      <alignment horizontal="center" vertical="center" wrapText="1"/>
    </xf>
    <xf numFmtId="166" fontId="11" fillId="8" borderId="1" applyAlignment="1" pivotButton="0" quotePrefix="0" xfId="0">
      <alignment horizontal="left" vertical="center" wrapText="1"/>
    </xf>
    <xf numFmtId="166" fontId="18" fillId="10" borderId="2" applyAlignment="1" pivotButton="0" quotePrefix="0" xfId="0">
      <alignment horizontal="left" vertical="center" wrapText="1"/>
    </xf>
    <xf numFmtId="166" fontId="18" fillId="10" borderId="2" applyAlignment="1" pivotButton="0" quotePrefix="0" xfId="0">
      <alignment horizontal="center" vertical="center" wrapText="1"/>
    </xf>
    <xf numFmtId="166" fontId="11" fillId="11" borderId="2" applyAlignment="1" pivotButton="0" quotePrefix="0" xfId="0">
      <alignment horizontal="center" vertical="center" wrapText="1"/>
    </xf>
    <xf numFmtId="166" fontId="0" fillId="4" borderId="0" applyAlignment="1" pivotButton="0" quotePrefix="0" xfId="0">
      <alignment horizontal="general" vertical="bottom"/>
    </xf>
    <xf numFmtId="166" fontId="11" fillId="11" borderId="0" applyAlignment="1" pivotButton="0" quotePrefix="0" xfId="0">
      <alignment horizontal="general" vertical="bottom"/>
    </xf>
    <xf numFmtId="166" fontId="7" fillId="5" borderId="0" applyAlignment="1" pivotButton="0" quotePrefix="0" xfId="0">
      <alignment horizontal="left" vertical="center" wrapText="1"/>
    </xf>
    <xf numFmtId="166" fontId="22" fillId="9" borderId="1" applyAlignment="1" pivotButton="0" quotePrefix="0" xfId="0">
      <alignment horizontal="center" vertical="center" wrapText="1"/>
    </xf>
    <xf numFmtId="166" fontId="23" fillId="11" borderId="1" applyAlignment="1" pivotButton="0" quotePrefix="0" xfId="0">
      <alignment horizontal="center" vertical="center" wrapText="1"/>
    </xf>
    <xf numFmtId="166" fontId="24" fillId="9" borderId="1" applyAlignment="1" pivotButton="0" quotePrefix="0" xfId="0">
      <alignment horizontal="center" vertical="center" wrapText="1"/>
    </xf>
    <xf numFmtId="166" fontId="24" fillId="11" borderId="1" applyAlignment="1" pivotButton="0" quotePrefix="0" xfId="0">
      <alignment horizontal="center" vertical="center" wrapText="1"/>
    </xf>
    <xf numFmtId="166" fontId="7" fillId="2" borderId="0" applyAlignment="1" pivotButton="0" quotePrefix="0" xfId="0">
      <alignment horizontal="left" vertical="center" wrapText="1"/>
    </xf>
    <xf numFmtId="165" fontId="11" fillId="9" borderId="1" applyAlignment="1" pivotButton="0" quotePrefix="0" xfId="0">
      <alignment horizontal="center" vertical="center" wrapText="1"/>
    </xf>
    <xf numFmtId="165" fontId="20" fillId="11" borderId="1" applyAlignment="1" pivotButton="0" quotePrefix="0" xfId="0">
      <alignment horizontal="center" vertical="center" wrapText="1"/>
    </xf>
    <xf numFmtId="165" fontId="11" fillId="11" borderId="1" applyAlignment="1" pivotButton="0" quotePrefix="0" xfId="0">
      <alignment horizontal="center" vertical="center" wrapText="1"/>
    </xf>
    <xf numFmtId="0" fontId="7" fillId="14" borderId="0" applyAlignment="1" pivotButton="0" quotePrefix="0" xfId="0">
      <alignment horizontal="left" vertical="center" wrapText="1"/>
    </xf>
    <xf numFmtId="165" fontId="18" fillId="10" borderId="1" applyAlignment="1" pivotButton="0" quotePrefix="0" xfId="0">
      <alignment horizontal="center" vertical="center" wrapText="1"/>
    </xf>
    <xf numFmtId="165" fontId="18" fillId="11" borderId="1" applyAlignment="1" pivotButton="0" quotePrefix="0" xfId="0">
      <alignment horizontal="center" vertical="center" wrapText="1"/>
    </xf>
    <xf numFmtId="3" fontId="7" fillId="5" borderId="0" applyAlignment="1" pivotButton="0" quotePrefix="0" xfId="0">
      <alignment horizontal="left" vertical="center" wrapText="1"/>
    </xf>
    <xf numFmtId="166" fontId="8" fillId="11" borderId="1" applyAlignment="1" pivotButton="0" quotePrefix="0" xfId="0">
      <alignment horizontal="left" vertical="center" wrapText="1"/>
    </xf>
    <xf numFmtId="166" fontId="27" fillId="9" borderId="1" applyAlignment="1" pivotButton="0" quotePrefix="0" xfId="0">
      <alignment horizontal="center" vertical="center" wrapText="1"/>
    </xf>
    <xf numFmtId="166" fontId="27" fillId="11" borderId="1" applyAlignment="1" pivotButton="0" quotePrefix="0" xfId="0">
      <alignment horizontal="center" vertical="center" wrapText="1"/>
    </xf>
    <xf numFmtId="166" fontId="12" fillId="5" borderId="1" applyAlignment="1" pivotButton="0" quotePrefix="0" xfId="0">
      <alignment horizontal="left" vertical="center" wrapText="1"/>
    </xf>
    <xf numFmtId="166" fontId="8" fillId="3" borderId="1" applyAlignment="1" pivotButton="0" quotePrefix="0" xfId="0">
      <alignment horizontal="left" vertical="center" wrapText="1"/>
    </xf>
    <xf numFmtId="166" fontId="8" fillId="13" borderId="1" applyAlignment="1" pivotButton="0" quotePrefix="0" xfId="0">
      <alignment horizontal="left" vertical="center" wrapText="1"/>
    </xf>
    <xf numFmtId="166" fontId="8" fillId="10" borderId="1" applyAlignment="1" pivotButton="0" quotePrefix="0" xfId="0">
      <alignment horizontal="left" vertical="center" wrapText="1"/>
    </xf>
    <xf numFmtId="166" fontId="8" fillId="8" borderId="1" applyAlignment="1" pivotButton="0" quotePrefix="0" xfId="0">
      <alignment horizontal="left" vertical="center" wrapText="1"/>
    </xf>
    <xf numFmtId="166" fontId="7" fillId="2" borderId="1" applyAlignment="1" pivotButton="0" quotePrefix="0" xfId="0">
      <alignment horizontal="left" vertical="center" wrapText="1"/>
    </xf>
    <xf numFmtId="166" fontId="28" fillId="10" borderId="2" applyAlignment="1" pivotButton="0" quotePrefix="0" xfId="0">
      <alignment horizontal="center" vertical="center" wrapText="1"/>
    </xf>
    <xf numFmtId="166" fontId="18" fillId="10" borderId="1" applyAlignment="1" pivotButton="0" quotePrefix="0" xfId="0">
      <alignment horizontal="center" vertical="center" wrapText="1"/>
    </xf>
    <xf numFmtId="166" fontId="7" fillId="14" borderId="0" applyAlignment="1" pivotButton="0" quotePrefix="0" xfId="0">
      <alignment horizontal="left" vertical="center" wrapText="1"/>
    </xf>
    <xf numFmtId="166" fontId="20" fillId="9" borderId="1" applyAlignment="1" pivotButton="0" quotePrefix="0" xfId="0">
      <alignment horizontal="left" vertical="center" wrapText="1"/>
    </xf>
    <xf numFmtId="166" fontId="18" fillId="9" borderId="1" applyAlignment="1" pivotButton="0" quotePrefix="0" xfId="0">
      <alignment horizontal="center" vertical="center" wrapText="1"/>
    </xf>
    <xf numFmtId="166" fontId="18" fillId="11" borderId="1" applyAlignment="1" pivotButton="0" quotePrefix="0" xfId="0">
      <alignment horizontal="center" vertical="center" wrapText="1"/>
    </xf>
    <xf numFmtId="166" fontId="12" fillId="5" borderId="0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center" vertical="center" wrapText="1"/>
    </xf>
    <xf numFmtId="0" fontId="23" fillId="11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165" fontId="20" fillId="9" borderId="1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left" vertical="center" wrapText="1"/>
    </xf>
    <xf numFmtId="166" fontId="14" fillId="7" borderId="1" applyAlignment="1" pivotButton="0" quotePrefix="0" xfId="0">
      <alignment horizontal="center" vertical="center" wrapText="1"/>
    </xf>
    <xf numFmtId="167" fontId="24" fillId="11" borderId="1" applyAlignment="1" pivotButton="0" quotePrefix="0" xfId="0">
      <alignment horizontal="center" vertical="center" wrapText="1"/>
    </xf>
    <xf numFmtId="167" fontId="11" fillId="11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left" vertical="center" wrapText="1"/>
    </xf>
    <xf numFmtId="0" fontId="20" fillId="11" borderId="1" applyAlignment="1" pivotButton="0" quotePrefix="0" xfId="0">
      <alignment horizontal="center" vertical="center" wrapText="1"/>
    </xf>
    <xf numFmtId="166" fontId="27" fillId="10" borderId="1" applyAlignment="1" pivotButton="0" quotePrefix="0" xfId="0">
      <alignment horizontal="center" vertical="center" wrapText="1"/>
    </xf>
    <xf numFmtId="0" fontId="29" fillId="2" borderId="0" applyAlignment="1" pivotButton="0" quotePrefix="0" xfId="0">
      <alignment horizontal="left" vertical="center" wrapText="1"/>
    </xf>
    <xf numFmtId="0" fontId="30" fillId="3" borderId="0" applyAlignment="1" pivotButton="0" quotePrefix="0" xfId="0">
      <alignment horizontal="left" vertical="center" wrapText="1"/>
    </xf>
    <xf numFmtId="0" fontId="7" fillId="15" borderId="3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31" fillId="17" borderId="3" applyAlignment="1" pivotButton="0" quotePrefix="0" xfId="0">
      <alignment horizontal="general" vertical="bottom"/>
    </xf>
    <xf numFmtId="0" fontId="0" fillId="17" borderId="3" applyAlignment="1" pivotButton="0" quotePrefix="0" xfId="0">
      <alignment horizontal="general" vertical="bottom"/>
    </xf>
    <xf numFmtId="0" fontId="20" fillId="12" borderId="3" applyAlignment="1" pivotButton="0" quotePrefix="0" xfId="0">
      <alignment horizontal="left" vertical="center"/>
    </xf>
    <xf numFmtId="168" fontId="32" fillId="12" borderId="3" applyAlignment="1" pivotButton="0" quotePrefix="0" xfId="0">
      <alignment horizontal="right" vertical="center"/>
    </xf>
    <xf numFmtId="0" fontId="11" fillId="9" borderId="3" applyAlignment="1" pivotButton="0" quotePrefix="0" xfId="0">
      <alignment horizontal="left" vertical="center"/>
    </xf>
    <xf numFmtId="168" fontId="32" fillId="9" borderId="3" applyAlignment="1" pivotButton="0" quotePrefix="0" xfId="0">
      <alignment horizontal="right" vertical="center"/>
    </xf>
    <xf numFmtId="168" fontId="32" fillId="10" borderId="3" applyAlignment="1" pivotButton="0" quotePrefix="0" xfId="0">
      <alignment horizontal="right" vertical="center"/>
    </xf>
    <xf numFmtId="165" fontId="20" fillId="3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11" fillId="12" borderId="3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 wrapText="1"/>
    </xf>
    <xf numFmtId="169" fontId="32" fillId="9" borderId="3" applyAlignment="1" pivotButton="0" quotePrefix="0" xfId="0">
      <alignment horizontal="right" vertical="center"/>
    </xf>
    <xf numFmtId="169" fontId="32" fillId="10" borderId="3" applyAlignment="1" pivotButton="0" quotePrefix="0" xfId="0">
      <alignment horizontal="right" vertical="center"/>
    </xf>
    <xf numFmtId="169" fontId="32" fillId="12" borderId="3" applyAlignment="1" pivotButton="0" quotePrefix="0" xfId="0">
      <alignment horizontal="right" vertical="center"/>
    </xf>
    <xf numFmtId="0" fontId="11" fillId="4" borderId="3" applyAlignment="1" pivotButton="0" quotePrefix="0" xfId="0">
      <alignment horizontal="left" vertical="center"/>
    </xf>
    <xf numFmtId="168" fontId="32" fillId="4" borderId="3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 wrapText="1"/>
    </xf>
    <xf numFmtId="0" fontId="11" fillId="17" borderId="3" applyAlignment="1" pivotButton="0" quotePrefix="0" xfId="0">
      <alignment horizontal="left" vertical="center" wrapText="1"/>
    </xf>
    <xf numFmtId="165" fontId="18" fillId="17" borderId="3" applyAlignment="1" pivotButton="0" quotePrefix="0" xfId="0">
      <alignment horizontal="center" vertical="center" wrapText="1"/>
    </xf>
    <xf numFmtId="165" fontId="11" fillId="17" borderId="3" applyAlignment="1" pivotButton="0" quotePrefix="0" xfId="0">
      <alignment horizontal="center" vertical="center" wrapText="1"/>
    </xf>
    <xf numFmtId="0" fontId="11" fillId="2" borderId="3" applyAlignment="1" pivotButton="0" quotePrefix="0" xfId="0">
      <alignment horizontal="left" vertical="center"/>
    </xf>
    <xf numFmtId="169" fontId="32" fillId="0" borderId="3" applyAlignment="1" pivotButton="0" quotePrefix="0" xfId="0">
      <alignment horizontal="right" vertical="center"/>
    </xf>
    <xf numFmtId="170" fontId="28" fillId="10" borderId="1" applyAlignment="1" pivotButton="0" quotePrefix="0" xfId="0">
      <alignment horizontal="center" vertical="center"/>
    </xf>
    <xf numFmtId="170" fontId="28" fillId="9" borderId="1" applyAlignment="1" pivotButton="0" quotePrefix="0" xfId="0">
      <alignment horizontal="center" vertical="center"/>
    </xf>
    <xf numFmtId="170" fontId="11" fillId="10" borderId="1" applyAlignment="1" pivotButton="0" quotePrefix="0" xfId="0">
      <alignment horizontal="center" vertical="center"/>
    </xf>
    <xf numFmtId="49" fontId="28" fillId="10" borderId="1" applyAlignment="1" pivotButton="0" quotePrefix="0" xfId="0">
      <alignment horizontal="center" vertical="center"/>
    </xf>
    <xf numFmtId="167" fontId="18" fillId="17" borderId="3" applyAlignment="1" pivotButton="0" quotePrefix="0" xfId="0">
      <alignment horizontal="center" vertical="center" wrapText="1"/>
    </xf>
    <xf numFmtId="167" fontId="11" fillId="17" borderId="3" applyAlignment="1" pivotButton="0" quotePrefix="0" xfId="0">
      <alignment horizontal="center" vertical="center" wrapText="1"/>
    </xf>
    <xf numFmtId="0" fontId="20" fillId="2" borderId="3" applyAlignment="1" pivotButton="0" quotePrefix="0" xfId="0">
      <alignment horizontal="left" vertical="center"/>
    </xf>
    <xf numFmtId="168" fontId="32" fillId="0" borderId="3" applyAlignment="1" pivotButton="0" quotePrefix="0" xfId="0">
      <alignment horizontal="right" vertical="center"/>
    </xf>
    <xf numFmtId="171" fontId="32" fillId="12" borderId="3" applyAlignment="1" pivotButton="0" quotePrefix="0" xfId="0">
      <alignment horizontal="right" vertical="center"/>
    </xf>
    <xf numFmtId="3" fontId="32" fillId="12" borderId="3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3" fontId="32" fillId="0" borderId="3" applyAlignment="1" pivotButton="0" quotePrefix="0" xfId="0">
      <alignment horizontal="right" vertical="center"/>
    </xf>
    <xf numFmtId="172" fontId="32" fillId="0" borderId="3" applyAlignment="1" pivotButton="0" quotePrefix="0" xfId="0">
      <alignment horizontal="right" vertical="center"/>
    </xf>
    <xf numFmtId="0" fontId="21" fillId="2" borderId="0" applyAlignment="1" pivotButton="0" quotePrefix="0" xfId="0">
      <alignment horizontal="general" vertical="bottom"/>
    </xf>
    <xf numFmtId="0" fontId="33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4" fontId="14" fillId="7" borderId="0" applyAlignment="1" pivotButton="0" quotePrefix="0" xfId="0">
      <alignment horizontal="general" vertical="bottom"/>
    </xf>
    <xf numFmtId="173" fontId="14" fillId="7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74" fontId="14" fillId="7" borderId="0" applyAlignment="1" pivotButton="0" quotePrefix="0" xfId="0">
      <alignment horizontal="general" vertical="bottom"/>
    </xf>
    <xf numFmtId="0" fontId="20" fillId="10" borderId="0" applyAlignment="1" pivotButton="0" quotePrefix="0" xfId="0">
      <alignment horizontal="general" vertical="bottom"/>
    </xf>
    <xf numFmtId="164" fontId="2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0" fontId="11" fillId="8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20" fillId="12" borderId="3" applyAlignment="1" pivotButton="0" quotePrefix="0" xfId="0">
      <alignment horizontal="general" vertical="bottom"/>
    </xf>
    <xf numFmtId="0" fontId="11" fillId="0" borderId="3" applyAlignment="1" pivotButton="0" quotePrefix="0" xfId="0">
      <alignment horizontal="general" vertical="bottom"/>
    </xf>
    <xf numFmtId="0" fontId="11" fillId="12" borderId="3" applyAlignment="1" pivotButton="0" quotePrefix="0" xfId="0">
      <alignment horizontal="general" vertical="bottom"/>
    </xf>
    <xf numFmtId="0" fontId="20" fillId="0" borderId="3" applyAlignment="1" pivotButton="0" quotePrefix="0" xfId="0">
      <alignment horizontal="general" vertical="bottom"/>
    </xf>
    <xf numFmtId="0" fontId="32" fillId="0" borderId="3" applyAlignment="1" pivotButton="0" quotePrefix="0" xfId="0">
      <alignment horizontal="general" vertical="bottom"/>
    </xf>
    <xf numFmtId="168" fontId="32" fillId="0" borderId="3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center" vertical="bottom"/>
    </xf>
    <xf numFmtId="0" fontId="34" fillId="0" borderId="0" applyAlignment="1" pivotButton="0" quotePrefix="0" xfId="0">
      <alignment horizontal="general" vertical="bottom"/>
    </xf>
    <xf numFmtId="168" fontId="0" fillId="18" borderId="3" applyAlignment="1" pivotButton="0" quotePrefix="0" xfId="0">
      <alignment horizontal="right" vertical="center"/>
    </xf>
    <xf numFmtId="168" fontId="0" fillId="0" borderId="3" applyAlignment="1" pivotButton="0" quotePrefix="0" xfId="0">
      <alignment horizontal="right" vertical="center"/>
    </xf>
    <xf numFmtId="168" fontId="0" fillId="19" borderId="3" applyAlignment="1" pivotButton="0" quotePrefix="0" xfId="0">
      <alignment horizontal="right" vertical="center"/>
    </xf>
    <xf numFmtId="3" fontId="32" fillId="12" borderId="3" applyAlignment="1" pivotButton="0" quotePrefix="0" xfId="0">
      <alignment horizontal="general" vertical="bottom"/>
    </xf>
    <xf numFmtId="3" fontId="11" fillId="12" borderId="3" applyAlignment="1" pivotButton="0" quotePrefix="0" xfId="0">
      <alignment horizontal="general" vertical="bottom"/>
    </xf>
    <xf numFmtId="3" fontId="32" fillId="0" borderId="3" applyAlignment="1" pivotButton="0" quotePrefix="0" xfId="0">
      <alignment horizontal="general" vertical="bottom"/>
    </xf>
    <xf numFmtId="3" fontId="11" fillId="0" borderId="3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169" fontId="20" fillId="0" borderId="3" applyAlignment="1" pivotButton="0" quotePrefix="0" xfId="0">
      <alignment horizontal="general" vertical="bottom"/>
    </xf>
    <xf numFmtId="169" fontId="32" fillId="0" borderId="3" applyAlignment="1" pivotButton="0" quotePrefix="0" xfId="0">
      <alignment horizontal="general" vertical="bottom"/>
    </xf>
    <xf numFmtId="171" fontId="32" fillId="12" borderId="3" applyAlignment="1" pivotButton="0" quotePrefix="0" xfId="0">
      <alignment horizontal="general" vertical="bottom"/>
    </xf>
    <xf numFmtId="172" fontId="32" fillId="0" borderId="3" applyAlignment="1" pivotButton="0" quotePrefix="0" xfId="0">
      <alignment horizontal="general" vertical="bottom"/>
    </xf>
    <xf numFmtId="172" fontId="32" fillId="12" borderId="3" applyAlignment="1" pivotButton="0" quotePrefix="0" xfId="0">
      <alignment horizontal="general" vertical="bottom"/>
    </xf>
    <xf numFmtId="170" fontId="32" fillId="12" borderId="3" applyAlignment="1" pivotButton="0" quotePrefix="0" xfId="0">
      <alignment horizontal="general" vertical="bottom"/>
    </xf>
    <xf numFmtId="175" fontId="32" fillId="0" borderId="3" applyAlignment="1" pivotButton="0" quotePrefix="0" xfId="0">
      <alignment horizontal="general" vertical="bottom"/>
    </xf>
    <xf numFmtId="169" fontId="11" fillId="0" borderId="3" applyAlignment="1" pivotButton="0" quotePrefix="0" xfId="0">
      <alignment horizontal="right" vertical="center"/>
    </xf>
    <xf numFmtId="171" fontId="32" fillId="0" borderId="3" applyAlignment="1" pivotButton="0" quotePrefix="0" xfId="0">
      <alignment horizontal="right" vertical="center"/>
    </xf>
    <xf numFmtId="2" fontId="14" fillId="7" borderId="3" applyAlignment="1" pivotButton="0" quotePrefix="0" xfId="0">
      <alignment horizontal="right" vertical="center"/>
    </xf>
    <xf numFmtId="168" fontId="11" fillId="12" borderId="3" applyAlignment="1" pivotButton="0" quotePrefix="0" xfId="0">
      <alignment horizontal="right" vertical="center"/>
    </xf>
    <xf numFmtId="168" fontId="11" fillId="0" borderId="3" applyAlignment="1" pivotButton="0" quotePrefix="0" xfId="0">
      <alignment horizontal="right" vertical="center"/>
    </xf>
    <xf numFmtId="3" fontId="11" fillId="12" borderId="3" applyAlignment="1" pivotButton="0" quotePrefix="0" xfId="0">
      <alignment horizontal="right" vertical="center"/>
    </xf>
    <xf numFmtId="3" fontId="11" fillId="0" borderId="3" applyAlignment="1" pivotButton="0" quotePrefix="0" xfId="0">
      <alignment horizontal="right" vertical="center"/>
    </xf>
    <xf numFmtId="0" fontId="14" fillId="7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0" fillId="4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10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10" fillId="9" borderId="1" applyAlignment="1" pivotButton="0" quotePrefix="0" xfId="0">
      <alignment horizontal="left" vertical="center" wrapText="1"/>
    </xf>
    <xf numFmtId="0" fontId="10" fillId="10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left" vertical="center" wrapText="1"/>
    </xf>
    <xf numFmtId="0" fontId="11" fillId="9" borderId="1" applyAlignment="1" pivotButton="0" quotePrefix="0" xfId="0">
      <alignment horizontal="left" vertical="center" wrapText="1"/>
    </xf>
    <xf numFmtId="49" fontId="14" fillId="7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left" vertical="center"/>
    </xf>
    <xf numFmtId="164" fontId="14" fillId="7" borderId="1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general" vertical="top" wrapText="1"/>
    </xf>
    <xf numFmtId="165" fontId="14" fillId="7" borderId="1" applyAlignment="1" pivotButton="0" quotePrefix="0" xfId="0">
      <alignment horizontal="center" vertical="center" wrapText="1"/>
    </xf>
    <xf numFmtId="165" fontId="14" fillId="7" borderId="1" applyAlignment="1" pivotButton="0" quotePrefix="0" xfId="0">
      <alignment horizontal="right" vertical="center"/>
    </xf>
    <xf numFmtId="165" fontId="14" fillId="7" borderId="0" applyAlignment="1" pivotButton="0" quotePrefix="0" xfId="0">
      <alignment horizontal="right" vertical="center"/>
    </xf>
    <xf numFmtId="0" fontId="14" fillId="7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right" vertical="center"/>
    </xf>
    <xf numFmtId="0" fontId="14" fillId="7" borderId="0" applyAlignment="1" pivotButton="0" quotePrefix="0" xfId="0">
      <alignment horizontal="right" vertical="center"/>
    </xf>
    <xf numFmtId="2" fontId="14" fillId="7" borderId="1" applyAlignment="1" pivotButton="0" quotePrefix="0" xfId="0">
      <alignment horizontal="center" vertical="center" wrapText="1"/>
    </xf>
    <xf numFmtId="2" fontId="14" fillId="7" borderId="1" applyAlignment="1" pivotButton="0" quotePrefix="0" xfId="0">
      <alignment horizontal="right" vertical="center"/>
    </xf>
    <xf numFmtId="2" fontId="14" fillId="7" borderId="0" applyAlignment="1" pivotButton="0" quotePrefix="0" xfId="0">
      <alignment horizontal="right" vertical="center"/>
    </xf>
    <xf numFmtId="0" fontId="18" fillId="10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2" borderId="0" applyAlignment="1" pivotButton="0" quotePrefix="0" xfId="0">
      <alignment horizontal="general" vertical="bottom"/>
    </xf>
    <xf numFmtId="0" fontId="19" fillId="5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center" wrapText="1"/>
    </xf>
    <xf numFmtId="0" fontId="11" fillId="13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left" vertical="center" wrapText="1"/>
    </xf>
    <xf numFmtId="0" fontId="20" fillId="8" borderId="1" applyAlignment="1" pivotButton="0" quotePrefix="0" xfId="0">
      <alignment horizontal="left" vertical="center" wrapText="1"/>
    </xf>
    <xf numFmtId="164" fontId="15" fillId="3" borderId="1" applyAlignment="1" pivotButton="0" quotePrefix="0" xfId="0">
      <alignment horizontal="left" vertical="center" wrapText="1"/>
    </xf>
    <xf numFmtId="0" fontId="21" fillId="2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left" vertical="center" wrapText="1"/>
    </xf>
    <xf numFmtId="0" fontId="0" fillId="2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left" vertical="center" wrapText="1"/>
    </xf>
    <xf numFmtId="0" fontId="12" fillId="6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/>
    </xf>
    <xf numFmtId="164" fontId="11" fillId="9" borderId="1" applyAlignment="1" pivotButton="0" quotePrefix="0" xfId="0">
      <alignment horizontal="center" vertical="center" wrapText="1"/>
    </xf>
    <xf numFmtId="164" fontId="20" fillId="11" borderId="1" applyAlignment="1" pivotButton="0" quotePrefix="0" xfId="0">
      <alignment horizontal="center" vertical="center" wrapText="1"/>
    </xf>
    <xf numFmtId="164" fontId="11" fillId="11" borderId="1" applyAlignment="1" pivotButton="0" quotePrefix="0" xfId="0">
      <alignment horizontal="center" vertical="center" wrapText="1"/>
    </xf>
    <xf numFmtId="164" fontId="22" fillId="9" borderId="1" applyAlignment="1" pivotButton="0" quotePrefix="0" xfId="0">
      <alignment horizontal="center" vertical="center" wrapText="1"/>
    </xf>
    <xf numFmtId="164" fontId="23" fillId="11" borderId="1" applyAlignment="1" pivotButton="0" quotePrefix="0" xfId="0">
      <alignment horizontal="center" vertical="center" wrapText="1"/>
    </xf>
    <xf numFmtId="0" fontId="20" fillId="9" borderId="1" applyAlignment="1" pivotButton="0" quotePrefix="0" xfId="0">
      <alignment horizontal="left" vertical="center" wrapText="1"/>
    </xf>
    <xf numFmtId="164" fontId="24" fillId="9" borderId="1" applyAlignment="1" pivotButton="0" quotePrefix="0" xfId="0">
      <alignment horizontal="center" vertical="center" wrapText="1"/>
    </xf>
    <xf numFmtId="164" fontId="24" fillId="11" borderId="1" applyAlignment="1" pivotButton="0" quotePrefix="0" xfId="0">
      <alignment horizontal="center" vertical="center" wrapText="1"/>
    </xf>
    <xf numFmtId="0" fontId="11" fillId="11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left" vertical="center" wrapText="1"/>
    </xf>
    <xf numFmtId="166" fontId="20" fillId="8" borderId="1" applyAlignment="1" pivotButton="0" quotePrefix="0" xfId="0">
      <alignment horizontal="left" vertical="center" wrapText="1"/>
    </xf>
    <xf numFmtId="166" fontId="20" fillId="9" borderId="1" applyAlignment="1" pivotButton="0" quotePrefix="0" xfId="0">
      <alignment horizontal="center" vertical="center" wrapText="1"/>
    </xf>
    <xf numFmtId="166" fontId="20" fillId="11" borderId="1" applyAlignment="1" pivotButton="0" quotePrefix="0" xfId="0">
      <alignment horizontal="center" vertical="center" wrapText="1"/>
    </xf>
    <xf numFmtId="166" fontId="11" fillId="11" borderId="1" applyAlignment="1" pivotButton="0" quotePrefix="0" xfId="0">
      <alignment horizontal="center" vertical="center" wrapText="1"/>
    </xf>
    <xf numFmtId="166" fontId="11" fillId="9" borderId="1" applyAlignment="1" pivotButton="0" quotePrefix="0" xfId="0">
      <alignment horizontal="left" vertical="center" wrapText="1"/>
    </xf>
    <xf numFmtId="166" fontId="11" fillId="9" borderId="1" applyAlignment="1" pivotButton="0" quotePrefix="0" xfId="0">
      <alignment horizontal="center" vertical="center" wrapText="1"/>
    </xf>
    <xf numFmtId="166" fontId="11" fillId="8" borderId="1" applyAlignment="1" pivotButton="0" quotePrefix="0" xfId="0">
      <alignment horizontal="left" vertical="center" wrapText="1"/>
    </xf>
    <xf numFmtId="166" fontId="18" fillId="10" borderId="2" applyAlignment="1" pivotButton="0" quotePrefix="0" xfId="0">
      <alignment horizontal="left" vertical="center" wrapText="1"/>
    </xf>
    <xf numFmtId="166" fontId="18" fillId="10" borderId="2" applyAlignment="1" pivotButton="0" quotePrefix="0" xfId="0">
      <alignment horizontal="center" vertical="center" wrapText="1"/>
    </xf>
    <xf numFmtId="166" fontId="11" fillId="11" borderId="2" applyAlignment="1" pivotButton="0" quotePrefix="0" xfId="0">
      <alignment horizontal="center" vertical="center" wrapText="1"/>
    </xf>
    <xf numFmtId="166" fontId="0" fillId="4" borderId="0" applyAlignment="1" pivotButton="0" quotePrefix="0" xfId="0">
      <alignment horizontal="general" vertical="bottom"/>
    </xf>
    <xf numFmtId="166" fontId="11" fillId="11" borderId="0" applyAlignment="1" pivotButton="0" quotePrefix="0" xfId="0">
      <alignment horizontal="general" vertical="bottom"/>
    </xf>
    <xf numFmtId="166" fontId="7" fillId="5" borderId="0" applyAlignment="1" pivotButton="0" quotePrefix="0" xfId="0">
      <alignment horizontal="left" vertical="center" wrapText="1"/>
    </xf>
    <xf numFmtId="166" fontId="22" fillId="9" borderId="1" applyAlignment="1" pivotButton="0" quotePrefix="0" xfId="0">
      <alignment horizontal="center" vertical="center" wrapText="1"/>
    </xf>
    <xf numFmtId="166" fontId="23" fillId="11" borderId="1" applyAlignment="1" pivotButton="0" quotePrefix="0" xfId="0">
      <alignment horizontal="center" vertical="center" wrapText="1"/>
    </xf>
    <xf numFmtId="166" fontId="24" fillId="9" borderId="1" applyAlignment="1" pivotButton="0" quotePrefix="0" xfId="0">
      <alignment horizontal="center" vertical="center" wrapText="1"/>
    </xf>
    <xf numFmtId="166" fontId="24" fillId="11" borderId="1" applyAlignment="1" pivotButton="0" quotePrefix="0" xfId="0">
      <alignment horizontal="center" vertical="center" wrapText="1"/>
    </xf>
    <xf numFmtId="166" fontId="7" fillId="2" borderId="0" applyAlignment="1" pivotButton="0" quotePrefix="0" xfId="0">
      <alignment horizontal="left" vertical="center" wrapText="1"/>
    </xf>
    <xf numFmtId="165" fontId="11" fillId="9" borderId="1" applyAlignment="1" pivotButton="0" quotePrefix="0" xfId="0">
      <alignment horizontal="center" vertical="center" wrapText="1"/>
    </xf>
    <xf numFmtId="165" fontId="20" fillId="11" borderId="1" applyAlignment="1" pivotButton="0" quotePrefix="0" xfId="0">
      <alignment horizontal="center" vertical="center" wrapText="1"/>
    </xf>
    <xf numFmtId="165" fontId="11" fillId="11" borderId="1" applyAlignment="1" pivotButton="0" quotePrefix="0" xfId="0">
      <alignment horizontal="center" vertical="center" wrapText="1"/>
    </xf>
    <xf numFmtId="0" fontId="7" fillId="14" borderId="0" applyAlignment="1" pivotButton="0" quotePrefix="0" xfId="0">
      <alignment horizontal="left" vertical="center" wrapText="1"/>
    </xf>
    <xf numFmtId="165" fontId="18" fillId="10" borderId="1" applyAlignment="1" pivotButton="0" quotePrefix="0" xfId="0">
      <alignment horizontal="center" vertical="center" wrapText="1"/>
    </xf>
    <xf numFmtId="165" fontId="18" fillId="11" borderId="1" applyAlignment="1" pivotButton="0" quotePrefix="0" xfId="0">
      <alignment horizontal="center" vertical="center" wrapText="1"/>
    </xf>
    <xf numFmtId="3" fontId="7" fillId="5" borderId="0" applyAlignment="1" pivotButton="0" quotePrefix="0" xfId="0">
      <alignment horizontal="left" vertical="center" wrapText="1"/>
    </xf>
    <xf numFmtId="166" fontId="8" fillId="11" borderId="1" applyAlignment="1" pivotButton="0" quotePrefix="0" xfId="0">
      <alignment horizontal="left" vertical="center" wrapText="1"/>
    </xf>
    <xf numFmtId="166" fontId="27" fillId="9" borderId="1" applyAlignment="1" pivotButton="0" quotePrefix="0" xfId="0">
      <alignment horizontal="center" vertical="center" wrapText="1"/>
    </xf>
    <xf numFmtId="166" fontId="27" fillId="11" borderId="1" applyAlignment="1" pivotButton="0" quotePrefix="0" xfId="0">
      <alignment horizontal="center" vertical="center" wrapText="1"/>
    </xf>
    <xf numFmtId="166" fontId="12" fillId="5" borderId="1" applyAlignment="1" pivotButton="0" quotePrefix="0" xfId="0">
      <alignment horizontal="left" vertical="center" wrapText="1"/>
    </xf>
    <xf numFmtId="166" fontId="8" fillId="3" borderId="1" applyAlignment="1" pivotButton="0" quotePrefix="0" xfId="0">
      <alignment horizontal="left" vertical="center" wrapText="1"/>
    </xf>
    <xf numFmtId="166" fontId="8" fillId="13" borderId="1" applyAlignment="1" pivotButton="0" quotePrefix="0" xfId="0">
      <alignment horizontal="left" vertical="center" wrapText="1"/>
    </xf>
    <xf numFmtId="166" fontId="8" fillId="10" borderId="1" applyAlignment="1" pivotButton="0" quotePrefix="0" xfId="0">
      <alignment horizontal="left" vertical="center" wrapText="1"/>
    </xf>
    <xf numFmtId="166" fontId="8" fillId="8" borderId="1" applyAlignment="1" pivotButton="0" quotePrefix="0" xfId="0">
      <alignment horizontal="left" vertical="center" wrapText="1"/>
    </xf>
    <xf numFmtId="166" fontId="7" fillId="2" borderId="1" applyAlignment="1" pivotButton="0" quotePrefix="0" xfId="0">
      <alignment horizontal="left" vertical="center" wrapText="1"/>
    </xf>
    <xf numFmtId="166" fontId="28" fillId="10" borderId="2" applyAlignment="1" pivotButton="0" quotePrefix="0" xfId="0">
      <alignment horizontal="center" vertical="center" wrapText="1"/>
    </xf>
    <xf numFmtId="166" fontId="18" fillId="10" borderId="1" applyAlignment="1" pivotButton="0" quotePrefix="0" xfId="0">
      <alignment horizontal="center" vertical="center" wrapText="1"/>
    </xf>
    <xf numFmtId="166" fontId="7" fillId="14" borderId="0" applyAlignment="1" pivotButton="0" quotePrefix="0" xfId="0">
      <alignment horizontal="left" vertical="center" wrapText="1"/>
    </xf>
    <xf numFmtId="166" fontId="20" fillId="9" borderId="1" applyAlignment="1" pivotButton="0" quotePrefix="0" xfId="0">
      <alignment horizontal="left" vertical="center" wrapText="1"/>
    </xf>
    <xf numFmtId="166" fontId="18" fillId="9" borderId="1" applyAlignment="1" pivotButton="0" quotePrefix="0" xfId="0">
      <alignment horizontal="center" vertical="center" wrapText="1"/>
    </xf>
    <xf numFmtId="166" fontId="18" fillId="11" borderId="1" applyAlignment="1" pivotButton="0" quotePrefix="0" xfId="0">
      <alignment horizontal="center" vertical="center" wrapText="1"/>
    </xf>
    <xf numFmtId="166" fontId="12" fillId="5" borderId="0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center" vertical="center" wrapText="1"/>
    </xf>
    <xf numFmtId="0" fontId="23" fillId="11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165" fontId="20" fillId="9" borderId="1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left" vertical="center" wrapText="1"/>
    </xf>
    <xf numFmtId="166" fontId="14" fillId="7" borderId="1" applyAlignment="1" pivotButton="0" quotePrefix="0" xfId="0">
      <alignment horizontal="center" vertical="center" wrapText="1"/>
    </xf>
    <xf numFmtId="167" fontId="24" fillId="11" borderId="1" applyAlignment="1" pivotButton="0" quotePrefix="0" xfId="0">
      <alignment horizontal="center" vertical="center" wrapText="1"/>
    </xf>
    <xf numFmtId="167" fontId="11" fillId="11" borderId="1" applyAlignment="1" pivotButton="0" quotePrefix="0" xfId="0">
      <alignment horizontal="center" vertical="center" wrapText="1"/>
    </xf>
    <xf numFmtId="0" fontId="20" fillId="11" borderId="1" applyAlignment="1" pivotButton="0" quotePrefix="0" xfId="0">
      <alignment horizontal="center" vertical="center" wrapText="1"/>
    </xf>
    <xf numFmtId="166" fontId="27" fillId="10" borderId="1" applyAlignment="1" pivotButton="0" quotePrefix="0" xfId="0">
      <alignment horizontal="center" vertical="center" wrapText="1"/>
    </xf>
    <xf numFmtId="0" fontId="29" fillId="2" borderId="0" applyAlignment="1" pivotButton="0" quotePrefix="0" xfId="0">
      <alignment horizontal="left" vertical="center" wrapText="1"/>
    </xf>
    <xf numFmtId="0" fontId="30" fillId="3" borderId="0" applyAlignment="1" pivotButton="0" quotePrefix="0" xfId="0">
      <alignment horizontal="left" vertical="center" wrapText="1"/>
    </xf>
    <xf numFmtId="0" fontId="7" fillId="15" borderId="3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31" fillId="17" borderId="3" applyAlignment="1" pivotButton="0" quotePrefix="0" xfId="0">
      <alignment horizontal="general" vertical="bottom"/>
    </xf>
    <xf numFmtId="0" fontId="0" fillId="17" borderId="3" applyAlignment="1" pivotButton="0" quotePrefix="0" xfId="0">
      <alignment horizontal="general" vertical="bottom"/>
    </xf>
    <xf numFmtId="0" fontId="20" fillId="12" borderId="3" applyAlignment="1" pivotButton="0" quotePrefix="0" xfId="0">
      <alignment horizontal="left" vertical="center"/>
    </xf>
    <xf numFmtId="168" fontId="32" fillId="12" borderId="3" applyAlignment="1" pivotButton="0" quotePrefix="0" xfId="0">
      <alignment horizontal="right" vertical="center"/>
    </xf>
    <xf numFmtId="0" fontId="11" fillId="9" borderId="3" applyAlignment="1" pivotButton="0" quotePrefix="0" xfId="0">
      <alignment horizontal="left" vertical="center"/>
    </xf>
    <xf numFmtId="168" fontId="32" fillId="9" borderId="3" applyAlignment="1" pivotButton="0" quotePrefix="0" xfId="0">
      <alignment horizontal="right" vertical="center"/>
    </xf>
    <xf numFmtId="168" fontId="32" fillId="10" borderId="3" applyAlignment="1" pivotButton="0" quotePrefix="0" xfId="0">
      <alignment horizontal="right" vertical="center"/>
    </xf>
    <xf numFmtId="165" fontId="20" fillId="3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11" fillId="12" borderId="3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 wrapText="1"/>
    </xf>
    <xf numFmtId="169" fontId="32" fillId="9" borderId="3" applyAlignment="1" pivotButton="0" quotePrefix="0" xfId="0">
      <alignment horizontal="right" vertical="center"/>
    </xf>
    <xf numFmtId="169" fontId="32" fillId="10" borderId="3" applyAlignment="1" pivotButton="0" quotePrefix="0" xfId="0">
      <alignment horizontal="right" vertical="center"/>
    </xf>
    <xf numFmtId="169" fontId="32" fillId="12" borderId="3" applyAlignment="1" pivotButton="0" quotePrefix="0" xfId="0">
      <alignment horizontal="right" vertical="center"/>
    </xf>
    <xf numFmtId="0" fontId="11" fillId="4" borderId="3" applyAlignment="1" pivotButton="0" quotePrefix="0" xfId="0">
      <alignment horizontal="left" vertical="center"/>
    </xf>
    <xf numFmtId="168" fontId="32" fillId="4" borderId="3" applyAlignment="1" pivotButton="0" quotePrefix="0" xfId="0">
      <alignment horizontal="right" vertical="center"/>
    </xf>
    <xf numFmtId="0" fontId="11" fillId="17" borderId="3" applyAlignment="1" pivotButton="0" quotePrefix="0" xfId="0">
      <alignment horizontal="left" vertical="center" wrapText="1"/>
    </xf>
    <xf numFmtId="165" fontId="18" fillId="17" borderId="3" applyAlignment="1" pivotButton="0" quotePrefix="0" xfId="0">
      <alignment horizontal="center" vertical="center" wrapText="1"/>
    </xf>
    <xf numFmtId="165" fontId="11" fillId="17" borderId="3" applyAlignment="1" pivotButton="0" quotePrefix="0" xfId="0">
      <alignment horizontal="center" vertical="center" wrapText="1"/>
    </xf>
    <xf numFmtId="0" fontId="11" fillId="2" borderId="3" applyAlignment="1" pivotButton="0" quotePrefix="0" xfId="0">
      <alignment horizontal="left" vertical="center"/>
    </xf>
    <xf numFmtId="169" fontId="32" fillId="0" borderId="3" applyAlignment="1" pivotButton="0" quotePrefix="0" xfId="0">
      <alignment horizontal="right" vertical="center"/>
    </xf>
    <xf numFmtId="170" fontId="28" fillId="10" borderId="1" applyAlignment="1" pivotButton="0" quotePrefix="0" xfId="0">
      <alignment horizontal="center" vertical="center"/>
    </xf>
    <xf numFmtId="170" fontId="28" fillId="9" borderId="1" applyAlignment="1" pivotButton="0" quotePrefix="0" xfId="0">
      <alignment horizontal="center" vertical="center"/>
    </xf>
    <xf numFmtId="170" fontId="11" fillId="10" borderId="1" applyAlignment="1" pivotButton="0" quotePrefix="0" xfId="0">
      <alignment horizontal="center" vertical="center"/>
    </xf>
    <xf numFmtId="49" fontId="28" fillId="10" borderId="1" applyAlignment="1" pivotButton="0" quotePrefix="0" xfId="0">
      <alignment horizontal="center" vertical="center"/>
    </xf>
    <xf numFmtId="167" fontId="18" fillId="17" borderId="3" applyAlignment="1" pivotButton="0" quotePrefix="0" xfId="0">
      <alignment horizontal="center" vertical="center" wrapText="1"/>
    </xf>
    <xf numFmtId="167" fontId="11" fillId="17" borderId="3" applyAlignment="1" pivotButton="0" quotePrefix="0" xfId="0">
      <alignment horizontal="center" vertical="center" wrapText="1"/>
    </xf>
    <xf numFmtId="0" fontId="20" fillId="2" borderId="3" applyAlignment="1" pivotButton="0" quotePrefix="0" xfId="0">
      <alignment horizontal="left" vertical="center"/>
    </xf>
    <xf numFmtId="168" fontId="32" fillId="0" borderId="3" applyAlignment="1" pivotButton="0" quotePrefix="0" xfId="0">
      <alignment horizontal="right" vertical="center"/>
    </xf>
    <xf numFmtId="171" fontId="32" fillId="12" borderId="3" applyAlignment="1" pivotButton="0" quotePrefix="0" xfId="0">
      <alignment horizontal="right" vertical="center"/>
    </xf>
    <xf numFmtId="3" fontId="32" fillId="12" borderId="3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3" fontId="32" fillId="0" borderId="3" applyAlignment="1" pivotButton="0" quotePrefix="0" xfId="0">
      <alignment horizontal="right" vertical="center"/>
    </xf>
    <xf numFmtId="172" fontId="32" fillId="0" borderId="3" applyAlignment="1" pivotButton="0" quotePrefix="0" xfId="0">
      <alignment horizontal="right" vertical="center"/>
    </xf>
    <xf numFmtId="0" fontId="21" fillId="2" borderId="0" applyAlignment="1" pivotButton="0" quotePrefix="0" xfId="0">
      <alignment horizontal="general" vertical="bottom"/>
    </xf>
    <xf numFmtId="0" fontId="33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4" fontId="14" fillId="7" borderId="0" applyAlignment="1" pivotButton="0" quotePrefix="0" xfId="0">
      <alignment horizontal="general" vertical="bottom"/>
    </xf>
    <xf numFmtId="173" fontId="14" fillId="7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74" fontId="14" fillId="7" borderId="0" applyAlignment="1" pivotButton="0" quotePrefix="0" xfId="0">
      <alignment horizontal="general" vertical="bottom"/>
    </xf>
    <xf numFmtId="0" fontId="20" fillId="10" borderId="0" applyAlignment="1" pivotButton="0" quotePrefix="0" xfId="0">
      <alignment horizontal="general" vertical="bottom"/>
    </xf>
    <xf numFmtId="164" fontId="2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0" fontId="11" fillId="8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20" fillId="12" borderId="3" applyAlignment="1" pivotButton="0" quotePrefix="0" xfId="0">
      <alignment horizontal="general" vertical="bottom"/>
    </xf>
    <xf numFmtId="0" fontId="11" fillId="0" borderId="3" applyAlignment="1" pivotButton="0" quotePrefix="0" xfId="0">
      <alignment horizontal="general" vertical="bottom"/>
    </xf>
    <xf numFmtId="0" fontId="11" fillId="12" borderId="3" applyAlignment="1" pivotButton="0" quotePrefix="0" xfId="0">
      <alignment horizontal="general" vertical="bottom"/>
    </xf>
    <xf numFmtId="0" fontId="20" fillId="0" borderId="3" applyAlignment="1" pivotButton="0" quotePrefix="0" xfId="0">
      <alignment horizontal="general" vertical="bottom"/>
    </xf>
    <xf numFmtId="0" fontId="32" fillId="0" borderId="3" applyAlignment="1" pivotButton="0" quotePrefix="0" xfId="0">
      <alignment horizontal="general" vertical="bottom"/>
    </xf>
    <xf numFmtId="168" fontId="32" fillId="0" borderId="3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center" vertical="bottom"/>
    </xf>
    <xf numFmtId="0" fontId="34" fillId="0" borderId="0" applyAlignment="1" pivotButton="0" quotePrefix="0" xfId="0">
      <alignment horizontal="general" vertical="bottom"/>
    </xf>
    <xf numFmtId="168" fontId="0" fillId="18" borderId="3" applyAlignment="1" pivotButton="0" quotePrefix="0" xfId="0">
      <alignment horizontal="right" vertical="center"/>
    </xf>
    <xf numFmtId="168" fontId="0" fillId="0" borderId="3" applyAlignment="1" pivotButton="0" quotePrefix="0" xfId="0">
      <alignment horizontal="right" vertical="center"/>
    </xf>
    <xf numFmtId="168" fontId="0" fillId="19" borderId="3" applyAlignment="1" pivotButton="0" quotePrefix="0" xfId="0">
      <alignment horizontal="right" vertical="center"/>
    </xf>
    <xf numFmtId="3" fontId="32" fillId="12" borderId="3" applyAlignment="1" pivotButton="0" quotePrefix="0" xfId="0">
      <alignment horizontal="general" vertical="bottom"/>
    </xf>
    <xf numFmtId="3" fontId="11" fillId="12" borderId="3" applyAlignment="1" pivotButton="0" quotePrefix="0" xfId="0">
      <alignment horizontal="general" vertical="bottom"/>
    </xf>
    <xf numFmtId="3" fontId="32" fillId="0" borderId="3" applyAlignment="1" pivotButton="0" quotePrefix="0" xfId="0">
      <alignment horizontal="general" vertical="bottom"/>
    </xf>
    <xf numFmtId="3" fontId="11" fillId="0" borderId="3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169" fontId="20" fillId="0" borderId="3" applyAlignment="1" pivotButton="0" quotePrefix="0" xfId="0">
      <alignment horizontal="general" vertical="bottom"/>
    </xf>
    <xf numFmtId="169" fontId="32" fillId="0" borderId="3" applyAlignment="1" pivotButton="0" quotePrefix="0" xfId="0">
      <alignment horizontal="general" vertical="bottom"/>
    </xf>
    <xf numFmtId="171" fontId="32" fillId="12" borderId="3" applyAlignment="1" pivotButton="0" quotePrefix="0" xfId="0">
      <alignment horizontal="general" vertical="bottom"/>
    </xf>
    <xf numFmtId="172" fontId="32" fillId="0" borderId="3" applyAlignment="1" pivotButton="0" quotePrefix="0" xfId="0">
      <alignment horizontal="general" vertical="bottom"/>
    </xf>
    <xf numFmtId="172" fontId="32" fillId="12" borderId="3" applyAlignment="1" pivotButton="0" quotePrefix="0" xfId="0">
      <alignment horizontal="general" vertical="bottom"/>
    </xf>
    <xf numFmtId="170" fontId="32" fillId="12" borderId="3" applyAlignment="1" pivotButton="0" quotePrefix="0" xfId="0">
      <alignment horizontal="general" vertical="bottom"/>
    </xf>
    <xf numFmtId="175" fontId="32" fillId="0" borderId="3" applyAlignment="1" pivotButton="0" quotePrefix="0" xfId="0">
      <alignment horizontal="general" vertical="bottom"/>
    </xf>
    <xf numFmtId="169" fontId="11" fillId="0" borderId="3" applyAlignment="1" pivotButton="0" quotePrefix="0" xfId="0">
      <alignment horizontal="right" vertical="center"/>
    </xf>
    <xf numFmtId="171" fontId="32" fillId="0" borderId="3" applyAlignment="1" pivotButton="0" quotePrefix="0" xfId="0">
      <alignment horizontal="right" vertical="center"/>
    </xf>
    <xf numFmtId="2" fontId="14" fillId="7" borderId="3" applyAlignment="1" pivotButton="0" quotePrefix="0" xfId="0">
      <alignment horizontal="right" vertical="center"/>
    </xf>
    <xf numFmtId="168" fontId="11" fillId="12" borderId="3" applyAlignment="1" pivotButton="0" quotePrefix="0" xfId="0">
      <alignment horizontal="right" vertical="center"/>
    </xf>
    <xf numFmtId="168" fontId="11" fillId="0" borderId="3" applyAlignment="1" pivotButton="0" quotePrefix="0" xfId="0">
      <alignment horizontal="right" vertical="center"/>
    </xf>
    <xf numFmtId="3" fontId="11" fillId="12" borderId="3" applyAlignment="1" pivotButton="0" quotePrefix="0" xfId="0">
      <alignment horizontal="right" vertical="center"/>
    </xf>
    <xf numFmtId="3" fontId="11" fillId="0" borderId="3" applyAlignment="1" pivotButton="0" quotePrefix="0" xfId="0">
      <alignment horizontal="right" vertical="center"/>
    </xf>
    <xf numFmtId="0" fontId="14" fillId="7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217346"/>
      <rgbColor rgb="FFB3B3B3"/>
      <rgbColor rgb="FF888888"/>
      <rgbColor rgb="FF93A9CE"/>
      <rgbColor rgb="FFAB4744"/>
      <rgbColor rgb="FFFFF3F0"/>
      <rgbColor rgb="FFE8F5E9"/>
      <rgbColor rgb="FF6666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BF4FB"/>
      <rgbColor rgb="FFE2EFDA"/>
      <rgbColor rgb="FFF5F5F5"/>
      <rgbColor rgb="FFD6E4F0"/>
      <rgbColor rgb="FFF2F2F2"/>
      <rgbColor rgb="FFE8ECF4"/>
      <rgbColor rgb="FFFCE4D6"/>
      <rgbColor rgb="FF2E75B6"/>
      <rgbColor rgb="FF4299B0"/>
      <rgbColor rgb="FF99CC00"/>
      <rgbColor rgb="FFFFCC00"/>
      <rgbColor rgb="FFC4980A"/>
      <rgbColor rgb="FFED7D31"/>
      <rgbColor rgb="FF725990"/>
      <rgbColor rgb="FFAAAAAA"/>
      <rgbColor rgb="FF1B3A5C"/>
      <rgbColor rgb="FF4CAF50"/>
      <rgbColor rgb="FF595959"/>
      <rgbColor rgb="FF444444"/>
      <rgbColor rgb="FFE53935"/>
      <rgbColor rgb="FF7030A0"/>
      <rgbColor rgb="FF2C3E6B"/>
      <rgbColor rgb="FF1B2A4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Monthly GMV (Year 1)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areaChart>
        <grouping val="standard"/>
        <ser>
          <idx val="0"/>
          <order val="0"/>
          <spPr>
            <a:solidFill xmlns:a="http://schemas.openxmlformats.org/drawingml/2006/main">
              <a:srgbClr val="2c3e6b"/>
            </a:solidFill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REVENUE!$B$5:$M$5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REVENUE!$B$16:$M$16</f>
              <numCache>
                <formatCode>[$£-809]#,##0</formatCode>
                <ptCount val="12"/>
                <pt idx="0">
                  <v>94500</v>
                </pt>
                <pt idx="1">
                  <v>99720</v>
                </pt>
                <pt idx="2">
                  <v>105660</v>
                </pt>
                <pt idx="3">
                  <v>112500</v>
                </pt>
                <pt idx="4">
                  <v>120240</v>
                </pt>
                <pt idx="5">
                  <v>128880</v>
                </pt>
                <pt idx="6">
                  <v>138420</v>
                </pt>
                <pt idx="7">
                  <v>149220</v>
                </pt>
                <pt idx="8">
                  <v>161280</v>
                </pt>
                <pt idx="9">
                  <v>174600</v>
                </pt>
                <pt idx="10">
                  <v>189360</v>
                </pt>
                <pt idx="11">
                  <v>205740</v>
                </pt>
              </numCache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Revenue Mix (Year 1)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stacked"/>
        <varyColors val="0"/>
        <ser>
          <idx val="0"/>
          <order val="0"/>
          <tx>
            <strRef>
              <f>"Marketplace"</f>
              <strCache>
                <ptCount val="1"/>
                <pt idx="0">
                  <v>Marketplace</v>
                </pt>
              </strCache>
            </strRef>
          </tx>
          <spPr>
            <a:solidFill xmlns:a="http://schemas.openxmlformats.org/drawingml/2006/main">
              <a:srgbClr val="2c3e6b"/>
            </a:solidFill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dLblPos val="ct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Dec</v>
                  </pt>
                </lvl>
                <lvl>
                  <pt idx="0">
                    <v>Nov</v>
                  </pt>
                </lvl>
                <lvl>
                  <pt idx="0">
                    <v>Oct</v>
                  </pt>
                </lvl>
                <lvl>
                  <pt idx="0">
                    <v>Sep</v>
                  </pt>
                </lvl>
                <lvl>
                  <pt idx="0">
                    <v>Aug</v>
                  </pt>
                </lvl>
                <lvl>
                  <pt idx="0">
                    <v>Jul</v>
                  </pt>
                </lvl>
                <lvl>
                  <pt idx="0">
                    <v>Jun</v>
                  </pt>
                </lvl>
                <lvl>
                  <pt idx="0">
                    <v>May</v>
                  </pt>
                </lvl>
                <lvl>
                  <pt idx="0">
                    <v>Apr</v>
                  </pt>
                </lvl>
                <lvl>
                  <pt idx="0">
                    <v>Mar</v>
                  </pt>
                </lvl>
                <lvl>
                  <pt idx="0">
                    <v>Feb</v>
                  </pt>
                </lvl>
                <lvl>
                  <pt idx="0">
                    <v>Jan</v>
                  </pt>
                </lvl>
              </multiLvlStrCache>
              <f>REVENUE!$B$5:$M$5</f>
            </multiLvlStrRef>
          </cat>
          <val>
            <numRef>
              <f>REVENUE!$B$19:$M$19</f>
              <numCache>
                <formatCode>[$£-809]#,##0</formatCode>
                <ptCount val="12"/>
                <pt idx="0">
                  <v>16275</v>
                </pt>
                <pt idx="1">
                  <v>15058</v>
                </pt>
                <pt idx="2">
                  <v>15849</v>
                </pt>
                <pt idx="3">
                  <v>16875</v>
                </pt>
                <pt idx="4">
                  <v>18036</v>
                </pt>
                <pt idx="5">
                  <v>19332</v>
                </pt>
                <pt idx="6">
                  <v>20763</v>
                </pt>
                <pt idx="7">
                  <v>22383</v>
                </pt>
                <pt idx="8">
                  <v>24192</v>
                </pt>
                <pt idx="9">
                  <v>26190</v>
                </pt>
                <pt idx="10">
                  <v>28404</v>
                </pt>
                <pt idx="11">
                  <v>30861</v>
                </pt>
              </numCache>
            </numRef>
          </val>
        </ser>
        <ser>
          <idx val="1"/>
          <order val="1"/>
          <tx>
            <strRef>
              <f>"SaaS"</f>
              <strCache>
                <ptCount val="1"/>
                <pt idx="0">
                  <v>SaaS</v>
                </pt>
              </strCache>
            </strRef>
          </tx>
          <spPr>
            <a:solidFill xmlns:a="http://schemas.openxmlformats.org/drawingml/2006/main">
              <a:srgbClr val="c4980a"/>
            </a:solidFill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dLblPos val="ct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Dec</v>
                  </pt>
                </lvl>
                <lvl>
                  <pt idx="0">
                    <v>Nov</v>
                  </pt>
                </lvl>
                <lvl>
                  <pt idx="0">
                    <v>Oct</v>
                  </pt>
                </lvl>
                <lvl>
                  <pt idx="0">
                    <v>Sep</v>
                  </pt>
                </lvl>
                <lvl>
                  <pt idx="0">
                    <v>Aug</v>
                  </pt>
                </lvl>
                <lvl>
                  <pt idx="0">
                    <v>Jul</v>
                  </pt>
                </lvl>
                <lvl>
                  <pt idx="0">
                    <v>Jun</v>
                  </pt>
                </lvl>
                <lvl>
                  <pt idx="0">
                    <v>May</v>
                  </pt>
                </lvl>
                <lvl>
                  <pt idx="0">
                    <v>Apr</v>
                  </pt>
                </lvl>
                <lvl>
                  <pt idx="0">
                    <v>Mar</v>
                  </pt>
                </lvl>
                <lvl>
                  <pt idx="0">
                    <v>Feb</v>
                  </pt>
                </lvl>
                <lvl>
                  <pt idx="0">
                    <v>Jan</v>
                  </pt>
                </lvl>
              </multiLvlStrCache>
              <f>REVENUE!$B$5:$M$5</f>
            </multiLvlStrRef>
          </cat>
          <val>
            <numRef>
              <f>REVENUE!$B$26:$M$26</f>
              <numCache>
                <formatCode>[$£-809]#,##0</formatCode>
                <ptCount val="12"/>
                <pt idx="0">
                  <v>7475</v>
                </pt>
                <pt idx="1">
                  <v>8970</v>
                </pt>
                <pt idx="2">
                  <v>10764</v>
                </pt>
                <pt idx="3">
                  <v>12857</v>
                </pt>
                <pt idx="4">
                  <v>15249</v>
                </pt>
                <pt idx="5">
                  <v>17940</v>
                </pt>
                <pt idx="6">
                  <v>21229</v>
                </pt>
                <pt idx="7">
                  <v>25116</v>
                </pt>
                <pt idx="8">
                  <v>29302</v>
                </pt>
                <pt idx="9">
                  <v>34086</v>
                </pt>
                <pt idx="10">
                  <v>39767</v>
                </pt>
                <pt idx="11">
                  <v>46046</v>
                </pt>
              </numCache>
            </numRef>
          </val>
        </ser>
        <gapWidth val="150"/>
        <overlap val="100"/>
        <axId val="8982131"/>
        <axId val="70953551"/>
      </barChart>
      <catAx>
        <axId val="8982131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70953551"/>
        <crosses val="autoZero"/>
        <auto val="1"/>
        <lblAlgn val="ctr"/>
        <lblOffset val="100"/>
        <noMultiLvlLbl val="0"/>
      </catAx>
      <valAx>
        <axId val="70953551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[$£-809]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898213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Gross Margin % (Year 1)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spPr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REVENUE!$B$5:$M$5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REVENUE!$B$43:$M$43</f>
              <numCache>
                <formatCode>0.0%;\(0.0%\);\-</formatCode>
                <ptCount val="12"/>
                <pt idx="0">
                  <v>0.7075578947368421</v>
                </pt>
                <pt idx="1">
                  <v>0.708378558348593</v>
                </pt>
                <pt idx="2">
                  <v>0.725895614925037</v>
                </pt>
                <pt idx="3">
                  <v>0.743121888873941</v>
                </pt>
                <pt idx="4">
                  <v>0.758889589905363</v>
                </pt>
                <pt idx="5">
                  <v>0.773065035415325</v>
                </pt>
                <pt idx="6">
                  <v>0.787188512097542</v>
                </pt>
                <pt idx="7">
                  <v>0.800467799322091</v>
                </pt>
                <pt idx="8">
                  <v>0.811531760571279</v>
                </pt>
                <pt idx="9">
                  <v>0.821663680403477</v>
                </pt>
                <pt idx="10">
                  <v>0.831467339484532</v>
                </pt>
                <pt idx="11">
                  <v>0.839938367118728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84564426"/>
        <axId val="76857960"/>
      </lineChart>
      <catAx>
        <axId val="8456442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76857960"/>
        <crosses val="autoZero"/>
        <auto val="1"/>
        <lblAlgn val="ctr"/>
        <lblOffset val="100"/>
        <noMultiLvlLbl val="0"/>
      </catAx>
      <valAx>
        <axId val="76857960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0%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8456442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Monthly Headcount Cost (Year 1)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"Total HC Cost"</f>
              <strCache>
                <ptCount val="1"/>
                <pt idx="0">
                  <v>Total HC Cost</v>
                </pt>
              </strCache>
            </strRef>
          </tx>
          <spPr>
            <a:solidFill xmlns:a="http://schemas.openxmlformats.org/drawingml/2006/main">
              <a:srgbClr val="2c3e6b"/>
            </a:solidFill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Dec</v>
                  </pt>
                </lvl>
                <lvl>
                  <pt idx="0">
                    <v>Nov</v>
                  </pt>
                </lvl>
                <lvl>
                  <pt idx="0">
                    <v>Oct</v>
                  </pt>
                </lvl>
                <lvl>
                  <pt idx="0">
                    <v>Sep</v>
                  </pt>
                </lvl>
                <lvl>
                  <pt idx="0">
                    <v>Aug</v>
                  </pt>
                </lvl>
                <lvl>
                  <pt idx="0">
                    <v>Jul</v>
                  </pt>
                </lvl>
                <lvl>
                  <pt idx="0">
                    <v>Jun</v>
                  </pt>
                </lvl>
                <lvl>
                  <pt idx="0">
                    <v>May</v>
                  </pt>
                </lvl>
                <lvl>
                  <pt idx="0">
                    <v>Apr</v>
                  </pt>
                </lvl>
                <lvl>
                  <pt idx="0">
                    <v>Mar</v>
                  </pt>
                </lvl>
                <lvl>
                  <pt idx="0">
                    <v>Feb</v>
                  </pt>
                </lvl>
                <lvl>
                  <pt idx="0">
                    <v>Jan</v>
                  </pt>
                </lvl>
              </multiLvlStrCache>
              <f>HEADCOUNT!$B$5:$M$5</f>
            </multiLvlStrRef>
          </cat>
          <val>
            <numRef>
              <f>HEADCOUNT!$B$45:$M$45</f>
              <numCache>
                <formatCode>[$£-809]#,##0</formatCode>
                <ptCount val="12"/>
                <pt idx="0">
                  <v>36416</v>
                </pt>
                <pt idx="1">
                  <v>36416</v>
                </pt>
                <pt idx="2">
                  <v>56331</v>
                </pt>
                <pt idx="3">
                  <v>56331</v>
                </pt>
                <pt idx="4">
                  <v>56331</v>
                </pt>
                <pt idx="5">
                  <v>92747</v>
                </pt>
                <pt idx="6">
                  <v>92747</v>
                </pt>
                <pt idx="7">
                  <v>92747</v>
                </pt>
                <pt idx="8">
                  <v>112662</v>
                </pt>
                <pt idx="9">
                  <v>112662</v>
                </pt>
                <pt idx="10">
                  <v>112662</v>
                </pt>
                <pt idx="11">
                  <v>128594</v>
                </pt>
              </numCache>
            </numRef>
          </val>
        </ser>
        <gapWidth val="150"/>
        <overlap val="0"/>
        <axId val="33249184"/>
        <axId val="11180379"/>
      </barChart>
      <catAx>
        <axId val="3324918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11180379"/>
        <crosses val="autoZero"/>
        <auto val="1"/>
        <lblAlgn val="ctr"/>
        <lblOffset val="100"/>
        <noMultiLvlLbl val="0"/>
      </catAx>
      <valAx>
        <axId val="11180379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[$£-809]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3324918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Monthly EBITDA (Year 1)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2c3e6b"/>
            </a:solidFill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'P&amp;L'!$B$5:$M$5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'P&amp;L'!$B$33:$M$33</f>
              <numCache>
                <formatCode>[$£-809]#,##0</formatCode>
                <ptCount val="12"/>
                <pt idx="0">
                  <v>-26111.5</v>
                </pt>
                <pt idx="1">
                  <v>-25895.08</v>
                </pt>
                <pt idx="2">
                  <v>-43512.74</v>
                </pt>
                <pt idx="3">
                  <v>-40736.5</v>
                </pt>
                <pt idx="4">
                  <v>-37571.36</v>
                </pt>
                <pt idx="5">
                  <v>-70433.32000000001</v>
                </pt>
                <pt idx="6">
                  <v>-66191.38</v>
                </pt>
                <pt idx="7">
                  <v>-61225.58</v>
                </pt>
                <pt idx="8">
                  <v>-75749.92</v>
                </pt>
                <pt idx="9">
                  <v>-69635.39999999999</v>
                </pt>
                <pt idx="10">
                  <v>-62480.04</v>
                </pt>
                <pt idx="11">
                  <v>-70496.86</v>
                </pt>
              </numCache>
            </numRef>
          </val>
        </ser>
        <gapWidth val="150"/>
        <overlap val="0"/>
        <axId val="4289092"/>
        <axId val="60337392"/>
      </barChart>
      <catAx>
        <axId val="428909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60337392"/>
        <crosses val="autoZero"/>
        <auto val="1"/>
        <lblAlgn val="ctr"/>
        <lblOffset val="100"/>
        <noMultiLvlLbl val="0"/>
      </catAx>
      <valAx>
        <axId val="60337392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[$£-809]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42890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Margin Trends (Year 1)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"Gross Margin %"</f>
              <strCache>
                <ptCount val="1"/>
                <pt idx="0">
                  <v>Gross Margin %</v>
                </pt>
              </strCache>
            </strRef>
          </tx>
          <spPr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Dec</v>
                  </pt>
                </lvl>
                <lvl>
                  <pt idx="0">
                    <v>Nov</v>
                  </pt>
                </lvl>
                <lvl>
                  <pt idx="0">
                    <v>Oct</v>
                  </pt>
                </lvl>
                <lvl>
                  <pt idx="0">
                    <v>Sep</v>
                  </pt>
                </lvl>
                <lvl>
                  <pt idx="0">
                    <v>Aug</v>
                  </pt>
                </lvl>
                <lvl>
                  <pt idx="0">
                    <v>Jul</v>
                  </pt>
                </lvl>
                <lvl>
                  <pt idx="0">
                    <v>Jun</v>
                  </pt>
                </lvl>
                <lvl>
                  <pt idx="0">
                    <v>May</v>
                  </pt>
                </lvl>
                <lvl>
                  <pt idx="0">
                    <v>Apr</v>
                  </pt>
                </lvl>
                <lvl>
                  <pt idx="0">
                    <v>Mar</v>
                  </pt>
                </lvl>
                <lvl>
                  <pt idx="0">
                    <v>Feb</v>
                  </pt>
                </lvl>
                <lvl>
                  <pt idx="0">
                    <v>Jan</v>
                  </pt>
                </lvl>
              </multiLvlStrCache>
              <f>'P&amp;L'!$B$5:$M$5</f>
            </multiLvlStrRef>
          </cat>
          <val>
            <numRef>
              <f>'P&amp;L'!$B$15:$M$15</f>
              <numCache>
                <formatCode>[$£-809]#,##0</formatCode>
                <ptCount val="12"/>
                <pt idx="0">
                  <v>0.7075578947368421</v>
                </pt>
                <pt idx="1">
                  <v>0.708378558348593</v>
                </pt>
                <pt idx="2">
                  <v>0.725895614925037</v>
                </pt>
                <pt idx="3">
                  <v>0.743121888873941</v>
                </pt>
                <pt idx="4">
                  <v>0.758889589905363</v>
                </pt>
                <pt idx="5">
                  <v>0.773065035415325</v>
                </pt>
                <pt idx="6">
                  <v>0.787188512097542</v>
                </pt>
                <pt idx="7">
                  <v>0.800467799322091</v>
                </pt>
                <pt idx="8">
                  <v>0.811531760571279</v>
                </pt>
                <pt idx="9">
                  <v>0.821663680403477</v>
                </pt>
                <pt idx="10">
                  <v>0.831467339484532</v>
                </pt>
                <pt idx="11">
                  <v>0.839938367118728</v>
                </pt>
              </numCache>
            </numRef>
          </val>
          <smooth val="1"/>
        </ser>
        <ser>
          <idx val="1"/>
          <order val="1"/>
          <tx>
            <strRef>
              <f>"EBITDA Margin %"</f>
              <strCache>
                <ptCount val="1"/>
                <pt idx="0">
                  <v>EBITDA Margin %</v>
                </pt>
              </strCache>
            </strRef>
          </tx>
          <spPr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Dec</v>
                  </pt>
                </lvl>
                <lvl>
                  <pt idx="0">
                    <v>Nov</v>
                  </pt>
                </lvl>
                <lvl>
                  <pt idx="0">
                    <v>Oct</v>
                  </pt>
                </lvl>
                <lvl>
                  <pt idx="0">
                    <v>Sep</v>
                  </pt>
                </lvl>
                <lvl>
                  <pt idx="0">
                    <v>Aug</v>
                  </pt>
                </lvl>
                <lvl>
                  <pt idx="0">
                    <v>Jul</v>
                  </pt>
                </lvl>
                <lvl>
                  <pt idx="0">
                    <v>Jun</v>
                  </pt>
                </lvl>
                <lvl>
                  <pt idx="0">
                    <v>May</v>
                  </pt>
                </lvl>
                <lvl>
                  <pt idx="0">
                    <v>Apr</v>
                  </pt>
                </lvl>
                <lvl>
                  <pt idx="0">
                    <v>Mar</v>
                  </pt>
                </lvl>
                <lvl>
                  <pt idx="0">
                    <v>Feb</v>
                  </pt>
                </lvl>
                <lvl>
                  <pt idx="0">
                    <v>Jan</v>
                  </pt>
                </lvl>
              </multiLvlStrCache>
              <f>'P&amp;L'!$B$5:$M$5</f>
            </multiLvlStrRef>
          </cat>
          <val>
            <numRef>
              <f>'P&amp;L'!$B$34:$M$34</f>
              <numCache>
                <formatCode>0.0%;\(0.0%\);\-</formatCode>
                <ptCount val="12"/>
                <pt idx="0">
                  <v>-1.09943157894737</v>
                </pt>
                <pt idx="1">
                  <v>-1.07770434493091</v>
                </pt>
                <pt idx="2">
                  <v>-1.63501822417615</v>
                </pt>
                <pt idx="3">
                  <v>-1.37012309969057</v>
                </pt>
                <pt idx="4">
                  <v>-1.12877752741475</v>
                </pt>
                <pt idx="5">
                  <v>-1.88971131144022</v>
                </pt>
                <pt idx="6">
                  <v>-1.57628548294913</v>
                </pt>
                <pt idx="7">
                  <v>-1.2889867155098</v>
                </pt>
                <pt idx="8">
                  <v>-1.41604516394362</v>
                </pt>
                <pt idx="9">
                  <v>-1.15527573163448</v>
                </pt>
                <pt idx="10">
                  <v>-0.916519341068783</v>
                </pt>
                <pt idx="11">
                  <v>-0.916650760008842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74639302"/>
        <axId val="94511914"/>
      </lineChart>
      <catAx>
        <axId val="7463930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94511914"/>
        <crosses val="autoZero"/>
        <auto val="1"/>
        <lblAlgn val="ctr"/>
        <lblOffset val="100"/>
        <noMultiLvlLbl val="0"/>
      </catAx>
      <valAx>
        <axId val="94511914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0%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7463930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Cash Position (Year 1)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areaChart>
        <grouping val="standard"/>
        <ser>
          <idx val="0"/>
          <order val="0"/>
          <spPr>
            <a:solidFill xmlns:a="http://schemas.openxmlformats.org/drawingml/2006/main">
              <a:srgbClr val="4caf50"/>
            </a:solidFill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'CASH FLOW'!$B$5:$M$5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'CASH FLOW'!$B$25:$M$25</f>
              <numCache>
                <formatCode>[$£-809]#,##0</formatCode>
                <ptCount val="12"/>
                <pt idx="0">
                  <v>519791.666666667</v>
                </pt>
                <pt idx="1">
                  <v>493911.833333333</v>
                </pt>
                <pt idx="2">
                  <v>470170.92</v>
                </pt>
                <pt idx="3">
                  <v>429257.346666667</v>
                </pt>
                <pt idx="4">
                  <v>391481.68</v>
                </pt>
                <pt idx="5">
                  <v>1857232.82</v>
                </pt>
                <pt idx="6">
                  <v>1790732.83333333</v>
                </pt>
                <pt idx="7">
                  <v>1729130.62</v>
                </pt>
                <pt idx="8">
                  <v>1672900.87333333</v>
                </pt>
                <pt idx="9">
                  <v>1602802.62</v>
                </pt>
                <pt idx="10">
                  <v>1539746.38666667</v>
                </pt>
                <pt idx="11">
                  <v>1484546.34666667</v>
                </pt>
              </numCache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Monthly Cash Burn (Year 1)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e53935"/>
            </a:solidFill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'CASH FLOW'!$B$5:$M$5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'CASH FLOW'!$B$27:$M$27</f>
              <numCache>
                <formatCode>[$£-809]#,##0</formatCode>
                <ptCount val="12"/>
                <pt idx="0">
                  <v>0</v>
                </pt>
                <pt idx="1">
                  <v>-25879.8333333333</v>
                </pt>
                <pt idx="2">
                  <v>-23740.9133333333</v>
                </pt>
                <pt idx="3">
                  <v>-40913.5733333333</v>
                </pt>
                <pt idx="4">
                  <v>-37775.6666666667</v>
                </pt>
                <pt idx="5">
                  <v>-34248.86</v>
                </pt>
                <pt idx="6">
                  <v>-66499.98666666669</v>
                </pt>
                <pt idx="7">
                  <v>-61602.2133333333</v>
                </pt>
                <pt idx="8">
                  <v>-56229.7466666667</v>
                </pt>
                <pt idx="9">
                  <v>-70098.2533333333</v>
                </pt>
                <pt idx="10">
                  <v>-63056.2333333333</v>
                </pt>
                <pt idx="11">
                  <v>-55200.04</v>
                </pt>
              </numCache>
            </numRef>
          </val>
        </ser>
        <gapWidth val="150"/>
        <overlap val="0"/>
        <axId val="78950383"/>
        <axId val="19849164"/>
      </barChart>
      <catAx>
        <axId val="7895038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19849164"/>
        <crosses val="autoZero"/>
        <auto val="1"/>
        <lblAlgn val="ctr"/>
        <lblOffset val="100"/>
        <noMultiLvlLbl val="0"/>
      </catAx>
      <valAx>
        <axId val="19849164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[$£-809]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78950383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Annual Revenue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spPr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'KPI DASHBOARD'!$C$4:$G$4</f>
              <strCache>
                <ptCount val="5"/>
                <pt idx="0">
                  <v>Year 1</v>
                </pt>
                <pt idx="1">
                  <v>Year 2</v>
                </pt>
                <pt idx="2">
                  <v>Year 3</v>
                </pt>
                <pt idx="3">
                  <v>Year 4</v>
                </pt>
                <pt idx="4">
                  <v>Year 5</v>
                </pt>
              </strCache>
            </strRef>
          </cat>
          <val>
            <numRef>
              <f>'KPI DASHBOARD'!$C$6:$G$6</f>
              <numCache>
                <formatCode>\$#,##0;"($"#,##0\);\-</formatCode>
                <ptCount val="5"/>
                <pt idx="0">
                  <v>523019</v>
                </pt>
                <pt idx="1">
                  <v>2293526</v>
                </pt>
                <pt idx="2">
                  <v>10877359</v>
                </pt>
                <pt idx="3">
                  <v>53641631</v>
                </pt>
                <pt idx="4">
                  <v>272411919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68848833"/>
        <axId val="7747355"/>
      </lineChart>
      <catAx>
        <axId val="6884883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7747355"/>
        <crosses val="autoZero"/>
        <auto val="1"/>
        <lblAlgn val="ctr"/>
        <lblOffset val="100"/>
        <noMultiLvlLbl val="0"/>
      </catAx>
      <valAx>
        <axId val="7747355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\$#,##0;&quot;($&quot;#,##0\);\-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68848833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EBITDA vs Net Income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"EBITDA"</f>
              <strCache>
                <ptCount val="1"/>
                <pt idx="0">
                  <v>EBITDA</v>
                </pt>
              </strCache>
            </strRef>
          </tx>
          <spPr>
            <a:solidFill xmlns:a="http://schemas.openxmlformats.org/drawingml/2006/main">
              <a:srgbClr val="2c3e6b"/>
            </a:solidFill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Year 5</v>
                  </pt>
                </lvl>
                <lvl>
                  <pt idx="0">
                    <v>Year 4</v>
                  </pt>
                </lvl>
                <lvl>
                  <pt idx="0">
                    <v>Year 3</v>
                  </pt>
                </lvl>
                <lvl>
                  <pt idx="0">
                    <v>Year 2</v>
                  </pt>
                </lvl>
                <lvl>
                  <pt idx="0">
                    <v>Year 1</v>
                  </pt>
                </lvl>
              </multiLvlStrCache>
              <f>'KPI DASHBOARD'!$C$4:$G$4</f>
            </multiLvlStrRef>
          </cat>
          <val>
            <numRef>
              <f>'KPI DASHBOARD'!$C$14:$G$14</f>
              <numCache>
                <formatCode>\$#,##0;"($"#,##0\);\-</formatCode>
                <ptCount val="5"/>
                <pt idx="0">
                  <v>-650039.6800000001</v>
                </pt>
                <pt idx="1">
                  <v>418090.34</v>
                </pt>
                <pt idx="2">
                  <v>8527507.42</v>
                </pt>
                <pt idx="3">
                  <v>49791627.14</v>
                </pt>
                <pt idx="4">
                  <v>263849271.82</v>
                </pt>
              </numCache>
            </numRef>
          </val>
        </ser>
        <ser>
          <idx val="1"/>
          <order val="1"/>
          <tx>
            <strRef>
              <f>"Net Income"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c4980a"/>
            </a:solidFill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Year 5</v>
                  </pt>
                </lvl>
                <lvl>
                  <pt idx="0">
                    <v>Year 4</v>
                  </pt>
                </lvl>
                <lvl>
                  <pt idx="0">
                    <v>Year 3</v>
                  </pt>
                </lvl>
                <lvl>
                  <pt idx="0">
                    <v>Year 2</v>
                  </pt>
                </lvl>
                <lvl>
                  <pt idx="0">
                    <v>Year 1</v>
                  </pt>
                </lvl>
              </multiLvlStrCache>
              <f>'KPI DASHBOARD'!$C$4:$G$4</f>
            </multiLvlStrRef>
          </cat>
          <val>
            <numRef>
              <f>'KPI DASHBOARD'!$C$16:$G$16</f>
              <numCache>
                <formatCode>\$#,##0;"($"#,##0\);\-</formatCode>
                <ptCount val="5"/>
                <pt idx="0">
                  <v>-650039.6800000001</v>
                </pt>
                <pt idx="1">
                  <v>267297.21</v>
                </pt>
                <pt idx="2">
                  <v>6395630.565</v>
                </pt>
                <pt idx="3">
                  <v>37343720.355</v>
                </pt>
                <pt idx="4">
                  <v>197886953.865</v>
                </pt>
              </numCache>
            </numRef>
          </val>
        </ser>
        <gapWidth val="150"/>
        <overlap val="0"/>
        <axId val="27862037"/>
        <axId val="90869700"/>
      </barChart>
      <catAx>
        <axId val="2786203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90869700"/>
        <crosses val="autoZero"/>
        <auto val="1"/>
        <lblAlgn val="ctr"/>
        <lblOffset val="100"/>
        <noMultiLvlLbl val="0"/>
      </catAx>
      <valAx>
        <axId val="90869700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\$#,##0;&quot;($&quot;#,##0\);\-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2786203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Cash Position (Year-End)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areaChart>
        <grouping val="standard"/>
        <ser>
          <idx val="0"/>
          <order val="0"/>
          <spPr>
            <a:solidFill xmlns:a="http://schemas.openxmlformats.org/drawingml/2006/main">
              <a:srgbClr val="4caf50"/>
            </a:solidFill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'KPI DASHBOARD'!$C$4:$G$4</f>
              <strCache>
                <ptCount val="5"/>
                <pt idx="0">
                  <v>Year 1</v>
                </pt>
                <pt idx="1">
                  <v>Year 2</v>
                </pt>
                <pt idx="2">
                  <v>Year 3</v>
                </pt>
                <pt idx="3">
                  <v>Year 4</v>
                </pt>
                <pt idx="4">
                  <v>Year 5</v>
                </pt>
              </strCache>
            </strRef>
          </cat>
          <val>
            <numRef>
              <f>'KPI DASHBOARD'!$C$22:$G$22</f>
              <numCache>
                <formatCode>\$#,##0;"($"#,##0\);\-</formatCode>
                <ptCount val="5"/>
                <pt idx="0">
                  <v>1484546.34666667</v>
                </pt>
                <pt idx="1">
                  <v>4876922.62</v>
                </pt>
                <pt idx="2">
                  <v>13244750.2666667</v>
                </pt>
                <pt idx="3">
                  <v>62113960.1533333</v>
                </pt>
                <pt idx="4">
                  <v>320806145.44</v>
                </pt>
              </numCache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Ownership Structure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b4744"/>
              </a:solidFill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aa64f"/>
              </a:solidFill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25990"/>
              </a:solidFill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299b0"/>
              </a:solidFill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dc853e"/>
              </a:solidFill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3a9ce"/>
              </a:solidFill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r>
                    <a:t/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r>
                    <a:t/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r>
                    <a:t/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r>
                    <a:t/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r>
                    <a:t/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r>
                    <a:t/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r>
                    <a:t/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r>
                  <a:t/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'CAP TABLE'!$H$19:$H$24</f>
              <strCache>
                <ptCount val="6"/>
                <pt idx="0">
                  <v xml:space="preserve">  Founder 1</v>
                </pt>
                <pt idx="1">
                  <v xml:space="preserve">  Founder 2</v>
                </pt>
                <pt idx="2">
                  <v xml:space="preserve">  ESOP Reserved</v>
                </pt>
                <pt idx="3">
                  <v xml:space="preserve">  Angel Investors (SAFE)</v>
                </pt>
                <pt idx="4">
                  <v xml:space="preserve">  Seed Investor</v>
                </pt>
                <pt idx="5">
                  <v xml:space="preserve">  Series A Lead</v>
                </pt>
              </strCache>
            </strRef>
          </cat>
          <val>
            <numRef>
              <f>'CAP TABLE'!$I$18:$I$24</f>
              <numCache>
                <formatCode>0.0%</formatCode>
                <ptCount val="7"/>
                <pt idx="1">
                  <v>0.296296296296296</v>
                </pt>
                <pt idx="2">
                  <v>0.296296296296296</v>
                </pt>
                <pt idx="3">
                  <v>0.0740740740740741</v>
                </pt>
                <pt idx="4">
                  <v>0.037037037037037</v>
                </pt>
                <pt idx="5">
                  <v>0.111111111111111</v>
                </pt>
                <pt idx="6">
                  <v>0.185185185185185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Annual Revenue Trajectory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2c3e6b"/>
            </a:solidFill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SENSITIVITY!$B$7:$F$7</f>
              <strCache>
                <ptCount val="5"/>
                <pt idx="0">
                  <v>Year 1</v>
                </pt>
                <pt idx="1">
                  <v>Year 2</v>
                </pt>
                <pt idx="2">
                  <v>Year 3</v>
                </pt>
                <pt idx="3">
                  <v>Year 4</v>
                </pt>
                <pt idx="4">
                  <v>Year 5</v>
                </pt>
              </strCache>
            </strRef>
          </cat>
          <val>
            <numRef>
              <f>SENSITIVITY!$B$8:$F$8</f>
              <numCache>
                <formatCode>\$#,##0;"($"#,##0\);\-</formatCode>
                <ptCount val="5"/>
                <pt idx="0">
                  <v>523019</v>
                </pt>
                <pt idx="1">
                  <v>2293526</v>
                </pt>
                <pt idx="2">
                  <v>10877359</v>
                </pt>
                <pt idx="3">
                  <v>53641631</v>
                </pt>
                <pt idx="4">
                  <v>272411919</v>
                </pt>
              </numCache>
            </numRef>
          </val>
        </ser>
        <gapWidth val="150"/>
        <overlap val="0"/>
        <axId val="22710544"/>
        <axId val="90711048"/>
      </barChart>
      <catAx>
        <axId val="2271054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90711048"/>
        <crosses val="autoZero"/>
        <auto val="1"/>
        <lblAlgn val="ctr"/>
        <lblOffset val="100"/>
        <noMultiLvlLbl val="0"/>
      </catAx>
      <valAx>
        <axId val="90711048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\$#,##0;&quot;($&quot;#,##0\);\-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22710544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EBITDA Margin % Trajectory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spPr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SENSITIVITY!$B$7:$F$7</f>
              <strCache>
                <ptCount val="5"/>
                <pt idx="0">
                  <v>Year 1</v>
                </pt>
                <pt idx="1">
                  <v>Year 2</v>
                </pt>
                <pt idx="2">
                  <v>Year 3</v>
                </pt>
                <pt idx="3">
                  <v>Year 4</v>
                </pt>
                <pt idx="4">
                  <v>Year 5</v>
                </pt>
              </strCache>
            </strRef>
          </cat>
          <val>
            <numRef>
              <f>SENSITIVITY!$B$12:$F$12</f>
              <numCache>
                <formatCode>0.0%</formatCode>
                <ptCount val="5"/>
                <pt idx="0">
                  <v>-0.916650760008842</v>
                </pt>
                <pt idx="1">
                  <v>0.52273737183547</v>
                </pt>
                <pt idx="2">
                  <v>0.863391561207895</v>
                </pt>
                <pt idx="3">
                  <v>0.948829139795576</v>
                </pt>
                <pt idx="4">
                  <v>0.975429498016689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9473568"/>
        <axId val="83076381"/>
      </lineChart>
      <catAx>
        <axId val="4947356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83076381"/>
        <crosses val="autoZero"/>
        <auto val="1"/>
        <lblAlgn val="ctr"/>
        <lblOffset val="100"/>
        <noMultiLvlLbl val="0"/>
      </catAx>
      <valAx>
        <axId val="83076381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0%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4947356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Cohort Retention Curves (Year 1)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"Cohort 1"</f>
              <strCache>
                <ptCount val="1"/>
                <pt idx="0">
                  <v>Cohort 1</v>
                </pt>
              </strCache>
            </strRef>
          </tx>
          <spPr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Month 12</v>
                  </pt>
                </lvl>
                <lvl>
                  <pt idx="0">
                    <v>Month 11</v>
                  </pt>
                </lvl>
                <lvl>
                  <pt idx="0">
                    <v>Month 10</v>
                  </pt>
                </lvl>
                <lvl>
                  <pt idx="0">
                    <v>Month 9</v>
                  </pt>
                </lvl>
                <lvl>
                  <pt idx="0">
                    <v>Month 8</v>
                  </pt>
                </lvl>
                <lvl>
                  <pt idx="0">
                    <v>Month 7</v>
                  </pt>
                </lvl>
                <lvl>
                  <pt idx="0">
                    <v>Month 6</v>
                  </pt>
                </lvl>
                <lvl>
                  <pt idx="0">
                    <v>Month 5</v>
                  </pt>
                </lvl>
                <lvl>
                  <pt idx="0">
                    <v>Month 4</v>
                  </pt>
                </lvl>
                <lvl>
                  <pt idx="0">
                    <v>Month 3</v>
                  </pt>
                </lvl>
                <lvl>
                  <pt idx="0">
                    <v>Month 2</v>
                  </pt>
                </lvl>
                <lvl>
                  <pt idx="0">
                    <v>Month 1</v>
                  </pt>
                </lvl>
                <lvl>
                  <pt idx="0">
                    <v>Month 0</v>
                  </pt>
                </lvl>
              </multiLvlStrCache>
              <f>'COHORT ANALYSIS'!$C$5:$O$5</f>
            </multiLvlStrRef>
          </cat>
          <val>
            <numRef>
              <f>'COHORT ANALYSIS'!$C$6:$O$6</f>
              <numCache>
                <formatCode>#,##0</formatCode>
                <ptCount val="13"/>
                <pt idx="0">
                  <v>50</v>
                </pt>
                <pt idx="1">
                  <v>48</v>
                </pt>
                <pt idx="2">
                  <v>46</v>
                </pt>
                <pt idx="3">
                  <v>44</v>
                </pt>
                <pt idx="4">
                  <v>42</v>
                </pt>
                <pt idx="5">
                  <v>40</v>
                </pt>
                <pt idx="6">
                  <v>38</v>
                </pt>
                <pt idx="7">
                  <v>36</v>
                </pt>
                <pt idx="8">
                  <v>34</v>
                </pt>
                <pt idx="9">
                  <v>32</v>
                </pt>
                <pt idx="10">
                  <v>30</v>
                </pt>
                <pt idx="11">
                  <v>29</v>
                </pt>
                <pt idx="12">
                  <v>28</v>
                </pt>
              </numCache>
            </numRef>
          </val>
          <smooth val="1"/>
        </ser>
        <ser>
          <idx val="1"/>
          <order val="1"/>
          <tx>
            <strRef>
              <f>"Cohort 2"</f>
              <strCache>
                <ptCount val="1"/>
                <pt idx="0">
                  <v>Cohort 2</v>
                </pt>
              </strCache>
            </strRef>
          </tx>
          <spPr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Month 12</v>
                  </pt>
                </lvl>
                <lvl>
                  <pt idx="0">
                    <v>Month 11</v>
                  </pt>
                </lvl>
                <lvl>
                  <pt idx="0">
                    <v>Month 10</v>
                  </pt>
                </lvl>
                <lvl>
                  <pt idx="0">
                    <v>Month 9</v>
                  </pt>
                </lvl>
                <lvl>
                  <pt idx="0">
                    <v>Month 8</v>
                  </pt>
                </lvl>
                <lvl>
                  <pt idx="0">
                    <v>Month 7</v>
                  </pt>
                </lvl>
                <lvl>
                  <pt idx="0">
                    <v>Month 6</v>
                  </pt>
                </lvl>
                <lvl>
                  <pt idx="0">
                    <v>Month 5</v>
                  </pt>
                </lvl>
                <lvl>
                  <pt idx="0">
                    <v>Month 4</v>
                  </pt>
                </lvl>
                <lvl>
                  <pt idx="0">
                    <v>Month 3</v>
                  </pt>
                </lvl>
                <lvl>
                  <pt idx="0">
                    <v>Month 2</v>
                  </pt>
                </lvl>
                <lvl>
                  <pt idx="0">
                    <v>Month 1</v>
                  </pt>
                </lvl>
                <lvl>
                  <pt idx="0">
                    <v>Month 0</v>
                  </pt>
                </lvl>
              </multiLvlStrCache>
              <f>'COHORT ANALYSIS'!$C$5:$O$5</f>
            </multiLvlStrRef>
          </cat>
          <val>
            <numRef>
              <f>'COHORT ANALYSIS'!$C$7:$O$7</f>
              <numCache>
                <formatCode>#,##0</formatCode>
                <ptCount val="13"/>
                <pt idx="0">
                  <v>55</v>
                </pt>
                <pt idx="1">
                  <v>52</v>
                </pt>
                <pt idx="2">
                  <v>49</v>
                </pt>
                <pt idx="3">
                  <v>47</v>
                </pt>
                <pt idx="4">
                  <v>45</v>
                </pt>
                <pt idx="5">
                  <v>43</v>
                </pt>
                <pt idx="6">
                  <v>41</v>
                </pt>
                <pt idx="7">
                  <v>39</v>
                </pt>
                <pt idx="8">
                  <v>37</v>
                </pt>
                <pt idx="9">
                  <v>35</v>
                </pt>
                <pt idx="10">
                  <v>33</v>
                </pt>
                <pt idx="11">
                  <v>31</v>
                </pt>
              </numCache>
            </numRef>
          </val>
          <smooth val="1"/>
        </ser>
        <ser>
          <idx val="2"/>
          <order val="2"/>
          <tx>
            <strRef>
              <f>"Cohort 3"</f>
              <strCache>
                <ptCount val="1"/>
                <pt idx="0">
                  <v>Cohort 3</v>
                </pt>
              </strCache>
            </strRef>
          </tx>
          <spPr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Month 12</v>
                  </pt>
                </lvl>
                <lvl>
                  <pt idx="0">
                    <v>Month 11</v>
                  </pt>
                </lvl>
                <lvl>
                  <pt idx="0">
                    <v>Month 10</v>
                  </pt>
                </lvl>
                <lvl>
                  <pt idx="0">
                    <v>Month 9</v>
                  </pt>
                </lvl>
                <lvl>
                  <pt idx="0">
                    <v>Month 8</v>
                  </pt>
                </lvl>
                <lvl>
                  <pt idx="0">
                    <v>Month 7</v>
                  </pt>
                </lvl>
                <lvl>
                  <pt idx="0">
                    <v>Month 6</v>
                  </pt>
                </lvl>
                <lvl>
                  <pt idx="0">
                    <v>Month 5</v>
                  </pt>
                </lvl>
                <lvl>
                  <pt idx="0">
                    <v>Month 4</v>
                  </pt>
                </lvl>
                <lvl>
                  <pt idx="0">
                    <v>Month 3</v>
                  </pt>
                </lvl>
                <lvl>
                  <pt idx="0">
                    <v>Month 2</v>
                  </pt>
                </lvl>
                <lvl>
                  <pt idx="0">
                    <v>Month 1</v>
                  </pt>
                </lvl>
                <lvl>
                  <pt idx="0">
                    <v>Month 0</v>
                  </pt>
                </lvl>
              </multiLvlStrCache>
              <f>'COHORT ANALYSIS'!$C$5:$O$5</f>
            </multiLvlStrRef>
          </cat>
          <val>
            <numRef>
              <f>'COHORT ANALYSIS'!$C$8:$O$8</f>
              <numCache>
                <formatCode>#,##0</formatCode>
                <ptCount val="13"/>
                <pt idx="0">
                  <v>61</v>
                </pt>
                <pt idx="1">
                  <v>58</v>
                </pt>
                <pt idx="2">
                  <v>55</v>
                </pt>
                <pt idx="3">
                  <v>52</v>
                </pt>
                <pt idx="4">
                  <v>49</v>
                </pt>
                <pt idx="5">
                  <v>47</v>
                </pt>
                <pt idx="6">
                  <v>45</v>
                </pt>
                <pt idx="7">
                  <v>43</v>
                </pt>
                <pt idx="8">
                  <v>41</v>
                </pt>
                <pt idx="9">
                  <v>39</v>
                </pt>
                <pt idx="10">
                  <v>37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86608715"/>
        <axId val="18750972"/>
      </lineChart>
      <catAx>
        <axId val="8660871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18750972"/>
        <crosses val="autoZero"/>
        <auto val="1"/>
        <lblAlgn val="ctr"/>
        <lblOffset val="100"/>
        <noMultiLvlLbl val="0"/>
      </catAx>
      <valAx>
        <axId val="18750972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Remaining Buyers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8660871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Monthly Revenue (Year 1)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2c3e6b"/>
            </a:solidFill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'MONTHLY DASHBOARD'!$B$4:$M$4</f>
              <strCache>
                <ptCount val="12"/>
                <pt idx="0">
                  <v>M1</v>
                </pt>
                <pt idx="1">
                  <v>M2</v>
                </pt>
                <pt idx="2">
                  <v>M3</v>
                </pt>
                <pt idx="3">
                  <v>M4</v>
                </pt>
                <pt idx="4">
                  <v>M5</v>
                </pt>
                <pt idx="5">
                  <v>M6</v>
                </pt>
                <pt idx="6">
                  <v>M7</v>
                </pt>
                <pt idx="7">
                  <v>M8</v>
                </pt>
                <pt idx="8">
                  <v>M9</v>
                </pt>
                <pt idx="9">
                  <v>M10</v>
                </pt>
                <pt idx="10">
                  <v>M11</v>
                </pt>
                <pt idx="11">
                  <v>M12</v>
                </pt>
              </strCache>
            </strRef>
          </cat>
          <val>
            <numRef>
              <f>'MONTHLY DASHBOARD'!$B$6:$M$6</f>
              <numCache>
                <formatCode>\$#,##0;"($"#,##0\);\-</formatCode>
                <ptCount val="12"/>
                <pt idx="0">
                  <v>23750</v>
                </pt>
                <pt idx="1">
                  <v>24028</v>
                </pt>
                <pt idx="2">
                  <v>26613</v>
                </pt>
                <pt idx="3">
                  <v>29732</v>
                </pt>
                <pt idx="4">
                  <v>33285</v>
                </pt>
                <pt idx="5">
                  <v>37272</v>
                </pt>
                <pt idx="6">
                  <v>41992</v>
                </pt>
                <pt idx="7">
                  <v>47499</v>
                </pt>
                <pt idx="8">
                  <v>53494</v>
                </pt>
                <pt idx="9">
                  <v>60276</v>
                </pt>
                <pt idx="10">
                  <v>68171</v>
                </pt>
                <pt idx="11">
                  <v>76907</v>
                </pt>
              </numCache>
            </numRef>
          </val>
        </ser>
        <gapWidth val="150"/>
        <overlap val="0"/>
        <axId val="75946827"/>
        <axId val="15661407"/>
      </barChart>
      <catAx>
        <axId val="7594682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15661407"/>
        <crosses val="autoZero"/>
        <auto val="1"/>
        <lblAlgn val="ctr"/>
        <lblOffset val="100"/>
        <noMultiLvlLbl val="0"/>
      </catAx>
      <valAx>
        <axId val="15661407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\$#,##0;&quot;($&quot;#,##0\);\-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7594682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Cash Position (Year 1)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areaChart>
        <grouping val="standard"/>
        <ser>
          <idx val="0"/>
          <order val="0"/>
          <spPr>
            <a:solidFill xmlns:a="http://schemas.openxmlformats.org/drawingml/2006/main">
              <a:srgbClr val="4caf50"/>
            </a:solidFill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'MONTHLY DASHBOARD'!$B$4:$M$4</f>
              <strCache>
                <ptCount val="12"/>
                <pt idx="0">
                  <v>M1</v>
                </pt>
                <pt idx="1">
                  <v>M2</v>
                </pt>
                <pt idx="2">
                  <v>M3</v>
                </pt>
                <pt idx="3">
                  <v>M4</v>
                </pt>
                <pt idx="4">
                  <v>M5</v>
                </pt>
                <pt idx="5">
                  <v>M6</v>
                </pt>
                <pt idx="6">
                  <v>M7</v>
                </pt>
                <pt idx="7">
                  <v>M8</v>
                </pt>
                <pt idx="8">
                  <v>M9</v>
                </pt>
                <pt idx="9">
                  <v>M10</v>
                </pt>
                <pt idx="10">
                  <v>M11</v>
                </pt>
                <pt idx="11">
                  <v>M12</v>
                </pt>
              </strCache>
            </strRef>
          </cat>
          <val>
            <numRef>
              <f>'MONTHLY DASHBOARD'!$B$23:$M$23</f>
              <numCache>
                <formatCode>\$#,##0;"($"#,##0\);\-</formatCode>
                <ptCount val="12"/>
                <pt idx="0">
                  <v>519791.666666667</v>
                </pt>
                <pt idx="1">
                  <v>493911.833333333</v>
                </pt>
                <pt idx="2">
                  <v>470170.92</v>
                </pt>
                <pt idx="3">
                  <v>429257.346666667</v>
                </pt>
                <pt idx="4">
                  <v>391481.68</v>
                </pt>
                <pt idx="5">
                  <v>1857232.82</v>
                </pt>
                <pt idx="6">
                  <v>1790732.83333333</v>
                </pt>
                <pt idx="7">
                  <v>1729130.62</v>
                </pt>
                <pt idx="8">
                  <v>1672900.87333333</v>
                </pt>
                <pt idx="9">
                  <v>1602802.62</v>
                </pt>
                <pt idx="10">
                  <v>1539746.38666667</v>
                </pt>
                <pt idx="11">
                  <v>1484546.34666667</v>
                </pt>
              </numCache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Year 3 Revenue by Scenario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2c3e6b"/>
            </a:solidFill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SCENARIOS!$B$15:$D$15</f>
              <strCache>
                <ptCount val="3"/>
                <pt idx="0">
                  <v>Bear Case</v>
                </pt>
                <pt idx="1">
                  <v>Base Case</v>
                </pt>
                <pt idx="2">
                  <v>Bull Case</v>
                </pt>
              </strCache>
            </strRef>
          </cat>
          <val>
            <numRef>
              <f>SCENARIOS!$B$16:$D$16</f>
              <numCache>
                <formatCode>\$#,##0;"($"#,##0\);\-</formatCode>
                <ptCount val="3"/>
                <pt idx="0">
                  <v>6526415.4</v>
                </pt>
                <pt idx="1">
                  <v>10877359</v>
                </pt>
                <pt idx="2">
                  <v>16316038.5</v>
                </pt>
              </numCache>
            </numRef>
          </val>
        </ser>
        <gapWidth val="150"/>
        <overlap val="0"/>
        <axId val="16088039"/>
        <axId val="89153531"/>
      </barChart>
      <catAx>
        <axId val="1608803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89153531"/>
        <crosses val="autoZero"/>
        <auto val="1"/>
        <lblAlgn val="ctr"/>
        <lblOffset val="100"/>
        <noMultiLvlLbl val="0"/>
      </catAx>
      <valAx>
        <axId val="89153531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\$#,##0;&quot;($&quot;#,##0\);\-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16088039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Year 3 EBITDA by Scenario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c4980a"/>
            </a:solidFill>
            <a:ln xmlns:a="http://schemas.openxmlformats.org/drawingml/2006/main" w="2200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SCENARIOS!$B$15:$D$15</f>
              <strCache>
                <ptCount val="3"/>
                <pt idx="0">
                  <v>Bear Case</v>
                </pt>
                <pt idx="1">
                  <v>Base Case</v>
                </pt>
                <pt idx="2">
                  <v>Bull Case</v>
                </pt>
              </strCache>
            </strRef>
          </cat>
          <val>
            <numRef>
              <f>SCENARIOS!$B$18:$D$18</f>
              <numCache>
                <formatCode>\$#,##0;"($"#,##0\);\-</formatCode>
                <ptCount val="3"/>
                <pt idx="0">
                  <v>5116504.452</v>
                </pt>
                <pt idx="1">
                  <v>8527507.42</v>
                </pt>
                <pt idx="2">
                  <v>12791261.13</v>
                </pt>
              </numCache>
            </numRef>
          </val>
        </ser>
        <gapWidth val="150"/>
        <overlap val="0"/>
        <axId val="41741171"/>
        <axId val="38932539"/>
      </barChart>
      <catAx>
        <axId val="41741171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38932539"/>
        <crosses val="autoZero"/>
        <auto val="1"/>
        <lblAlgn val="ctr"/>
        <lblOffset val="100"/>
        <noMultiLvlLbl val="0"/>
      </catAx>
      <valAx>
        <axId val="38932539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\$#,##0;&quot;($&quot;#,##0\);\-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r>
              <a:t/>
            </a:r>
          </a:p>
        </txPr>
        <crossAx val="4174117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45</row>
      <rowOff>0</rowOff>
    </from>
    <to>
      <col>11</col>
      <colOff>95400</colOff>
      <row>68</row>
      <rowOff>78120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</col>
      <colOff>0</colOff>
      <row>61</row>
      <rowOff>0</rowOff>
    </from>
    <to>
      <col>11</col>
      <colOff>95400</colOff>
      <row>84</row>
      <rowOff>78120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77</row>
      <rowOff>0</rowOff>
    </from>
    <to>
      <col>11</col>
      <colOff>95400</colOff>
      <row>100</row>
      <rowOff>78120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0</colOff>
      <row>47</row>
      <rowOff>0</rowOff>
    </from>
    <to>
      <col>11</col>
      <colOff>95400</colOff>
      <row>70</row>
      <rowOff>78480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 editAs="oneCell">
    <from>
      <col>1</col>
      <colOff>0</colOff>
      <row>40</row>
      <rowOff>0</rowOff>
    </from>
    <to>
      <col>11</col>
      <colOff>95400</colOff>
      <row>63</row>
      <rowOff>78480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</col>
      <colOff>0</colOff>
      <row>56</row>
      <rowOff>0</rowOff>
    </from>
    <to>
      <col>11</col>
      <colOff>95400</colOff>
      <row>79</row>
      <rowOff>78480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 editAs="oneCell">
    <from>
      <col>1</col>
      <colOff>0</colOff>
      <row>30</row>
      <rowOff>0</rowOff>
    </from>
    <to>
      <col>11</col>
      <colOff>95400</colOff>
      <row>53</row>
      <rowOff>78480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</col>
      <colOff>0</colOff>
      <row>46</row>
      <rowOff>0</rowOff>
    </from>
    <to>
      <col>11</col>
      <colOff>95400</colOff>
      <row>69</row>
      <rowOff>78480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17</col>
      <colOff>567000</colOff>
      <row>23</row>
      <rowOff>230760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16</row>
      <rowOff>0</rowOff>
    </from>
    <to>
      <col>17</col>
      <colOff>567000</colOff>
      <row>34</row>
      <rowOff>78120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17</col>
      <colOff>567000</colOff>
      <row>51</row>
      <rowOff>78480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 editAs="oneCell">
    <from>
      <col>0</col>
      <colOff>0</colOff>
      <row>18</row>
      <rowOff>0</rowOff>
    </from>
    <to>
      <col>4</col>
      <colOff>57240</colOff>
      <row>46</row>
      <rowOff>64800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7.xml><?xml version="1.0" encoding="utf-8"?>
<wsDr xmlns="http://schemas.openxmlformats.org/drawingml/2006/spreadsheetDrawing">
  <twoCellAnchor editAs="oneCell">
    <from>
      <col>7</col>
      <colOff>0</colOff>
      <row>5</row>
      <rowOff>0</rowOff>
    </from>
    <to>
      <col>18</col>
      <colOff>472320</colOff>
      <row>31</row>
      <rowOff>85680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21</row>
      <rowOff>0</rowOff>
    </from>
    <to>
      <col>18</col>
      <colOff>472320</colOff>
      <row>47</row>
      <rowOff>86040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8.xml><?xml version="1.0" encoding="utf-8"?>
<wsDr xmlns="http://schemas.openxmlformats.org/drawingml/2006/spreadsheetDrawing">
  <twoCellAnchor editAs="oneCell">
    <from>
      <col>0</col>
      <colOff>0</colOff>
      <row>31</row>
      <rowOff>0</rowOff>
    </from>
    <to>
      <col>7</col>
      <colOff>588600</colOff>
      <row>57</row>
      <rowOff>86040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9.xml><?xml version="1.0" encoding="utf-8"?>
<wsDr xmlns="http://schemas.openxmlformats.org/drawingml/2006/spreadsheetDrawing">
  <twoCellAnchor editAs="oneCell">
    <from>
      <col>0</col>
      <colOff>0</colOff>
      <row>33</row>
      <rowOff>0</rowOff>
    </from>
    <to>
      <col>7</col>
      <colOff>870480</colOff>
      <row>59</row>
      <rowOff>86040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49</row>
      <rowOff>0</rowOff>
    </from>
    <to>
      <col>7</col>
      <colOff>870480</colOff>
      <row>75</row>
      <rowOff>86040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10.xml><?xml version="1.0" encoding="utf-8"?>
<wsDr xmlns="http://schemas.openxmlformats.org/drawingml/2006/spreadsheetDrawing">
  <twoCellAnchor editAs="oneCell">
    <from>
      <col>5</col>
      <colOff>0</colOff>
      <row>4</row>
      <rowOff>0</rowOff>
    </from>
    <to>
      <col>15</col>
      <colOff>363960</colOff>
      <row>30</row>
      <rowOff>86040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0</colOff>
      <row>20</row>
      <rowOff>0</rowOff>
    </from>
    <to>
      <col>15</col>
      <colOff>363960</colOff>
      <row>46</row>
      <rowOff>86040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 filterMode="0">
    <tabColor rgb="FF1B3A5C"/>
    <outlinePr summaryBelow="1" summaryRight="1"/>
    <pageSetUpPr fitToPage="0"/>
  </sheetPr>
  <dimension ref="B2: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customHeight="1" zeroHeight="0" outlineLevelRow="0"/>
  <cols>
    <col width="2" customWidth="1" style="217" min="1" max="1"/>
    <col width="28" customWidth="1" style="217" min="2" max="2"/>
    <col width="52" customWidth="1" style="217" min="3" max="3"/>
    <col width="20" customWidth="1" style="217" min="4" max="4"/>
    <col width="8.710000000000001" customWidth="1" style="217" min="5" max="26"/>
  </cols>
  <sheetData>
    <row r="1" ht="9.75" customHeight="1" s="218"/>
    <row r="2" ht="60" customHeight="1" s="218">
      <c r="B2" s="219" t="inlineStr">
        <is>
          <t>Raise Ready</t>
        </is>
      </c>
    </row>
    <row r="3" ht="30" customHeight="1" s="218">
      <c r="B3" s="220" t="inlineStr">
        <is>
          <t>Complete Financial Model — Everything</t>
        </is>
      </c>
    </row>
    <row r="4" ht="9.75" customHeight="1" s="218">
      <c r="B4" s="221" t="n"/>
    </row>
    <row r="6" ht="19.5" customHeight="1" s="218">
      <c r="B6" s="222" t="inlineStr">
        <is>
          <t>HOW TO USE THIS MODEL</t>
        </is>
      </c>
    </row>
    <row r="8" ht="42" customHeight="1" s="218">
      <c r="B8" s="223" t="inlineStr">
        <is>
          <t>Step 01: ASSUMPTIONS</t>
        </is>
      </c>
      <c r="C8" s="224" t="inlineStr">
        <is>
          <t>Enter all your business inputs here. Every cell with a yellow background is yours to fill in. Pre-loaded with example values — replace with your actuals.</t>
        </is>
      </c>
    </row>
    <row r="9" ht="42" customHeight="1" s="218">
      <c r="B9" s="223" t="inlineStr">
        <is>
          <t>Step 02: REVENUE</t>
        </is>
      </c>
      <c r="C9" s="224" t="inlineStr">
        <is>
          <t>Driver-based revenue model. Marketplace GMV, take rate, seller subscriptions, and SaaS subscription revenue — all calculated from your assumptions.</t>
        </is>
      </c>
    </row>
    <row r="10" ht="42" customHeight="1" s="218">
      <c r="B10" s="223" t="inlineStr">
        <is>
          <t>Step 03: HEADCOUNT</t>
        </is>
      </c>
      <c r="C10" s="224" t="inlineStr">
        <is>
          <t>Monthly staff costs by department, driven by start month and salary from the Assumptions tab. Add or remove roles in Assumptions section 6.</t>
        </is>
      </c>
    </row>
    <row r="11" ht="42" customHeight="1" s="218">
      <c r="B11" s="225" t="inlineStr">
        <is>
          <t>Step 04: P&amp;L</t>
        </is>
      </c>
      <c r="C11" s="224" t="inlineStr">
        <is>
          <t>Full Profit and Loss statement — revenue, COGS, headcount, and operating expenses. Generates EBITDA and net income automatically.</t>
        </is>
      </c>
    </row>
    <row r="12" ht="42" customHeight="1" s="218">
      <c r="B12" s="225" t="inlineStr">
        <is>
          <t>Step 05: CASH FLOW</t>
        </is>
      </c>
      <c r="C12" s="224" t="inlineStr">
        <is>
          <t>Operating, investing and financing cash flows. Opening balance, equity rounds, and closing cash. Runway calculated automatically.</t>
        </is>
      </c>
    </row>
    <row r="13" ht="42" customHeight="1" s="218">
      <c r="B13" s="225" t="inlineStr">
        <is>
          <t>Step 06: BALANCE SHEET</t>
        </is>
      </c>
      <c r="C13" s="224" t="inlineStr">
        <is>
          <t>Assets, liabilities and equity. Includes a balance check row — it should always show zero. If not, check your inputs.</t>
        </is>
      </c>
    </row>
    <row r="14" ht="42" customHeight="1" s="218">
      <c r="B14" s="226" t="inlineStr">
        <is>
          <t>Step 07: KPI DASHBOARD</t>
        </is>
      </c>
      <c r="C14" s="224" t="inlineStr">
        <is>
          <t>Annual summary of every investor-relevant metric. Use this as your model output page for board packs and investor updates.</t>
        </is>
      </c>
    </row>
    <row r="16" ht="19.5" customHeight="1" s="218"/>
    <row r="17" ht="30" customHeight="1" s="218">
      <c r="B17" s="227" t="inlineStr">
        <is>
          <t>15 SHEETS</t>
        </is>
      </c>
    </row>
    <row r="18" ht="21.75" customHeight="1" s="218">
      <c r="B18" s="228" t="inlineStr">
        <is>
          <t>Assumptions | Revenue | Headcount | P&amp;L | Cash Flow | Balance Sheet</t>
        </is>
      </c>
      <c r="C18" s="229" t="inlineStr">
        <is>
          <t>Your input — enter your numbers here</t>
        </is>
      </c>
    </row>
    <row r="19" ht="21.75" customHeight="1" s="218">
      <c r="B19" s="230" t="inlineStr">
        <is>
          <t>KPI Dashboard | Cap Table | Fundraise Scenarios | Sensitivity Analysis</t>
        </is>
      </c>
      <c r="C19" s="229" t="inlineStr">
        <is>
          <t>Formula — calculated automatically, do not edit</t>
        </is>
      </c>
    </row>
    <row r="20" ht="21.75" customHeight="1" s="218">
      <c r="B20" s="231" t="inlineStr">
        <is>
          <t>Cohort Analysis | Monthly Dashboard | Scenarios | Data Room</t>
        </is>
      </c>
      <c r="C20" s="229" t="inlineStr">
        <is>
          <t>Total or cross-sheet link — auto-populated</t>
        </is>
      </c>
    </row>
    <row r="21" ht="21.75" customHeight="1" s="218">
      <c r="B21" s="232" t="inlineStr">
        <is>
          <t>Blue shaded column</t>
        </is>
      </c>
      <c r="C21" s="229" t="inlineStr">
        <is>
          <t>Year total — sum or closing balance of the year</t>
        </is>
      </c>
    </row>
    <row r="22" ht="15.75" customHeight="1" s="218"/>
    <row r="23" ht="15.75" customHeight="1" s="218"/>
    <row r="24" ht="15.75" customHeight="1" s="218"/>
    <row r="25" ht="15.75" customHeight="1" s="218"/>
    <row r="26" ht="15.75" customHeight="1" s="218"/>
    <row r="27" ht="15.75" customHeight="1" s="218"/>
    <row r="28" ht="15.75" customHeight="1" s="218"/>
    <row r="29" ht="15.75" customHeight="1" s="218"/>
    <row r="30" ht="15.75" customHeight="1" s="218"/>
    <row r="31" ht="15.75" customHeight="1" s="218"/>
    <row r="32" ht="15.75" customHeight="1" s="218"/>
    <row r="33" ht="15.75" customHeight="1" s="218"/>
    <row r="34" ht="15.75" customHeight="1" s="218"/>
    <row r="35" ht="15.75" customHeight="1" s="218"/>
    <row r="36" ht="15.75" customHeight="1" s="218"/>
    <row r="37" ht="15.75" customHeight="1" s="218"/>
    <row r="38" ht="15.75" customHeight="1" s="218"/>
    <row r="39" ht="15.75" customHeight="1" s="218"/>
    <row r="40" ht="15.75" customHeight="1" s="218"/>
    <row r="41" ht="15.75" customHeight="1" s="218"/>
    <row r="42" ht="15.75" customHeight="1" s="218"/>
    <row r="43" ht="15.75" customHeight="1" s="218"/>
    <row r="44" ht="15.75" customHeight="1" s="218"/>
    <row r="45" ht="15.75" customHeight="1" s="218"/>
    <row r="46" ht="15.75" customHeight="1" s="218"/>
    <row r="47" ht="15.75" customHeight="1" s="218"/>
    <row r="48" ht="15.75" customHeight="1" s="218"/>
    <row r="49" ht="15.75" customHeight="1" s="218"/>
    <row r="50" ht="15.75" customHeight="1" s="218"/>
    <row r="51" ht="15.75" customHeight="1" s="218"/>
    <row r="52" ht="15.75" customHeight="1" s="218"/>
    <row r="53" ht="15.75" customHeight="1" s="218"/>
    <row r="54" ht="15.75" customHeight="1" s="218"/>
    <row r="55" ht="15.75" customHeight="1" s="218"/>
    <row r="56" ht="15.75" customHeight="1" s="218"/>
    <row r="57" ht="15.75" customHeight="1" s="218"/>
    <row r="58" ht="15.75" customHeight="1" s="218"/>
    <row r="59" ht="15.75" customHeight="1" s="218"/>
    <row r="60" ht="15.75" customHeight="1" s="218"/>
    <row r="61" ht="15.75" customHeight="1" s="218"/>
    <row r="62" ht="15.75" customHeight="1" s="218"/>
    <row r="63" ht="15.75" customHeight="1" s="218"/>
    <row r="64" ht="15.75" customHeight="1" s="218"/>
    <row r="65" ht="15.75" customHeight="1" s="218"/>
    <row r="66" ht="15.75" customHeight="1" s="218"/>
    <row r="67" ht="15.75" customHeight="1" s="218"/>
    <row r="68" ht="15.75" customHeight="1" s="218"/>
    <row r="69" ht="15.75" customHeight="1" s="218"/>
    <row r="70" ht="15.75" customHeight="1" s="218"/>
    <row r="71" ht="15.75" customHeight="1" s="218"/>
    <row r="72" ht="15.75" customHeight="1" s="218"/>
    <row r="73" ht="15.75" customHeight="1" s="218"/>
    <row r="74" ht="15.75" customHeight="1" s="218"/>
    <row r="75" ht="15.75" customHeight="1" s="218"/>
    <row r="76" ht="15.75" customHeight="1" s="218"/>
    <row r="77" ht="15.75" customHeight="1" s="218"/>
    <row r="78" ht="15.75" customHeight="1" s="218"/>
    <row r="79" ht="15.75" customHeight="1" s="218"/>
    <row r="80" ht="15.75" customHeight="1" s="218"/>
    <row r="81" ht="15.75" customHeight="1" s="218"/>
    <row r="82" ht="15.75" customHeight="1" s="218"/>
    <row r="83" ht="15.75" customHeight="1" s="218"/>
    <row r="84" ht="15.75" customHeight="1" s="218"/>
    <row r="85" ht="15.75" customHeight="1" s="218"/>
    <row r="86" ht="15.75" customHeight="1" s="218"/>
    <row r="87" ht="15.75" customHeight="1" s="218"/>
    <row r="88" ht="15.75" customHeight="1" s="218"/>
    <row r="89" ht="15.75" customHeight="1" s="218"/>
    <row r="90" ht="15.75" customHeight="1" s="218"/>
    <row r="91" ht="15.75" customHeight="1" s="218"/>
    <row r="92" ht="15.75" customHeight="1" s="218"/>
    <row r="93" ht="15.75" customHeight="1" s="218"/>
    <row r="94" ht="15.75" customHeight="1" s="218"/>
    <row r="95" ht="15.75" customHeight="1" s="218"/>
    <row r="96" ht="15.75" customHeight="1" s="218"/>
    <row r="97" ht="15.75" customHeight="1" s="218"/>
    <row r="98" ht="15.75" customHeight="1" s="218"/>
    <row r="99" ht="15.75" customHeight="1" s="218"/>
    <row r="100" ht="15.75" customHeight="1" s="218"/>
    <row r="101" ht="15.75" customHeight="1" s="218"/>
    <row r="102" ht="15.75" customHeight="1" s="218"/>
    <row r="103" ht="15.75" customHeight="1" s="218"/>
    <row r="104" ht="15.75" customHeight="1" s="218"/>
    <row r="105" ht="15.75" customHeight="1" s="218"/>
    <row r="106" ht="15.75" customHeight="1" s="218"/>
    <row r="107" ht="15.75" customHeight="1" s="218"/>
    <row r="108" ht="15.75" customHeight="1" s="218"/>
    <row r="109" ht="15.75" customHeight="1" s="218"/>
    <row r="110" ht="15.75" customHeight="1" s="218"/>
    <row r="111" ht="15.75" customHeight="1" s="218"/>
    <row r="112" ht="15.75" customHeight="1" s="218"/>
    <row r="113" ht="15.75" customHeight="1" s="218"/>
    <row r="114" ht="15.75" customHeight="1" s="218"/>
    <row r="115" ht="15.75" customHeight="1" s="218"/>
    <row r="116" ht="15.75" customHeight="1" s="218"/>
    <row r="117" ht="15.75" customHeight="1" s="218"/>
    <row r="118" ht="15.75" customHeight="1" s="218"/>
    <row r="119" ht="15.75" customHeight="1" s="218"/>
    <row r="120" ht="15.75" customHeight="1" s="218"/>
    <row r="121" ht="15.75" customHeight="1" s="218"/>
    <row r="122" ht="15.75" customHeight="1" s="218"/>
    <row r="123" ht="15.75" customHeight="1" s="218"/>
    <row r="124" ht="15.75" customHeight="1" s="218"/>
    <row r="125" ht="15.75" customHeight="1" s="218"/>
    <row r="126" ht="15.75" customHeight="1" s="218"/>
    <row r="127" ht="15.75" customHeight="1" s="218"/>
    <row r="128" ht="15.75" customHeight="1" s="218"/>
    <row r="129" ht="15.75" customHeight="1" s="218"/>
    <row r="130" ht="15.75" customHeight="1" s="218"/>
    <row r="131" ht="15.75" customHeight="1" s="218"/>
    <row r="132" ht="15.75" customHeight="1" s="218"/>
    <row r="133" ht="15.75" customHeight="1" s="218"/>
    <row r="134" ht="15.75" customHeight="1" s="218"/>
    <row r="135" ht="15.75" customHeight="1" s="218"/>
    <row r="136" ht="15.75" customHeight="1" s="218"/>
    <row r="137" ht="15.75" customHeight="1" s="218"/>
    <row r="138" ht="15.75" customHeight="1" s="218"/>
    <row r="139" ht="15.75" customHeight="1" s="218"/>
    <row r="140" ht="15.75" customHeight="1" s="218"/>
    <row r="141" ht="15.75" customHeight="1" s="218"/>
    <row r="142" ht="15.75" customHeight="1" s="218"/>
    <row r="143" ht="15.75" customHeight="1" s="218"/>
    <row r="144" ht="15.75" customHeight="1" s="218"/>
    <row r="145" ht="15.75" customHeight="1" s="218"/>
    <row r="146" ht="15.75" customHeight="1" s="218"/>
    <row r="147" ht="15.75" customHeight="1" s="218"/>
    <row r="148" ht="15.75" customHeight="1" s="218"/>
    <row r="149" ht="15.75" customHeight="1" s="218"/>
    <row r="150" ht="15.75" customHeight="1" s="218"/>
    <row r="151" ht="15.75" customHeight="1" s="218"/>
    <row r="152" ht="15.75" customHeight="1" s="218"/>
    <row r="153" ht="15.75" customHeight="1" s="218"/>
    <row r="154" ht="15.75" customHeight="1" s="218"/>
    <row r="155" ht="15.75" customHeight="1" s="218"/>
    <row r="156" ht="15.75" customHeight="1" s="218"/>
    <row r="157" ht="15.75" customHeight="1" s="218"/>
    <row r="158" ht="15.75" customHeight="1" s="218"/>
    <row r="159" ht="15.75" customHeight="1" s="218"/>
    <row r="160" ht="15.75" customHeight="1" s="218"/>
    <row r="161" ht="15.75" customHeight="1" s="218"/>
    <row r="162" ht="15.75" customHeight="1" s="218"/>
    <row r="163" ht="15.75" customHeight="1" s="218"/>
    <row r="164" ht="15.75" customHeight="1" s="218"/>
    <row r="165" ht="15.75" customHeight="1" s="218"/>
    <row r="166" ht="15.75" customHeight="1" s="218"/>
    <row r="167" ht="15.75" customHeight="1" s="218"/>
    <row r="168" ht="15.75" customHeight="1" s="218"/>
    <row r="169" ht="15.75" customHeight="1" s="218"/>
    <row r="170" ht="15.75" customHeight="1" s="218"/>
    <row r="171" ht="15.75" customHeight="1" s="218"/>
    <row r="172" ht="15.75" customHeight="1" s="218"/>
    <row r="173" ht="15.75" customHeight="1" s="218"/>
    <row r="174" ht="15.75" customHeight="1" s="218"/>
    <row r="175" ht="15.75" customHeight="1" s="218"/>
    <row r="176" ht="15.75" customHeight="1" s="218"/>
    <row r="177" ht="15.75" customHeight="1" s="218"/>
    <row r="178" ht="15.75" customHeight="1" s="218"/>
    <row r="179" ht="15.75" customHeight="1" s="218"/>
    <row r="180" ht="15.75" customHeight="1" s="218"/>
    <row r="181" ht="15.75" customHeight="1" s="218"/>
    <row r="182" ht="15.75" customHeight="1" s="218"/>
    <row r="183" ht="15.75" customHeight="1" s="218"/>
    <row r="184" ht="15.75" customHeight="1" s="218"/>
    <row r="185" ht="15.75" customHeight="1" s="218"/>
    <row r="186" ht="15.75" customHeight="1" s="218"/>
    <row r="187" ht="15.75" customHeight="1" s="218"/>
    <row r="188" ht="15.75" customHeight="1" s="218"/>
    <row r="189" ht="15.75" customHeight="1" s="218"/>
    <row r="190" ht="15.75" customHeight="1" s="218"/>
    <row r="191" ht="15.75" customHeight="1" s="218"/>
    <row r="192" ht="15.75" customHeight="1" s="218"/>
    <row r="193" ht="15.75" customHeight="1" s="218"/>
    <row r="194" ht="15.75" customHeight="1" s="218"/>
    <row r="195" ht="15.75" customHeight="1" s="218"/>
    <row r="196" ht="15.75" customHeight="1" s="218"/>
    <row r="197" ht="15.75" customHeight="1" s="218"/>
    <row r="198" ht="15.75" customHeight="1" s="218"/>
    <row r="199" ht="15.75" customHeight="1" s="218"/>
    <row r="200" ht="15.75" customHeight="1" s="218"/>
    <row r="201" ht="15.75" customHeight="1" s="218"/>
    <row r="202" ht="15.75" customHeight="1" s="218"/>
    <row r="203" ht="15.75" customHeight="1" s="218"/>
    <row r="204" ht="15.75" customHeight="1" s="218"/>
    <row r="205" ht="15.75" customHeight="1" s="218"/>
    <row r="206" ht="15.75" customHeight="1" s="218"/>
    <row r="207" ht="15.75" customHeight="1" s="218"/>
    <row r="208" ht="15.75" customHeight="1" s="218"/>
    <row r="209" ht="15.75" customHeight="1" s="218"/>
    <row r="210" ht="15.75" customHeight="1" s="218"/>
    <row r="211" ht="15.75" customHeight="1" s="218"/>
    <row r="212" ht="15.75" customHeight="1" s="218"/>
    <row r="213" ht="15.75" customHeight="1" s="218"/>
    <row r="214" ht="15.75" customHeight="1" s="218"/>
    <row r="215" ht="15.75" customHeight="1" s="218"/>
    <row r="216" ht="15.75" customHeight="1" s="218"/>
    <row r="217" ht="15.75" customHeight="1" s="218"/>
    <row r="218" ht="15.75" customHeight="1" s="218"/>
    <row r="219" ht="15.75" customHeight="1" s="218"/>
    <row r="220" ht="15.75" customHeight="1" s="218"/>
    <row r="221" ht="15.75" customHeight="1" s="218"/>
    <row r="222" ht="15.75" customHeight="1" s="218"/>
    <row r="223" ht="15.75" customHeight="1" s="218"/>
    <row r="224" ht="15.75" customHeight="1" s="218"/>
    <row r="225" ht="15.75" customHeight="1" s="218"/>
    <row r="226" ht="15.75" customHeight="1" s="218"/>
    <row r="227" ht="15.75" customHeight="1" s="218"/>
    <row r="228" ht="15.75" customHeight="1" s="218"/>
    <row r="229" ht="15.75" customHeight="1" s="218"/>
    <row r="230" ht="15.75" customHeight="1" s="218"/>
    <row r="231" ht="15.75" customHeight="1" s="218"/>
    <row r="232" ht="15.75" customHeight="1" s="218"/>
    <row r="233" ht="15.75" customHeight="1" s="218"/>
    <row r="234" ht="15.75" customHeight="1" s="218"/>
    <row r="235" ht="15.75" customHeight="1" s="218"/>
    <row r="236" ht="15.75" customHeight="1" s="218"/>
    <row r="237" ht="15.75" customHeight="1" s="218"/>
    <row r="238" ht="15.75" customHeight="1" s="218"/>
    <row r="239" ht="15.75" customHeight="1" s="218"/>
    <row r="240" ht="15.75" customHeight="1" s="218"/>
    <row r="241" ht="15.75" customHeight="1" s="218"/>
    <row r="242" ht="15.75" customHeight="1" s="218"/>
    <row r="243" ht="15.75" customHeight="1" s="218"/>
    <row r="244" ht="15.75" customHeight="1" s="218"/>
    <row r="245" ht="15.75" customHeight="1" s="218"/>
    <row r="246" ht="15.75" customHeight="1" s="218"/>
    <row r="247" ht="15.75" customHeight="1" s="218"/>
    <row r="248" ht="15.75" customHeight="1" s="218"/>
    <row r="249" ht="15.75" customHeight="1" s="218"/>
    <row r="250" ht="15.75" customHeight="1" s="218"/>
    <row r="251" ht="15.75" customHeight="1" s="218"/>
    <row r="252" ht="15.75" customHeight="1" s="218"/>
    <row r="253" ht="15.75" customHeight="1" s="218"/>
    <row r="254" ht="15.75" customHeight="1" s="218"/>
    <row r="255" ht="15.75" customHeight="1" s="218"/>
    <row r="256" ht="15.75" customHeight="1" s="218"/>
    <row r="257" ht="15.75" customHeight="1" s="218"/>
    <row r="258" ht="15.75" customHeight="1" s="218"/>
    <row r="259" ht="15.75" customHeight="1" s="218"/>
    <row r="260" ht="15.75" customHeight="1" s="218"/>
    <row r="261" ht="15.75" customHeight="1" s="218"/>
    <row r="262" ht="15.75" customHeight="1" s="218"/>
    <row r="263" ht="15.75" customHeight="1" s="218"/>
    <row r="264" ht="15.75" customHeight="1" s="218"/>
    <row r="265" ht="15.75" customHeight="1" s="218"/>
    <row r="266" ht="15.75" customHeight="1" s="218"/>
    <row r="267" ht="15.75" customHeight="1" s="218"/>
    <row r="268" ht="15.75" customHeight="1" s="218"/>
    <row r="269" ht="15.75" customHeight="1" s="218"/>
    <row r="270" ht="15.75" customHeight="1" s="218"/>
    <row r="271" ht="15.75" customHeight="1" s="218"/>
    <row r="272" ht="15.75" customHeight="1" s="218"/>
    <row r="273" ht="15.75" customHeight="1" s="218"/>
    <row r="274" ht="15.75" customHeight="1" s="218"/>
    <row r="275" ht="15.75" customHeight="1" s="218"/>
    <row r="276" ht="15.75" customHeight="1" s="218"/>
    <row r="277" ht="15.75" customHeight="1" s="218"/>
    <row r="278" ht="15.75" customHeight="1" s="218"/>
    <row r="279" ht="15.75" customHeight="1" s="218"/>
    <row r="280" ht="15.75" customHeight="1" s="218"/>
    <row r="281" ht="15.75" customHeight="1" s="218"/>
    <row r="282" ht="15.75" customHeight="1" s="218"/>
    <row r="283" ht="15.75" customHeight="1" s="218"/>
    <row r="284" ht="15.75" customHeight="1" s="218"/>
    <row r="285" ht="15.75" customHeight="1" s="218"/>
    <row r="286" ht="15.75" customHeight="1" s="218"/>
    <row r="287" ht="15.75" customHeight="1" s="218"/>
    <row r="288" ht="15.75" customHeight="1" s="218"/>
    <row r="289" ht="15.75" customHeight="1" s="218"/>
    <row r="290" ht="15.75" customHeight="1" s="218"/>
    <row r="291" ht="15.75" customHeight="1" s="218"/>
    <row r="292" ht="15.75" customHeight="1" s="218"/>
    <row r="293" ht="15.75" customHeight="1" s="218"/>
    <row r="294" ht="15.75" customHeight="1" s="218"/>
    <row r="295" ht="15.75" customHeight="1" s="218"/>
    <row r="296" ht="15.75" customHeight="1" s="218"/>
    <row r="297" ht="15.75" customHeight="1" s="218"/>
    <row r="298" ht="15.75" customHeight="1" s="218"/>
    <row r="299" ht="15.75" customHeight="1" s="218"/>
    <row r="300" ht="15.75" customHeight="1" s="218"/>
    <row r="301" ht="15.75" customHeight="1" s="218"/>
    <row r="302" ht="15.75" customHeight="1" s="218"/>
    <row r="303" ht="15.75" customHeight="1" s="218"/>
    <row r="304" ht="15.75" customHeight="1" s="218"/>
    <row r="305" ht="15.75" customHeight="1" s="218"/>
    <row r="306" ht="15.75" customHeight="1" s="218"/>
    <row r="307" ht="15.75" customHeight="1" s="218"/>
    <row r="308" ht="15.75" customHeight="1" s="218"/>
    <row r="309" ht="15.75" customHeight="1" s="218"/>
    <row r="310" ht="15.75" customHeight="1" s="218"/>
    <row r="311" ht="15.75" customHeight="1" s="218"/>
    <row r="312" ht="15.75" customHeight="1" s="218"/>
    <row r="313" ht="15.75" customHeight="1" s="218"/>
    <row r="314" ht="15.75" customHeight="1" s="218"/>
    <row r="315" ht="15.75" customHeight="1" s="218"/>
    <row r="316" ht="15.75" customHeight="1" s="218"/>
    <row r="317" ht="15.75" customHeight="1" s="218"/>
    <row r="318" ht="15.75" customHeight="1" s="218"/>
    <row r="319" ht="15.75" customHeight="1" s="218"/>
    <row r="320" ht="15.75" customHeight="1" s="218"/>
    <row r="321" ht="15.75" customHeight="1" s="218"/>
    <row r="322" ht="15.75" customHeight="1" s="218"/>
    <row r="323" ht="15.75" customHeight="1" s="218"/>
    <row r="324" ht="15.75" customHeight="1" s="218"/>
    <row r="325" ht="15.75" customHeight="1" s="218"/>
    <row r="326" ht="15.75" customHeight="1" s="218"/>
    <row r="327" ht="15.75" customHeight="1" s="218"/>
    <row r="328" ht="15.75" customHeight="1" s="218"/>
    <row r="329" ht="15.75" customHeight="1" s="218"/>
    <row r="330" ht="15.75" customHeight="1" s="218"/>
    <row r="331" ht="15.75" customHeight="1" s="218"/>
    <row r="332" ht="15.75" customHeight="1" s="218"/>
    <row r="333" ht="15.75" customHeight="1" s="218"/>
    <row r="334" ht="15.75" customHeight="1" s="218"/>
    <row r="335" ht="15.75" customHeight="1" s="218"/>
    <row r="336" ht="15.75" customHeight="1" s="218"/>
    <row r="337" ht="15.75" customHeight="1" s="218"/>
    <row r="338" ht="15.75" customHeight="1" s="218"/>
    <row r="339" ht="15.75" customHeight="1" s="218"/>
    <row r="340" ht="15.75" customHeight="1" s="218"/>
    <row r="341" ht="15.75" customHeight="1" s="218"/>
    <row r="342" ht="15.75" customHeight="1" s="218"/>
    <row r="343" ht="15.75" customHeight="1" s="218"/>
    <row r="344" ht="15.75" customHeight="1" s="218"/>
    <row r="345" ht="15.75" customHeight="1" s="218"/>
    <row r="346" ht="15.75" customHeight="1" s="218"/>
    <row r="347" ht="15.75" customHeight="1" s="218"/>
    <row r="348" ht="15.75" customHeight="1" s="218"/>
    <row r="349" ht="15.75" customHeight="1" s="218"/>
    <row r="350" ht="15.75" customHeight="1" s="218"/>
    <row r="351" ht="15.75" customHeight="1" s="218"/>
    <row r="352" ht="15.75" customHeight="1" s="218"/>
    <row r="353" ht="15.75" customHeight="1" s="218"/>
    <row r="354" ht="15.75" customHeight="1" s="218"/>
    <row r="355" ht="15.75" customHeight="1" s="218"/>
    <row r="356" ht="15.75" customHeight="1" s="218"/>
    <row r="357" ht="15.75" customHeight="1" s="218"/>
    <row r="358" ht="15.75" customHeight="1" s="218"/>
    <row r="359" ht="15.75" customHeight="1" s="218"/>
    <row r="360" ht="15.75" customHeight="1" s="218"/>
    <row r="361" ht="15.75" customHeight="1" s="218"/>
    <row r="362" ht="15.75" customHeight="1" s="218"/>
    <row r="363" ht="15.75" customHeight="1" s="218"/>
    <row r="364" ht="15.75" customHeight="1" s="218"/>
    <row r="365" ht="15.75" customHeight="1" s="218"/>
    <row r="366" ht="15.75" customHeight="1" s="218"/>
    <row r="367" ht="15.75" customHeight="1" s="218"/>
    <row r="368" ht="15.75" customHeight="1" s="218"/>
    <row r="369" ht="15.75" customHeight="1" s="218"/>
    <row r="370" ht="15.75" customHeight="1" s="218"/>
    <row r="371" ht="15.75" customHeight="1" s="218"/>
    <row r="372" ht="15.75" customHeight="1" s="218"/>
    <row r="373" ht="15.75" customHeight="1" s="218"/>
    <row r="374" ht="15.75" customHeight="1" s="218"/>
    <row r="375" ht="15.75" customHeight="1" s="218"/>
    <row r="376" ht="15.75" customHeight="1" s="218"/>
    <row r="377" ht="15.75" customHeight="1" s="218"/>
    <row r="378" ht="15.75" customHeight="1" s="218"/>
    <row r="379" ht="15.75" customHeight="1" s="218"/>
    <row r="380" ht="15.75" customHeight="1" s="218"/>
    <row r="381" ht="15.75" customHeight="1" s="218"/>
    <row r="382" ht="15.75" customHeight="1" s="218"/>
    <row r="383" ht="15.75" customHeight="1" s="218"/>
    <row r="384" ht="15.75" customHeight="1" s="218"/>
    <row r="385" ht="15.75" customHeight="1" s="218"/>
    <row r="386" ht="15.75" customHeight="1" s="218"/>
    <row r="387" ht="15.75" customHeight="1" s="218"/>
    <row r="388" ht="15.75" customHeight="1" s="218"/>
    <row r="389" ht="15.75" customHeight="1" s="218"/>
    <row r="390" ht="15.75" customHeight="1" s="218"/>
    <row r="391" ht="15.75" customHeight="1" s="218"/>
    <row r="392" ht="15.75" customHeight="1" s="218"/>
    <row r="393" ht="15.75" customHeight="1" s="218"/>
    <row r="394" ht="15.75" customHeight="1" s="218"/>
    <row r="395" ht="15.75" customHeight="1" s="218"/>
    <row r="396" ht="15.75" customHeight="1" s="218"/>
    <row r="397" ht="15.75" customHeight="1" s="218"/>
    <row r="398" ht="15.75" customHeight="1" s="218"/>
    <row r="399" ht="15.75" customHeight="1" s="218"/>
    <row r="400" ht="15.75" customHeight="1" s="218"/>
    <row r="401" ht="15.75" customHeight="1" s="218"/>
    <row r="402" ht="15.75" customHeight="1" s="218"/>
    <row r="403" ht="15.75" customHeight="1" s="218"/>
    <row r="404" ht="15.75" customHeight="1" s="218"/>
    <row r="405" ht="15.75" customHeight="1" s="218"/>
    <row r="406" ht="15.75" customHeight="1" s="218"/>
    <row r="407" ht="15.75" customHeight="1" s="218"/>
    <row r="408" ht="15.75" customHeight="1" s="218"/>
    <row r="409" ht="15.75" customHeight="1" s="218"/>
    <row r="410" ht="15.75" customHeight="1" s="218"/>
    <row r="411" ht="15.75" customHeight="1" s="218"/>
    <row r="412" ht="15.75" customHeight="1" s="218"/>
    <row r="413" ht="15.75" customHeight="1" s="218"/>
    <row r="414" ht="15.75" customHeight="1" s="218"/>
    <row r="415" ht="15.75" customHeight="1" s="218"/>
    <row r="416" ht="15.75" customHeight="1" s="218"/>
    <row r="417" ht="15.75" customHeight="1" s="218"/>
    <row r="418" ht="15.75" customHeight="1" s="218"/>
    <row r="419" ht="15.75" customHeight="1" s="218"/>
    <row r="420" ht="15.75" customHeight="1" s="218"/>
    <row r="421" ht="15.75" customHeight="1" s="218"/>
    <row r="422" ht="15.75" customHeight="1" s="218"/>
    <row r="423" ht="15.75" customHeight="1" s="218"/>
    <row r="424" ht="15.75" customHeight="1" s="218"/>
    <row r="425" ht="15.75" customHeight="1" s="218"/>
    <row r="426" ht="15.75" customHeight="1" s="218"/>
    <row r="427" ht="15.75" customHeight="1" s="218"/>
    <row r="428" ht="15.75" customHeight="1" s="218"/>
    <row r="429" ht="15.75" customHeight="1" s="218"/>
    <row r="430" ht="15.75" customHeight="1" s="218"/>
    <row r="431" ht="15.75" customHeight="1" s="218"/>
    <row r="432" ht="15.75" customHeight="1" s="218"/>
    <row r="433" ht="15.75" customHeight="1" s="218"/>
    <row r="434" ht="15.75" customHeight="1" s="218"/>
    <row r="435" ht="15.75" customHeight="1" s="218"/>
    <row r="436" ht="15.75" customHeight="1" s="218"/>
    <row r="437" ht="15.75" customHeight="1" s="218"/>
    <row r="438" ht="15.75" customHeight="1" s="218"/>
    <row r="439" ht="15.75" customHeight="1" s="218"/>
    <row r="440" ht="15.75" customHeight="1" s="218"/>
    <row r="441" ht="15.75" customHeight="1" s="218"/>
    <row r="442" ht="15.75" customHeight="1" s="218"/>
    <row r="443" ht="15.75" customHeight="1" s="218"/>
    <row r="444" ht="15.75" customHeight="1" s="218"/>
    <row r="445" ht="15.75" customHeight="1" s="218"/>
    <row r="446" ht="15.75" customHeight="1" s="218"/>
    <row r="447" ht="15.75" customHeight="1" s="218"/>
    <row r="448" ht="15.75" customHeight="1" s="218"/>
    <row r="449" ht="15.75" customHeight="1" s="218"/>
    <row r="450" ht="15.75" customHeight="1" s="218"/>
    <row r="451" ht="15.75" customHeight="1" s="218"/>
    <row r="452" ht="15.75" customHeight="1" s="218"/>
    <row r="453" ht="15.75" customHeight="1" s="218"/>
    <row r="454" ht="15.75" customHeight="1" s="218"/>
    <row r="455" ht="15.75" customHeight="1" s="218"/>
    <row r="456" ht="15.75" customHeight="1" s="218"/>
    <row r="457" ht="15.75" customHeight="1" s="218"/>
    <row r="458" ht="15.75" customHeight="1" s="218"/>
    <row r="459" ht="15.75" customHeight="1" s="218"/>
    <row r="460" ht="15.75" customHeight="1" s="218"/>
    <row r="461" ht="15.75" customHeight="1" s="218"/>
    <row r="462" ht="15.75" customHeight="1" s="218"/>
    <row r="463" ht="15.75" customHeight="1" s="218"/>
    <row r="464" ht="15.75" customHeight="1" s="218"/>
    <row r="465" ht="15.75" customHeight="1" s="218"/>
    <row r="466" ht="15.75" customHeight="1" s="218"/>
    <row r="467" ht="15.75" customHeight="1" s="218"/>
    <row r="468" ht="15.75" customHeight="1" s="218"/>
    <row r="469" ht="15.75" customHeight="1" s="218"/>
    <row r="470" ht="15.75" customHeight="1" s="218"/>
    <row r="471" ht="15.75" customHeight="1" s="218"/>
    <row r="472" ht="15.75" customHeight="1" s="218"/>
    <row r="473" ht="15.75" customHeight="1" s="218"/>
    <row r="474" ht="15.75" customHeight="1" s="218"/>
    <row r="475" ht="15.75" customHeight="1" s="218"/>
    <row r="476" ht="15.75" customHeight="1" s="218"/>
    <row r="477" ht="15.75" customHeight="1" s="218"/>
    <row r="478" ht="15.75" customHeight="1" s="218"/>
    <row r="479" ht="15.75" customHeight="1" s="218"/>
    <row r="480" ht="15.75" customHeight="1" s="218"/>
    <row r="481" ht="15.75" customHeight="1" s="218"/>
    <row r="482" ht="15.75" customHeight="1" s="218"/>
    <row r="483" ht="15.75" customHeight="1" s="218"/>
    <row r="484" ht="15.75" customHeight="1" s="218"/>
    <row r="485" ht="15.75" customHeight="1" s="218"/>
    <row r="486" ht="15.75" customHeight="1" s="218"/>
    <row r="487" ht="15.75" customHeight="1" s="218"/>
    <row r="488" ht="15.75" customHeight="1" s="218"/>
    <row r="489" ht="15.75" customHeight="1" s="218"/>
    <row r="490" ht="15.75" customHeight="1" s="218"/>
    <row r="491" ht="15.75" customHeight="1" s="218"/>
    <row r="492" ht="15.75" customHeight="1" s="218"/>
    <row r="493" ht="15.75" customHeight="1" s="218"/>
    <row r="494" ht="15.75" customHeight="1" s="218"/>
    <row r="495" ht="15.75" customHeight="1" s="218"/>
    <row r="496" ht="15.75" customHeight="1" s="218"/>
    <row r="497" ht="15.75" customHeight="1" s="218"/>
    <row r="498" ht="15.75" customHeight="1" s="218"/>
    <row r="499" ht="15.75" customHeight="1" s="218"/>
    <row r="500" ht="15.75" customHeight="1" s="218"/>
    <row r="501" ht="15.75" customHeight="1" s="218"/>
    <row r="502" ht="15.75" customHeight="1" s="218"/>
    <row r="503" ht="15.75" customHeight="1" s="218"/>
    <row r="504" ht="15.75" customHeight="1" s="218"/>
    <row r="505" ht="15.75" customHeight="1" s="218"/>
    <row r="506" ht="15.75" customHeight="1" s="218"/>
    <row r="507" ht="15.75" customHeight="1" s="218"/>
    <row r="508" ht="15.75" customHeight="1" s="218"/>
    <row r="509" ht="15.75" customHeight="1" s="218"/>
    <row r="510" ht="15.75" customHeight="1" s="218"/>
    <row r="511" ht="15.75" customHeight="1" s="218"/>
    <row r="512" ht="15.75" customHeight="1" s="218"/>
    <row r="513" ht="15.75" customHeight="1" s="218"/>
    <row r="514" ht="15.75" customHeight="1" s="218"/>
    <row r="515" ht="15.75" customHeight="1" s="218"/>
    <row r="516" ht="15.75" customHeight="1" s="218"/>
    <row r="517" ht="15.75" customHeight="1" s="218"/>
    <row r="518" ht="15.75" customHeight="1" s="218"/>
    <row r="519" ht="15.75" customHeight="1" s="218"/>
    <row r="520" ht="15.75" customHeight="1" s="218"/>
    <row r="521" ht="15.75" customHeight="1" s="218"/>
    <row r="522" ht="15.75" customHeight="1" s="218"/>
    <row r="523" ht="15.75" customHeight="1" s="218"/>
    <row r="524" ht="15.75" customHeight="1" s="218"/>
    <row r="525" ht="15.75" customHeight="1" s="218"/>
    <row r="526" ht="15.75" customHeight="1" s="218"/>
    <row r="527" ht="15.75" customHeight="1" s="218"/>
    <row r="528" ht="15.75" customHeight="1" s="218"/>
    <row r="529" ht="15.75" customHeight="1" s="218"/>
    <row r="530" ht="15.75" customHeight="1" s="218"/>
    <row r="531" ht="15.75" customHeight="1" s="218"/>
    <row r="532" ht="15.75" customHeight="1" s="218"/>
    <row r="533" ht="15.75" customHeight="1" s="218"/>
    <row r="534" ht="15.75" customHeight="1" s="218"/>
    <row r="535" ht="15.75" customHeight="1" s="218"/>
    <row r="536" ht="15.75" customHeight="1" s="218"/>
    <row r="537" ht="15.75" customHeight="1" s="218"/>
    <row r="538" ht="15.75" customHeight="1" s="218"/>
    <row r="539" ht="15.75" customHeight="1" s="218"/>
    <row r="540" ht="15.75" customHeight="1" s="218"/>
    <row r="541" ht="15.75" customHeight="1" s="218"/>
    <row r="542" ht="15.75" customHeight="1" s="218"/>
    <row r="543" ht="15.75" customHeight="1" s="218"/>
    <row r="544" ht="15.75" customHeight="1" s="218"/>
    <row r="545" ht="15.75" customHeight="1" s="218"/>
    <row r="546" ht="15.75" customHeight="1" s="218"/>
    <row r="547" ht="15.75" customHeight="1" s="218"/>
    <row r="548" ht="15.75" customHeight="1" s="218"/>
    <row r="549" ht="15.75" customHeight="1" s="218"/>
    <row r="550" ht="15.75" customHeight="1" s="218"/>
    <row r="551" ht="15.75" customHeight="1" s="218"/>
    <row r="552" ht="15.75" customHeight="1" s="218"/>
    <row r="553" ht="15.75" customHeight="1" s="218"/>
    <row r="554" ht="15.75" customHeight="1" s="218"/>
    <row r="555" ht="15.75" customHeight="1" s="218"/>
    <row r="556" ht="15.75" customHeight="1" s="218"/>
    <row r="557" ht="15.75" customHeight="1" s="218"/>
    <row r="558" ht="15.75" customHeight="1" s="218"/>
    <row r="559" ht="15.75" customHeight="1" s="218"/>
    <row r="560" ht="15.75" customHeight="1" s="218"/>
    <row r="561" ht="15.75" customHeight="1" s="218"/>
    <row r="562" ht="15.75" customHeight="1" s="218"/>
    <row r="563" ht="15.75" customHeight="1" s="218"/>
    <row r="564" ht="15.75" customHeight="1" s="218"/>
    <row r="565" ht="15.75" customHeight="1" s="218"/>
    <row r="566" ht="15.75" customHeight="1" s="218"/>
    <row r="567" ht="15.75" customHeight="1" s="218"/>
    <row r="568" ht="15.75" customHeight="1" s="218"/>
    <row r="569" ht="15.75" customHeight="1" s="218"/>
    <row r="570" ht="15.75" customHeight="1" s="218"/>
    <row r="571" ht="15.75" customHeight="1" s="218"/>
    <row r="572" ht="15.75" customHeight="1" s="218"/>
    <row r="573" ht="15.75" customHeight="1" s="218"/>
    <row r="574" ht="15.75" customHeight="1" s="218"/>
    <row r="575" ht="15.75" customHeight="1" s="218"/>
    <row r="576" ht="15.75" customHeight="1" s="218"/>
    <row r="577" ht="15.75" customHeight="1" s="218"/>
    <row r="578" ht="15.75" customHeight="1" s="218"/>
    <row r="579" ht="15.75" customHeight="1" s="218"/>
    <row r="580" ht="15.75" customHeight="1" s="218"/>
    <row r="581" ht="15.75" customHeight="1" s="218"/>
    <row r="582" ht="15.75" customHeight="1" s="218"/>
    <row r="583" ht="15.75" customHeight="1" s="218"/>
    <row r="584" ht="15.75" customHeight="1" s="218"/>
    <row r="585" ht="15.75" customHeight="1" s="218"/>
    <row r="586" ht="15.75" customHeight="1" s="218"/>
    <row r="587" ht="15.75" customHeight="1" s="218"/>
    <row r="588" ht="15.75" customHeight="1" s="218"/>
    <row r="589" ht="15.75" customHeight="1" s="218"/>
    <row r="590" ht="15.75" customHeight="1" s="218"/>
    <row r="591" ht="15.75" customHeight="1" s="218"/>
    <row r="592" ht="15.75" customHeight="1" s="218"/>
    <row r="593" ht="15.75" customHeight="1" s="218"/>
    <row r="594" ht="15.75" customHeight="1" s="218"/>
    <row r="595" ht="15.75" customHeight="1" s="218"/>
    <row r="596" ht="15.75" customHeight="1" s="218"/>
    <row r="597" ht="15.75" customHeight="1" s="218"/>
    <row r="598" ht="15.75" customHeight="1" s="218"/>
    <row r="599" ht="15.75" customHeight="1" s="218"/>
    <row r="600" ht="15.75" customHeight="1" s="218"/>
    <row r="601" ht="15.75" customHeight="1" s="218"/>
    <row r="602" ht="15.75" customHeight="1" s="218"/>
    <row r="603" ht="15.75" customHeight="1" s="218"/>
    <row r="604" ht="15.75" customHeight="1" s="218"/>
    <row r="605" ht="15.75" customHeight="1" s="218"/>
    <row r="606" ht="15.75" customHeight="1" s="218"/>
    <row r="607" ht="15.75" customHeight="1" s="218"/>
    <row r="608" ht="15.75" customHeight="1" s="218"/>
    <row r="609" ht="15.75" customHeight="1" s="218"/>
    <row r="610" ht="15.75" customHeight="1" s="218"/>
    <row r="611" ht="15.75" customHeight="1" s="218"/>
    <row r="612" ht="15.75" customHeight="1" s="218"/>
    <row r="613" ht="15.75" customHeight="1" s="218"/>
    <row r="614" ht="15.75" customHeight="1" s="218"/>
    <row r="615" ht="15.75" customHeight="1" s="218"/>
    <row r="616" ht="15.75" customHeight="1" s="218"/>
    <row r="617" ht="15.75" customHeight="1" s="218"/>
    <row r="618" ht="15.75" customHeight="1" s="218"/>
    <row r="619" ht="15.75" customHeight="1" s="218"/>
    <row r="620" ht="15.75" customHeight="1" s="218"/>
    <row r="621" ht="15.75" customHeight="1" s="218"/>
    <row r="622" ht="15.75" customHeight="1" s="218"/>
    <row r="623" ht="15.75" customHeight="1" s="218"/>
    <row r="624" ht="15.75" customHeight="1" s="218"/>
    <row r="625" ht="15.75" customHeight="1" s="218"/>
    <row r="626" ht="15.75" customHeight="1" s="218"/>
    <row r="627" ht="15.75" customHeight="1" s="218"/>
    <row r="628" ht="15.75" customHeight="1" s="218"/>
    <row r="629" ht="15.75" customHeight="1" s="218"/>
    <row r="630" ht="15.75" customHeight="1" s="218"/>
    <row r="631" ht="15.75" customHeight="1" s="218"/>
    <row r="632" ht="15.75" customHeight="1" s="218"/>
    <row r="633" ht="15.75" customHeight="1" s="218"/>
    <row r="634" ht="15.75" customHeight="1" s="218"/>
    <row r="635" ht="15.75" customHeight="1" s="218"/>
    <row r="636" ht="15.75" customHeight="1" s="218"/>
    <row r="637" ht="15.75" customHeight="1" s="218"/>
    <row r="638" ht="15.75" customHeight="1" s="218"/>
    <row r="639" ht="15.75" customHeight="1" s="218"/>
    <row r="640" ht="15.75" customHeight="1" s="218"/>
    <row r="641" ht="15.75" customHeight="1" s="218"/>
    <row r="642" ht="15.75" customHeight="1" s="218"/>
    <row r="643" ht="15.75" customHeight="1" s="218"/>
    <row r="644" ht="15.75" customHeight="1" s="218"/>
    <row r="645" ht="15.75" customHeight="1" s="218"/>
    <row r="646" ht="15.75" customHeight="1" s="218"/>
    <row r="647" ht="15.75" customHeight="1" s="218"/>
    <row r="648" ht="15.75" customHeight="1" s="218"/>
    <row r="649" ht="15.75" customHeight="1" s="218"/>
    <row r="650" ht="15.75" customHeight="1" s="218"/>
    <row r="651" ht="15.75" customHeight="1" s="218"/>
    <row r="652" ht="15.75" customHeight="1" s="218"/>
    <row r="653" ht="15.75" customHeight="1" s="218"/>
    <row r="654" ht="15.75" customHeight="1" s="218"/>
    <row r="655" ht="15.75" customHeight="1" s="218"/>
    <row r="656" ht="15.75" customHeight="1" s="218"/>
    <row r="657" ht="15.75" customHeight="1" s="218"/>
    <row r="658" ht="15.75" customHeight="1" s="218"/>
    <row r="659" ht="15.75" customHeight="1" s="218"/>
    <row r="660" ht="15.75" customHeight="1" s="218"/>
    <row r="661" ht="15.75" customHeight="1" s="218"/>
    <row r="662" ht="15.75" customHeight="1" s="218"/>
    <row r="663" ht="15.75" customHeight="1" s="218"/>
    <row r="664" ht="15.75" customHeight="1" s="218"/>
    <row r="665" ht="15.75" customHeight="1" s="218"/>
    <row r="666" ht="15.75" customHeight="1" s="218"/>
    <row r="667" ht="15.75" customHeight="1" s="218"/>
    <row r="668" ht="15.75" customHeight="1" s="218"/>
    <row r="669" ht="15.75" customHeight="1" s="218"/>
    <row r="670" ht="15.75" customHeight="1" s="218"/>
    <row r="671" ht="15.75" customHeight="1" s="218"/>
    <row r="672" ht="15.75" customHeight="1" s="218"/>
    <row r="673" ht="15.75" customHeight="1" s="218"/>
    <row r="674" ht="15.75" customHeight="1" s="218"/>
    <row r="675" ht="15.75" customHeight="1" s="218"/>
    <row r="676" ht="15.75" customHeight="1" s="218"/>
    <row r="677" ht="15.75" customHeight="1" s="218"/>
    <row r="678" ht="15.75" customHeight="1" s="218"/>
    <row r="679" ht="15.75" customHeight="1" s="218"/>
    <row r="680" ht="15.75" customHeight="1" s="218"/>
    <row r="681" ht="15.75" customHeight="1" s="218"/>
    <row r="682" ht="15.75" customHeight="1" s="218"/>
    <row r="683" ht="15.75" customHeight="1" s="218"/>
    <row r="684" ht="15.75" customHeight="1" s="218"/>
    <row r="685" ht="15.75" customHeight="1" s="218"/>
    <row r="686" ht="15.75" customHeight="1" s="218"/>
    <row r="687" ht="15.75" customHeight="1" s="218"/>
    <row r="688" ht="15.75" customHeight="1" s="218"/>
    <row r="689" ht="15.75" customHeight="1" s="218"/>
    <row r="690" ht="15.75" customHeight="1" s="218"/>
    <row r="691" ht="15.75" customHeight="1" s="218"/>
    <row r="692" ht="15.75" customHeight="1" s="218"/>
    <row r="693" ht="15.75" customHeight="1" s="218"/>
    <row r="694" ht="15.75" customHeight="1" s="218"/>
    <row r="695" ht="15.75" customHeight="1" s="218"/>
    <row r="696" ht="15.75" customHeight="1" s="218"/>
    <row r="697" ht="15.75" customHeight="1" s="218"/>
    <row r="698" ht="15.75" customHeight="1" s="218"/>
    <row r="699" ht="15.75" customHeight="1" s="218"/>
    <row r="700" ht="15.75" customHeight="1" s="218"/>
    <row r="701" ht="15.75" customHeight="1" s="218"/>
    <row r="702" ht="15.75" customHeight="1" s="218"/>
    <row r="703" ht="15.75" customHeight="1" s="218"/>
    <row r="704" ht="15.75" customHeight="1" s="218"/>
    <row r="705" ht="15.75" customHeight="1" s="218"/>
    <row r="706" ht="15.75" customHeight="1" s="218"/>
    <row r="707" ht="15.75" customHeight="1" s="218"/>
    <row r="708" ht="15.75" customHeight="1" s="218"/>
    <row r="709" ht="15.75" customHeight="1" s="218"/>
    <row r="710" ht="15.75" customHeight="1" s="218"/>
    <row r="711" ht="15.75" customHeight="1" s="218"/>
    <row r="712" ht="15.75" customHeight="1" s="218"/>
    <row r="713" ht="15.75" customHeight="1" s="218"/>
    <row r="714" ht="15.75" customHeight="1" s="218"/>
    <row r="715" ht="15.75" customHeight="1" s="218"/>
    <row r="716" ht="15.75" customHeight="1" s="218"/>
    <row r="717" ht="15.75" customHeight="1" s="218"/>
    <row r="718" ht="15.75" customHeight="1" s="218"/>
    <row r="719" ht="15.75" customHeight="1" s="218"/>
    <row r="720" ht="15.75" customHeight="1" s="218"/>
    <row r="721" ht="15.75" customHeight="1" s="218"/>
    <row r="722" ht="15.75" customHeight="1" s="218"/>
    <row r="723" ht="15.75" customHeight="1" s="218"/>
    <row r="724" ht="15.75" customHeight="1" s="218"/>
    <row r="725" ht="15.75" customHeight="1" s="218"/>
    <row r="726" ht="15.75" customHeight="1" s="218"/>
    <row r="727" ht="15.75" customHeight="1" s="218"/>
    <row r="728" ht="15.75" customHeight="1" s="218"/>
    <row r="729" ht="15.75" customHeight="1" s="218"/>
    <row r="730" ht="15.75" customHeight="1" s="218"/>
    <row r="731" ht="15.75" customHeight="1" s="218"/>
    <row r="732" ht="15.75" customHeight="1" s="218"/>
    <row r="733" ht="15.75" customHeight="1" s="218"/>
    <row r="734" ht="15.75" customHeight="1" s="218"/>
    <row r="735" ht="15.75" customHeight="1" s="218"/>
    <row r="736" ht="15.75" customHeight="1" s="218"/>
    <row r="737" ht="15.75" customHeight="1" s="218"/>
    <row r="738" ht="15.75" customHeight="1" s="218"/>
    <row r="739" ht="15.75" customHeight="1" s="218"/>
    <row r="740" ht="15.75" customHeight="1" s="218"/>
    <row r="741" ht="15.75" customHeight="1" s="218"/>
    <row r="742" ht="15.75" customHeight="1" s="218"/>
    <row r="743" ht="15.75" customHeight="1" s="218"/>
    <row r="744" ht="15.75" customHeight="1" s="218"/>
    <row r="745" ht="15.75" customHeight="1" s="218"/>
    <row r="746" ht="15.75" customHeight="1" s="218"/>
    <row r="747" ht="15.75" customHeight="1" s="218"/>
    <row r="748" ht="15.75" customHeight="1" s="218"/>
    <row r="749" ht="15.75" customHeight="1" s="218"/>
    <row r="750" ht="15.75" customHeight="1" s="218"/>
    <row r="751" ht="15.75" customHeight="1" s="218"/>
    <row r="752" ht="15.75" customHeight="1" s="218"/>
    <row r="753" ht="15.75" customHeight="1" s="218"/>
    <row r="754" ht="15.75" customHeight="1" s="218"/>
    <row r="755" ht="15.75" customHeight="1" s="218"/>
    <row r="756" ht="15.75" customHeight="1" s="218"/>
    <row r="757" ht="15.75" customHeight="1" s="218"/>
    <row r="758" ht="15.75" customHeight="1" s="218"/>
    <row r="759" ht="15.75" customHeight="1" s="218"/>
    <row r="760" ht="15.75" customHeight="1" s="218"/>
    <row r="761" ht="15.75" customHeight="1" s="218"/>
    <row r="762" ht="15.75" customHeight="1" s="218"/>
    <row r="763" ht="15.75" customHeight="1" s="218"/>
    <row r="764" ht="15.75" customHeight="1" s="218"/>
    <row r="765" ht="15.75" customHeight="1" s="218"/>
    <row r="766" ht="15.75" customHeight="1" s="218"/>
    <row r="767" ht="15.75" customHeight="1" s="218"/>
    <row r="768" ht="15.75" customHeight="1" s="218"/>
    <row r="769" ht="15.75" customHeight="1" s="218"/>
    <row r="770" ht="15.75" customHeight="1" s="218"/>
    <row r="771" ht="15.75" customHeight="1" s="218"/>
    <row r="772" ht="15.75" customHeight="1" s="218"/>
    <row r="773" ht="15.75" customHeight="1" s="218"/>
    <row r="774" ht="15.75" customHeight="1" s="218"/>
    <row r="775" ht="15.75" customHeight="1" s="218"/>
    <row r="776" ht="15.75" customHeight="1" s="218"/>
    <row r="777" ht="15.75" customHeight="1" s="218"/>
    <row r="778" ht="15.75" customHeight="1" s="218"/>
    <row r="779" ht="15.75" customHeight="1" s="218"/>
    <row r="780" ht="15.75" customHeight="1" s="218"/>
    <row r="781" ht="15.75" customHeight="1" s="218"/>
    <row r="782" ht="15.75" customHeight="1" s="218"/>
    <row r="783" ht="15.75" customHeight="1" s="218"/>
    <row r="784" ht="15.75" customHeight="1" s="218"/>
    <row r="785" ht="15.75" customHeight="1" s="218"/>
    <row r="786" ht="15.75" customHeight="1" s="218"/>
    <row r="787" ht="15.75" customHeight="1" s="218"/>
    <row r="788" ht="15.75" customHeight="1" s="218"/>
    <row r="789" ht="15.75" customHeight="1" s="218"/>
    <row r="790" ht="15.75" customHeight="1" s="218"/>
    <row r="791" ht="15.75" customHeight="1" s="218"/>
    <row r="792" ht="15.75" customHeight="1" s="218"/>
    <row r="793" ht="15.75" customHeight="1" s="218"/>
    <row r="794" ht="15.75" customHeight="1" s="218"/>
    <row r="795" ht="15.75" customHeight="1" s="218"/>
    <row r="796" ht="15.75" customHeight="1" s="218"/>
    <row r="797" ht="15.75" customHeight="1" s="218"/>
    <row r="798" ht="15.75" customHeight="1" s="218"/>
    <row r="799" ht="15.75" customHeight="1" s="218"/>
    <row r="800" ht="15.75" customHeight="1" s="218"/>
    <row r="801" ht="15.75" customHeight="1" s="218"/>
    <row r="802" ht="15.75" customHeight="1" s="218"/>
    <row r="803" ht="15.75" customHeight="1" s="218"/>
    <row r="804" ht="15.75" customHeight="1" s="218"/>
    <row r="805" ht="15.75" customHeight="1" s="218"/>
    <row r="806" ht="15.75" customHeight="1" s="218"/>
    <row r="807" ht="15.75" customHeight="1" s="218"/>
    <row r="808" ht="15.75" customHeight="1" s="218"/>
    <row r="809" ht="15.75" customHeight="1" s="218"/>
    <row r="810" ht="15.75" customHeight="1" s="218"/>
    <row r="811" ht="15.75" customHeight="1" s="218"/>
    <row r="812" ht="15.75" customHeight="1" s="218"/>
    <row r="813" ht="15.75" customHeight="1" s="218"/>
    <row r="814" ht="15.75" customHeight="1" s="218"/>
    <row r="815" ht="15.75" customHeight="1" s="218"/>
    <row r="816" ht="15.75" customHeight="1" s="218"/>
    <row r="817" ht="15.75" customHeight="1" s="218"/>
    <row r="818" ht="15.75" customHeight="1" s="218"/>
    <row r="819" ht="15.75" customHeight="1" s="218"/>
    <row r="820" ht="15.75" customHeight="1" s="218"/>
    <row r="821" ht="15.75" customHeight="1" s="218"/>
    <row r="822" ht="15.75" customHeight="1" s="218"/>
    <row r="823" ht="15.75" customHeight="1" s="218"/>
    <row r="824" ht="15.75" customHeight="1" s="218"/>
    <row r="825" ht="15.75" customHeight="1" s="218"/>
    <row r="826" ht="15.75" customHeight="1" s="218"/>
    <row r="827" ht="15.75" customHeight="1" s="218"/>
    <row r="828" ht="15.75" customHeight="1" s="218"/>
    <row r="829" ht="15.75" customHeight="1" s="218"/>
    <row r="830" ht="15.75" customHeight="1" s="218"/>
    <row r="831" ht="15.75" customHeight="1" s="218"/>
    <row r="832" ht="15.75" customHeight="1" s="218"/>
    <row r="833" ht="15.75" customHeight="1" s="218"/>
    <row r="834" ht="15.75" customHeight="1" s="218"/>
    <row r="835" ht="15.75" customHeight="1" s="218"/>
    <row r="836" ht="15.75" customHeight="1" s="218"/>
    <row r="837" ht="15.75" customHeight="1" s="218"/>
    <row r="838" ht="15.75" customHeight="1" s="218"/>
    <row r="839" ht="15.75" customHeight="1" s="218"/>
    <row r="840" ht="15.75" customHeight="1" s="218"/>
    <row r="841" ht="15.75" customHeight="1" s="218"/>
    <row r="842" ht="15.75" customHeight="1" s="218"/>
    <row r="843" ht="15.75" customHeight="1" s="218"/>
    <row r="844" ht="15.75" customHeight="1" s="218"/>
    <row r="845" ht="15.75" customHeight="1" s="218"/>
    <row r="846" ht="15.75" customHeight="1" s="218"/>
    <row r="847" ht="15.75" customHeight="1" s="218"/>
    <row r="848" ht="15.75" customHeight="1" s="218"/>
    <row r="849" ht="15.75" customHeight="1" s="218"/>
    <row r="850" ht="15.75" customHeight="1" s="218"/>
    <row r="851" ht="15.75" customHeight="1" s="218"/>
    <row r="852" ht="15.75" customHeight="1" s="218"/>
    <row r="853" ht="15.75" customHeight="1" s="218"/>
    <row r="854" ht="15.75" customHeight="1" s="218"/>
    <row r="855" ht="15.75" customHeight="1" s="218"/>
    <row r="856" ht="15.75" customHeight="1" s="218"/>
    <row r="857" ht="15.75" customHeight="1" s="218"/>
    <row r="858" ht="15.75" customHeight="1" s="218"/>
    <row r="859" ht="15.75" customHeight="1" s="218"/>
    <row r="860" ht="15.75" customHeight="1" s="218"/>
    <row r="861" ht="15.75" customHeight="1" s="218"/>
    <row r="862" ht="15.75" customHeight="1" s="218"/>
    <row r="863" ht="15.75" customHeight="1" s="218"/>
    <row r="864" ht="15.75" customHeight="1" s="218"/>
    <row r="865" ht="15.75" customHeight="1" s="218"/>
    <row r="866" ht="15.75" customHeight="1" s="218"/>
    <row r="867" ht="15.75" customHeight="1" s="218"/>
    <row r="868" ht="15.75" customHeight="1" s="218"/>
    <row r="869" ht="15.75" customHeight="1" s="218"/>
    <row r="870" ht="15.75" customHeight="1" s="218"/>
    <row r="871" ht="15.75" customHeight="1" s="218"/>
    <row r="872" ht="15.75" customHeight="1" s="218"/>
    <row r="873" ht="15.75" customHeight="1" s="218"/>
    <row r="874" ht="15.75" customHeight="1" s="218"/>
    <row r="875" ht="15.75" customHeight="1" s="218"/>
    <row r="876" ht="15.75" customHeight="1" s="218"/>
    <row r="877" ht="15.75" customHeight="1" s="218"/>
    <row r="878" ht="15.75" customHeight="1" s="218"/>
    <row r="879" ht="15.75" customHeight="1" s="218"/>
    <row r="880" ht="15.75" customHeight="1" s="218"/>
    <row r="881" ht="15.75" customHeight="1" s="218"/>
    <row r="882" ht="15.75" customHeight="1" s="218"/>
    <row r="883" ht="15.75" customHeight="1" s="218"/>
    <row r="884" ht="15.75" customHeight="1" s="218"/>
    <row r="885" ht="15.75" customHeight="1" s="218"/>
    <row r="886" ht="15.75" customHeight="1" s="218"/>
    <row r="887" ht="15.75" customHeight="1" s="218"/>
    <row r="888" ht="15.75" customHeight="1" s="218"/>
    <row r="889" ht="15.75" customHeight="1" s="218"/>
    <row r="890" ht="15.75" customHeight="1" s="218"/>
    <row r="891" ht="15.75" customHeight="1" s="218"/>
    <row r="892" ht="15.75" customHeight="1" s="218"/>
    <row r="893" ht="15.75" customHeight="1" s="218"/>
    <row r="894" ht="15.75" customHeight="1" s="218"/>
    <row r="895" ht="15.75" customHeight="1" s="218"/>
    <row r="896" ht="15.75" customHeight="1" s="218"/>
    <row r="897" ht="15.75" customHeight="1" s="218"/>
    <row r="898" ht="15.75" customHeight="1" s="218"/>
    <row r="899" ht="15.75" customHeight="1" s="218"/>
    <row r="900" ht="15.75" customHeight="1" s="218"/>
    <row r="901" ht="15.75" customHeight="1" s="218"/>
    <row r="902" ht="15.75" customHeight="1" s="218"/>
    <row r="903" ht="15.75" customHeight="1" s="218"/>
    <row r="904" ht="15.75" customHeight="1" s="218"/>
    <row r="905" ht="15.75" customHeight="1" s="218"/>
    <row r="906" ht="15.75" customHeight="1" s="218"/>
    <row r="907" ht="15.75" customHeight="1" s="218"/>
    <row r="908" ht="15.75" customHeight="1" s="218"/>
    <row r="909" ht="15.75" customHeight="1" s="218"/>
    <row r="910" ht="15.75" customHeight="1" s="218"/>
    <row r="911" ht="15.75" customHeight="1" s="218"/>
    <row r="912" ht="15.75" customHeight="1" s="218"/>
    <row r="913" ht="15.75" customHeight="1" s="218"/>
    <row r="914" ht="15.75" customHeight="1" s="218"/>
    <row r="915" ht="15.75" customHeight="1" s="218"/>
    <row r="916" ht="15.75" customHeight="1" s="218"/>
    <row r="917" ht="15.75" customHeight="1" s="218"/>
    <row r="918" ht="15.75" customHeight="1" s="218"/>
    <row r="919" ht="15.75" customHeight="1" s="218"/>
    <row r="920" ht="15.75" customHeight="1" s="218"/>
    <row r="921" ht="15.75" customHeight="1" s="218"/>
    <row r="922" ht="15.75" customHeight="1" s="218"/>
    <row r="923" ht="15.75" customHeight="1" s="218"/>
    <row r="924" ht="15.75" customHeight="1" s="218"/>
    <row r="925" ht="15.75" customHeight="1" s="218"/>
    <row r="926" ht="15.75" customHeight="1" s="218"/>
    <row r="927" ht="15.75" customHeight="1" s="218"/>
    <row r="928" ht="15.75" customHeight="1" s="218"/>
    <row r="929" ht="15.75" customHeight="1" s="218"/>
    <row r="930" ht="15.75" customHeight="1" s="218"/>
    <row r="931" ht="15.75" customHeight="1" s="218"/>
    <row r="932" ht="15.75" customHeight="1" s="218"/>
    <row r="933" ht="15.75" customHeight="1" s="218"/>
    <row r="934" ht="15.75" customHeight="1" s="218"/>
    <row r="935" ht="15.75" customHeight="1" s="218"/>
    <row r="936" ht="15.75" customHeight="1" s="218"/>
    <row r="937" ht="15.75" customHeight="1" s="218"/>
    <row r="938" ht="15.75" customHeight="1" s="218"/>
    <row r="939" ht="15.75" customHeight="1" s="218"/>
    <row r="940" ht="15.75" customHeight="1" s="218"/>
    <row r="941" ht="15.75" customHeight="1" s="218"/>
    <row r="942" ht="15.75" customHeight="1" s="218"/>
    <row r="943" ht="15.75" customHeight="1" s="218"/>
    <row r="944" ht="15.75" customHeight="1" s="218"/>
    <row r="945" ht="15.75" customHeight="1" s="218"/>
    <row r="946" ht="15.75" customHeight="1" s="218"/>
    <row r="947" ht="15.75" customHeight="1" s="218"/>
    <row r="948" ht="15.75" customHeight="1" s="218"/>
    <row r="949" ht="15.75" customHeight="1" s="218"/>
    <row r="950" ht="15.75" customHeight="1" s="218"/>
    <row r="951" ht="15.75" customHeight="1" s="218"/>
    <row r="952" ht="15.75" customHeight="1" s="218"/>
    <row r="953" ht="15.75" customHeight="1" s="218"/>
    <row r="954" ht="15.75" customHeight="1" s="218"/>
    <row r="955" ht="15.75" customHeight="1" s="218"/>
    <row r="956" ht="15.75" customHeight="1" s="218"/>
    <row r="957" ht="15.75" customHeight="1" s="218"/>
    <row r="958" ht="15.75" customHeight="1" s="218"/>
    <row r="959" ht="15.75" customHeight="1" s="218"/>
    <row r="960" ht="15.75" customHeight="1" s="218"/>
    <row r="961" ht="15.75" customHeight="1" s="218"/>
    <row r="962" ht="15.75" customHeight="1" s="218"/>
    <row r="963" ht="15.75" customHeight="1" s="218"/>
    <row r="964" ht="15.75" customHeight="1" s="218"/>
    <row r="965" ht="15.75" customHeight="1" s="218"/>
    <row r="966" ht="15.75" customHeight="1" s="218"/>
    <row r="967" ht="15.75" customHeight="1" s="218"/>
    <row r="968" ht="15.75" customHeight="1" s="218"/>
    <row r="969" ht="15.75" customHeight="1" s="218"/>
    <row r="970" ht="15.75" customHeight="1" s="218"/>
    <row r="971" ht="15.75" customHeight="1" s="218"/>
    <row r="972" ht="15.75" customHeight="1" s="218"/>
    <row r="973" ht="15.75" customHeight="1" s="218"/>
    <row r="974" ht="15.75" customHeight="1" s="218"/>
    <row r="975" ht="15.75" customHeight="1" s="218"/>
    <row r="976" ht="15.75" customHeight="1" s="218"/>
    <row r="977" ht="15.75" customHeight="1" s="218"/>
    <row r="978" ht="15.75" customHeight="1" s="218"/>
    <row r="979" ht="15.75" customHeight="1" s="218"/>
    <row r="980" ht="15.75" customHeight="1" s="218"/>
    <row r="981" ht="15.75" customHeight="1" s="218"/>
    <row r="982" ht="15.75" customHeight="1" s="218"/>
    <row r="983" ht="15.75" customHeight="1" s="218"/>
    <row r="984" ht="15.75" customHeight="1" s="218"/>
    <row r="985" ht="15.75" customHeight="1" s="218"/>
    <row r="986" ht="15.75" customHeight="1" s="218"/>
    <row r="987" ht="15.75" customHeight="1" s="218"/>
    <row r="988" ht="15.75" customHeight="1" s="218"/>
    <row r="989" ht="15.75" customHeight="1" s="218"/>
    <row r="990" ht="15.75" customHeight="1" s="218"/>
    <row r="991" ht="15.75" customHeight="1" s="218"/>
    <row r="992" ht="15.75" customHeight="1" s="218"/>
    <row r="993" ht="15.75" customHeight="1" s="218"/>
    <row r="994" ht="15.75" customHeight="1" s="218"/>
    <row r="995" ht="15.75" customHeight="1" s="218"/>
    <row r="996" ht="15.75" customHeight="1" s="218"/>
    <row r="997" ht="15.75" customHeight="1" s="218"/>
    <row r="998" ht="15.75" customHeight="1" s="218"/>
    <row r="999" ht="15.75" customHeight="1" s="218"/>
    <row r="1000" ht="15.75" customHeight="1" s="218"/>
  </sheetData>
  <mergeCells count="2">
    <mergeCell ref="B3:D3"/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ED7D31"/>
    <outlinePr summaryBelow="1" summaryRight="1"/>
    <pageSetUpPr fitToPage="0"/>
  </sheetPr>
  <dimension ref="A1:AA8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customHeight="1" zeroHeight="0" outlineLevelRow="0"/>
  <cols>
    <col width="38" customWidth="1" style="217" min="1" max="1"/>
    <col width="18" customWidth="1" style="217" min="2" max="2"/>
    <col width="42" customWidth="1" style="217" min="3" max="3"/>
    <col width="14" customWidth="1" style="217" min="4" max="5"/>
    <col width="24" customWidth="1" style="217" min="6" max="6"/>
    <col width="48" customWidth="1" style="217" min="7" max="7"/>
    <col width="8.710000000000001" customWidth="1" style="217" min="8" max="27"/>
  </cols>
  <sheetData>
    <row r="1" ht="45.75" customHeight="1" s="218">
      <c r="A1" s="233" t="inlineStr">
        <is>
          <t>ASSUMPTIONS — All Model Inputs</t>
        </is>
      </c>
    </row>
    <row r="2" ht="27.75" customHeight="1" s="218">
      <c r="A2" s="234" t="inlineStr">
        <is>
          <t>Yellow cells = your inputs (blue text).   Replace example values with your own data.   Do not edit white/green cells — these are formulas.</t>
        </is>
      </c>
    </row>
    <row r="3" ht="6" customHeight="1" s="218">
      <c r="A3" s="221" t="n"/>
      <c r="B3" s="221" t="n"/>
      <c r="C3" s="221" t="n"/>
      <c r="D3" s="221" t="n"/>
      <c r="E3" s="221" t="n"/>
      <c r="F3" s="221" t="n"/>
      <c r="G3" s="221" t="n"/>
      <c r="H3" s="221" t="n"/>
      <c r="I3" s="221" t="n"/>
      <c r="J3" s="221" t="n"/>
      <c r="K3" s="221" t="n"/>
      <c r="L3" s="221" t="n"/>
      <c r="M3" s="221" t="n"/>
      <c r="N3" s="221" t="n"/>
      <c r="O3" s="221" t="n"/>
      <c r="P3" s="221" t="n"/>
      <c r="Q3" s="221" t="n"/>
      <c r="R3" s="221" t="n"/>
      <c r="S3" s="221" t="n"/>
      <c r="T3" s="221" t="n"/>
      <c r="U3" s="221" t="n"/>
      <c r="V3" s="221" t="n"/>
      <c r="W3" s="221" t="n"/>
      <c r="X3" s="221" t="n"/>
      <c r="Y3" s="221" t="n"/>
      <c r="Z3" s="221" t="n"/>
      <c r="AA3" s="221" t="n"/>
    </row>
    <row r="4" ht="21.75" customHeight="1" s="218">
      <c r="A4" s="233" t="inlineStr">
        <is>
          <t>SECTION 1 — COMPANY INFORMATION</t>
        </is>
      </c>
    </row>
    <row r="5" ht="19.5" customHeight="1" s="218">
      <c r="A5" s="235" t="inlineStr">
        <is>
          <t>Company Name</t>
        </is>
      </c>
      <c r="B5" s="236" t="inlineStr">
        <is>
          <t>My Marketplace Ltd</t>
        </is>
      </c>
      <c r="C5" s="237" t="inlineStr">
        <is>
          <t>Your legal trading name</t>
        </is>
      </c>
    </row>
    <row r="6" ht="19.5" customHeight="1" s="218">
      <c r="A6" s="238" t="inlineStr">
        <is>
          <t>Currency Symbol</t>
        </is>
      </c>
      <c r="B6" s="236" t="inlineStr">
        <is>
          <t>£</t>
        </is>
      </c>
      <c r="C6" s="239" t="inlineStr">
        <is>
          <t>Change this to $ or € etc. All sheets reference this cell.</t>
        </is>
      </c>
    </row>
    <row r="7" ht="19.5" customHeight="1" s="218">
      <c r="A7" s="235" t="inlineStr">
        <is>
          <t>Model Start Month &amp; Year</t>
        </is>
      </c>
      <c r="B7" s="236" t="inlineStr">
        <is>
          <t>Jan 2025</t>
        </is>
      </c>
      <c r="C7" s="237" t="inlineStr">
        <is>
          <t>Text label for display — e.g. Jan 2025</t>
        </is>
      </c>
    </row>
    <row r="8" ht="6" customHeight="1" s="218">
      <c r="A8" s="221" t="n"/>
      <c r="B8" s="221" t="n"/>
      <c r="C8" s="221" t="n"/>
      <c r="D8" s="221" t="n"/>
      <c r="E8" s="221" t="n"/>
      <c r="F8" s="221" t="n"/>
      <c r="G8" s="221" t="n"/>
      <c r="H8" s="221" t="n"/>
      <c r="I8" s="221" t="n"/>
      <c r="J8" s="221" t="n"/>
      <c r="K8" s="221" t="n"/>
      <c r="L8" s="221" t="n"/>
      <c r="M8" s="221" t="n"/>
      <c r="N8" s="221" t="n"/>
      <c r="O8" s="221" t="n"/>
      <c r="P8" s="221" t="n"/>
      <c r="Q8" s="221" t="n"/>
      <c r="R8" s="221" t="n"/>
      <c r="S8" s="221" t="n"/>
      <c r="T8" s="221" t="n"/>
      <c r="U8" s="221" t="n"/>
      <c r="V8" s="221" t="n"/>
      <c r="W8" s="221" t="n"/>
      <c r="X8" s="221" t="n"/>
      <c r="Y8" s="221" t="n"/>
      <c r="Z8" s="221" t="n"/>
      <c r="AA8" s="221" t="n"/>
    </row>
    <row r="9" ht="21.75" customHeight="1" s="218">
      <c r="A9" s="233" t="inlineStr">
        <is>
          <t>SECTION 2 — MARKETPLACE REVENUE DRIVERS</t>
        </is>
      </c>
    </row>
    <row r="10" ht="18" customHeight="1" s="218">
      <c r="A10" s="240" t="inlineStr">
        <is>
          <t>Parameter</t>
        </is>
      </c>
      <c r="B10" s="241" t="inlineStr">
        <is>
          <t>Year 1</t>
        </is>
      </c>
      <c r="C10" s="241" t="inlineStr">
        <is>
          <t>Year 2</t>
        </is>
      </c>
      <c r="D10" s="242" t="inlineStr">
        <is>
          <t>Year 3</t>
        </is>
      </c>
      <c r="E10" s="242" t="inlineStr">
        <is>
          <t>Year 4</t>
        </is>
      </c>
      <c r="F10" s="242" t="inlineStr">
        <is>
          <t>Year 5</t>
        </is>
      </c>
      <c r="G10" s="243" t="inlineStr">
        <is>
          <t>Source / Research Note</t>
        </is>
      </c>
    </row>
    <row r="11" ht="19.5" customHeight="1" s="218">
      <c r="A11" s="235" t="inlineStr">
        <is>
          <t>Initial Active Buyers (Month 0 — your starting base)</t>
        </is>
      </c>
      <c r="B11" s="244" t="n">
        <v>500</v>
      </c>
      <c r="C11" s="237" t="n"/>
      <c r="G11" s="245" t="inlineStr">
        <is>
          <t>Existing buyers before model starts. If pre-launch, enter 0.</t>
        </is>
      </c>
    </row>
    <row r="12" ht="19.5" customHeight="1" s="218">
      <c r="A12" s="238" t="inlineStr">
        <is>
          <t>New Buyers Added — Month 1</t>
        </is>
      </c>
      <c r="B12" s="244" t="n">
        <v>50</v>
      </c>
      <c r="C12" s="237" t="n"/>
      <c r="G12" s="245" t="inlineStr">
        <is>
          <t>Gross new buyers in the first month. Model grows this at the rate below.</t>
        </is>
      </c>
    </row>
    <row r="13" ht="19.5" customHeight="1" s="218">
      <c r="A13" s="235" t="inlineStr">
        <is>
          <t>Monthly New Buyer Growth Rate %</t>
        </is>
      </c>
      <c r="B13" s="246" t="n">
        <v>0.1</v>
      </c>
      <c r="C13" s="247" t="n">
        <v>0.1</v>
      </c>
      <c r="D13" s="248" t="n">
        <v>0.1</v>
      </c>
      <c r="E13" s="248" t="n">
        <v>0.1</v>
      </c>
      <c r="F13" s="248" t="n">
        <v>0.1</v>
      </c>
      <c r="G13" s="245" t="inlineStr">
        <is>
          <t>Month-on-month growth of new buyers added. 10% = compounding adds each month.</t>
        </is>
      </c>
    </row>
    <row r="14" ht="19.5" customHeight="1" s="218">
      <c r="A14" s="238" t="inlineStr">
        <is>
          <t>Monthly Buyer Churn Rate %</t>
        </is>
      </c>
      <c r="B14" s="246" t="n">
        <v>0.05</v>
      </c>
      <c r="C14" s="247" t="n">
        <v>0.05</v>
      </c>
      <c r="D14" s="248" t="n">
        <v>0.05</v>
      </c>
      <c r="E14" s="248" t="n">
        <v>0.05</v>
      </c>
      <c r="F14" s="248" t="n">
        <v>0.05</v>
      </c>
      <c r="G14" s="245" t="inlineStr">
        <is>
          <t>% of active buyers who stop transacting each month. Marketplace avg: 3–8%.</t>
        </is>
      </c>
    </row>
    <row r="15" ht="19.5" customHeight="1" s="218">
      <c r="A15" s="235" t="inlineStr">
        <is>
          <t>Average Order Value (£)</t>
        </is>
      </c>
      <c r="B15" s="249" t="n">
        <v>150</v>
      </c>
      <c r="C15" s="250" t="n">
        <v>150</v>
      </c>
      <c r="D15" s="251" t="n">
        <v>150</v>
      </c>
      <c r="E15" s="251" t="n">
        <v>150</v>
      </c>
      <c r="F15" s="251" t="n">
        <v>150</v>
      </c>
      <c r="G15" s="245" t="inlineStr">
        <is>
          <t>Average basket size per transaction. Source: Shopify 2024 SMB avg £140–£180.</t>
        </is>
      </c>
    </row>
    <row r="16" ht="19.5" customHeight="1" s="218">
      <c r="A16" s="238" t="inlineStr">
        <is>
          <t>Average Orders per Active Buyer/Month</t>
        </is>
      </c>
      <c r="B16" s="252" t="n">
        <v>1.2</v>
      </c>
      <c r="C16" s="253" t="n">
        <v>1.2</v>
      </c>
      <c r="D16" s="254" t="n">
        <v>1.2</v>
      </c>
      <c r="E16" s="254" t="n">
        <v>1.2</v>
      </c>
      <c r="F16" s="254" t="n">
        <v>1.2</v>
      </c>
      <c r="G16" s="245" t="inlineStr">
        <is>
          <t>How often buyers transact. Increases with engagement and product depth.</t>
        </is>
      </c>
    </row>
    <row r="17" ht="19.5" customHeight="1" s="218">
      <c r="A17" s="235" t="inlineStr">
        <is>
          <t>Marketplace Take Rate (% of GMV)</t>
        </is>
      </c>
      <c r="B17" s="246" t="n">
        <v>0.15</v>
      </c>
      <c r="C17" s="247" t="n">
        <v>0.15</v>
      </c>
      <c r="D17" s="248" t="n">
        <v>0.15</v>
      </c>
      <c r="E17" s="248" t="n">
        <v>0.15</v>
      </c>
      <c r="F17" s="248" t="n">
        <v>0.15</v>
      </c>
      <c r="G17" s="245" t="inlineStr">
        <is>
          <t>Platform commission. UK marketplaces avg 12–20%. Indeed Flex: ~18%.</t>
        </is>
      </c>
    </row>
    <row r="18" ht="19.5" customHeight="1" s="218">
      <c r="A18" s="238" t="inlineStr">
        <is>
          <t>Initial Active Sellers (Month 0)</t>
        </is>
      </c>
      <c r="B18" s="244" t="n">
        <v>50</v>
      </c>
      <c r="C18" s="237" t="n"/>
      <c r="G18" s="245" t="inlineStr">
        <is>
          <t>Sellers listed on platform at model start.</t>
        </is>
      </c>
    </row>
    <row r="19" ht="19.5" customHeight="1" s="218">
      <c r="A19" s="235" t="inlineStr">
        <is>
          <t>New Sellers Added — Month 1</t>
        </is>
      </c>
      <c r="B19" s="244" t="n">
        <v>8</v>
      </c>
      <c r="C19" s="237" t="n"/>
      <c r="G19" s="245" t="inlineStr">
        <is>
          <t>Gross new sellers in month 1.</t>
        </is>
      </c>
    </row>
    <row r="20" ht="19.5" customHeight="1" s="218">
      <c r="A20" s="238" t="inlineStr">
        <is>
          <t>Monthly Seller Growth Rate %</t>
        </is>
      </c>
      <c r="B20" s="246" t="n">
        <v>0.08</v>
      </c>
      <c r="C20" s="247" t="n">
        <v>0.08</v>
      </c>
      <c r="D20" s="248" t="n">
        <v>0.08</v>
      </c>
      <c r="E20" s="248" t="n">
        <v>0.08</v>
      </c>
      <c r="F20" s="248" t="n">
        <v>0.08</v>
      </c>
      <c r="G20" s="245" t="inlineStr">
        <is>
          <t>Month-on-month growth of new sellers added.</t>
        </is>
      </c>
    </row>
    <row r="21" ht="19.5" customHeight="1" s="218">
      <c r="A21" s="235" t="inlineStr">
        <is>
          <t>Monthly Seller Churn Rate %</t>
        </is>
      </c>
      <c r="B21" s="246" t="n">
        <v>0.03</v>
      </c>
      <c r="C21" s="247" t="n">
        <v>0.03</v>
      </c>
      <c r="D21" s="248" t="n">
        <v>0.03</v>
      </c>
      <c r="E21" s="248" t="n">
        <v>0.03</v>
      </c>
      <c r="F21" s="248" t="n">
        <v>0.03</v>
      </c>
      <c r="G21" s="245" t="inlineStr">
        <is>
          <t>% of active sellers who leave each month.</t>
        </is>
      </c>
    </row>
    <row r="22" ht="19.5" customHeight="1" s="218">
      <c r="A22" s="238" t="inlineStr">
        <is>
          <t>Seller Monthly Subscription Fee (£)</t>
        </is>
      </c>
      <c r="B22" s="249" t="n">
        <v>50</v>
      </c>
      <c r="C22" s="250" t="n">
        <v>50</v>
      </c>
      <c r="D22" s="251" t="n">
        <v>50</v>
      </c>
      <c r="E22" s="251" t="n">
        <v>50</v>
      </c>
      <c r="F22" s="251" t="n">
        <v>50</v>
      </c>
      <c r="G22" s="245" t="inlineStr">
        <is>
          <t>If you charge sellers a SaaS fee to list. Enter 0 if marketplace-only model.</t>
        </is>
      </c>
    </row>
    <row r="23" ht="21.75" customHeight="1" s="218">
      <c r="A23" s="233" t="inlineStr">
        <is>
          <t>SECTION 3 — SAAS SUBSCRIPTION REVENUE</t>
        </is>
      </c>
      <c r="H23" s="221" t="n"/>
      <c r="I23" s="221" t="n"/>
      <c r="J23" s="221" t="n"/>
      <c r="K23" s="221" t="n"/>
      <c r="L23" s="221" t="n"/>
      <c r="M23" s="221" t="n"/>
      <c r="N23" s="221" t="n"/>
      <c r="O23" s="221" t="n"/>
      <c r="P23" s="221" t="n"/>
      <c r="Q23" s="221" t="n"/>
      <c r="R23" s="221" t="n"/>
      <c r="S23" s="221" t="n"/>
      <c r="T23" s="221" t="n"/>
      <c r="U23" s="221" t="n"/>
      <c r="V23" s="221" t="n"/>
      <c r="W23" s="221" t="n"/>
      <c r="X23" s="221" t="n"/>
      <c r="Y23" s="221" t="n"/>
      <c r="Z23" s="221" t="n"/>
      <c r="AA23" s="221" t="n"/>
    </row>
    <row r="24" ht="15.75" customHeight="1" s="218">
      <c r="A24" s="221" t="n"/>
      <c r="B24" s="221" t="n"/>
      <c r="C24" s="221" t="n"/>
      <c r="D24" s="221" t="n"/>
      <c r="E24" s="221" t="n"/>
      <c r="F24" s="221" t="n"/>
      <c r="G24" s="221" t="n"/>
      <c r="H24" s="221" t="n"/>
      <c r="I24" s="221" t="n"/>
      <c r="J24" s="221" t="n"/>
      <c r="K24" s="221" t="n"/>
      <c r="L24" s="221" t="n"/>
      <c r="M24" s="221" t="n"/>
      <c r="N24" s="221" t="n"/>
      <c r="O24" s="221" t="n"/>
      <c r="P24" s="221" t="n"/>
      <c r="Q24" s="221" t="n"/>
      <c r="R24" s="221" t="n"/>
      <c r="S24" s="221" t="n"/>
      <c r="T24" s="221" t="n"/>
      <c r="U24" s="221" t="n"/>
      <c r="V24" s="221" t="n"/>
      <c r="W24" s="221" t="n"/>
      <c r="X24" s="221" t="n"/>
      <c r="Y24" s="221" t="n"/>
      <c r="Z24" s="221" t="n"/>
      <c r="AA24" s="221" t="n"/>
    </row>
    <row r="25" ht="19.5" customHeight="1" s="218">
      <c r="A25" s="235" t="inlineStr">
        <is>
          <t>Initial SaaS Subscribers (Month 0)</t>
        </is>
      </c>
      <c r="B25" s="244" t="n">
        <v>20</v>
      </c>
      <c r="C25" s="237" t="n"/>
      <c r="G25" s="245" t="inlineStr">
        <is>
          <t>Existing paying SaaS subscribers at model start.</t>
        </is>
      </c>
    </row>
    <row r="26" ht="19.5" customHeight="1" s="218">
      <c r="A26" s="238" t="inlineStr">
        <is>
          <t>New Subscribers Added — Month 1</t>
        </is>
      </c>
      <c r="B26" s="244" t="n">
        <v>5</v>
      </c>
      <c r="C26" s="237" t="n"/>
      <c r="G26" s="245" t="inlineStr">
        <is>
          <t>New paying SaaS subscribers in month 1.</t>
        </is>
      </c>
    </row>
    <row r="27" ht="19.5" customHeight="1" s="218">
      <c r="A27" s="235" t="inlineStr">
        <is>
          <t>Monthly New Subscriber Growth Rate %</t>
        </is>
      </c>
      <c r="B27" s="246" t="n">
        <v>0.15</v>
      </c>
      <c r="C27" s="247" t="n">
        <v>0.15</v>
      </c>
      <c r="D27" s="248" t="n">
        <v>0.15</v>
      </c>
      <c r="E27" s="248" t="n">
        <v>0.15</v>
      </c>
      <c r="F27" s="248" t="n">
        <v>0.15</v>
      </c>
      <c r="G27" s="245" t="inlineStr">
        <is>
          <t>Month-on-month growth of new SaaS subscribers. 15% = aggressive early-stage growth.</t>
        </is>
      </c>
    </row>
    <row r="28" ht="19.5" customHeight="1" s="218">
      <c r="A28" s="238" t="inlineStr">
        <is>
          <t>Monthly SaaS Subscriber Churn Rate %</t>
        </is>
      </c>
      <c r="B28" s="246" t="n">
        <v>0.02</v>
      </c>
      <c r="C28" s="247" t="n">
        <v>0.02</v>
      </c>
      <c r="D28" s="248" t="n">
        <v>0.02</v>
      </c>
      <c r="E28" s="248" t="n">
        <v>0.02</v>
      </c>
      <c r="F28" s="248" t="n">
        <v>0.02</v>
      </c>
      <c r="G28" s="245" t="inlineStr">
        <is>
          <t>% of SaaS subscribers who cancel each month. World-class = &lt;1%. Good = &lt;2%.</t>
        </is>
      </c>
    </row>
    <row r="29" ht="19.5" customHeight="1" s="218">
      <c r="A29" s="235" t="inlineStr">
        <is>
          <t>Monthly ARPU — SaaS (£)</t>
        </is>
      </c>
      <c r="B29" s="249" t="n">
        <v>299</v>
      </c>
      <c r="C29" s="250" t="n">
        <v>299</v>
      </c>
      <c r="D29" s="251" t="n">
        <v>299</v>
      </c>
      <c r="E29" s="251" t="n">
        <v>299</v>
      </c>
      <c r="F29" s="251" t="n">
        <v>299</v>
      </c>
      <c r="G29" s="245" t="inlineStr">
        <is>
          <t>Average monthly revenue per SaaS subscriber. Check vs your pricing tiers.</t>
        </is>
      </c>
    </row>
    <row r="30" ht="6" customHeight="1" s="218">
      <c r="A30" s="221" t="n"/>
      <c r="B30" s="221" t="n"/>
      <c r="C30" s="221" t="n"/>
      <c r="D30" s="221" t="n"/>
      <c r="E30" s="221" t="n"/>
      <c r="F30" s="221" t="n"/>
      <c r="G30" s="221" t="n"/>
      <c r="H30" s="221" t="n"/>
      <c r="I30" s="221" t="n"/>
      <c r="J30" s="221" t="n"/>
      <c r="K30" s="221" t="n"/>
      <c r="L30" s="221" t="n"/>
      <c r="M30" s="221" t="n"/>
      <c r="N30" s="221" t="n"/>
      <c r="O30" s="221" t="n"/>
      <c r="P30" s="221" t="n"/>
      <c r="Q30" s="221" t="n"/>
      <c r="R30" s="221" t="n"/>
      <c r="S30" s="221" t="n"/>
      <c r="T30" s="221" t="n"/>
      <c r="U30" s="221" t="n"/>
      <c r="V30" s="221" t="n"/>
      <c r="W30" s="221" t="n"/>
      <c r="X30" s="221" t="n"/>
      <c r="Y30" s="221" t="n"/>
      <c r="Z30" s="221" t="n"/>
      <c r="AA30" s="221" t="n"/>
    </row>
    <row r="31" ht="21.75" customHeight="1" s="218">
      <c r="A31" s="233" t="inlineStr">
        <is>
          <t>SECTION 4 — UNIT ECONOMICS</t>
        </is>
      </c>
    </row>
    <row r="32" ht="15.75" customHeight="1" s="218"/>
    <row r="33" ht="19.5" customHeight="1" s="218">
      <c r="A33" s="235" t="inlineStr">
        <is>
          <t>CAC — Paid Channel (£ per customer)</t>
        </is>
      </c>
      <c r="B33" s="249" t="n">
        <v>80</v>
      </c>
      <c r="C33" s="250" t="n">
        <v>80</v>
      </c>
      <c r="D33" s="251" t="n">
        <v>80</v>
      </c>
      <c r="E33" s="251" t="n">
        <v>80</v>
      </c>
      <c r="F33" s="251" t="n">
        <v>80</v>
      </c>
      <c r="G33" s="245" t="inlineStr">
        <is>
          <t>Fully loaded cost to acquire 1 customer via paid ads/sales. Include agency fees.</t>
        </is>
      </c>
    </row>
    <row r="34" ht="19.5" customHeight="1" s="218">
      <c r="A34" s="238" t="inlineStr">
        <is>
          <t>CAC — Organic / Content (£ per customer)</t>
        </is>
      </c>
      <c r="B34" s="249" t="n">
        <v>20</v>
      </c>
      <c r="C34" s="250" t="n">
        <v>20</v>
      </c>
      <c r="D34" s="251" t="n">
        <v>20</v>
      </c>
      <c r="E34" s="251" t="n">
        <v>20</v>
      </c>
      <c r="F34" s="251" t="n">
        <v>20</v>
      </c>
      <c r="G34" s="245" t="inlineStr">
        <is>
          <t>Cost per customer via SEO/content/referral. Include team time.</t>
        </is>
      </c>
    </row>
    <row r="35" ht="19.5" customHeight="1" s="218">
      <c r="A35" s="235" t="inlineStr">
        <is>
          <t>% of New Customers from Paid Channel</t>
        </is>
      </c>
      <c r="B35" s="246" t="n">
        <v>0.6</v>
      </c>
      <c r="C35" s="247" t="n">
        <v>0.6</v>
      </c>
      <c r="D35" s="248" t="n">
        <v>0.6</v>
      </c>
      <c r="E35" s="248" t="n">
        <v>0.6</v>
      </c>
      <c r="F35" s="248" t="n">
        <v>0.6</v>
      </c>
      <c r="G35" s="245" t="inlineStr">
        <is>
          <t>Split between paid and organic acquisition.</t>
        </is>
      </c>
    </row>
    <row r="36" ht="19.5" customHeight="1" s="218">
      <c r="A36" s="238" t="inlineStr">
        <is>
          <t>Blended CAC (£) — calculated</t>
        </is>
      </c>
      <c r="B36" s="255">
        <f>ASSUMPTIONS!$B$33*ASSUMPTIONS!$B$35+ASSUMPTIONS!$B$34*(1-ASSUMPTIONS!$B$35)</f>
        <v/>
      </c>
      <c r="C36" s="256">
        <f>C33*C35+C34*(1-C35)</f>
        <v/>
      </c>
      <c r="D36" s="257">
        <f>D33*D35+D34*(1-D35)</f>
        <v/>
      </c>
      <c r="E36" s="257">
        <f>E33*E35+E34*(1-E35)</f>
        <v/>
      </c>
      <c r="F36" s="257">
        <f>F33*F35+F34*(1-F35)</f>
        <v/>
      </c>
    </row>
    <row r="37" ht="6" customHeight="1" s="218">
      <c r="A37" s="221" t="n"/>
      <c r="B37" s="221" t="n"/>
      <c r="C37" s="221" t="n"/>
      <c r="D37" s="221" t="n"/>
      <c r="E37" s="221" t="n"/>
      <c r="F37" s="221" t="n"/>
      <c r="G37" s="221" t="n"/>
      <c r="H37" s="221" t="n"/>
      <c r="I37" s="221" t="n"/>
      <c r="J37" s="221" t="n"/>
      <c r="K37" s="221" t="n"/>
      <c r="L37" s="221" t="n"/>
      <c r="M37" s="221" t="n"/>
      <c r="N37" s="221" t="n"/>
      <c r="O37" s="221" t="n"/>
      <c r="P37" s="221" t="n"/>
      <c r="Q37" s="221" t="n"/>
      <c r="R37" s="221" t="n"/>
      <c r="S37" s="221" t="n"/>
      <c r="T37" s="221" t="n"/>
      <c r="U37" s="221" t="n"/>
      <c r="V37" s="221" t="n"/>
      <c r="W37" s="221" t="n"/>
      <c r="X37" s="221" t="n"/>
      <c r="Y37" s="221" t="n"/>
      <c r="Z37" s="221" t="n"/>
      <c r="AA37" s="221" t="n"/>
    </row>
    <row r="38" ht="21.75" customHeight="1" s="218">
      <c r="A38" s="233" t="inlineStr">
        <is>
          <t>SECTION 5 — COST OF GOODS SOLD (COGS)</t>
        </is>
      </c>
    </row>
    <row r="39" ht="19.5" customHeight="1" s="218">
      <c r="A39" s="235" t="inlineStr">
        <is>
          <t>Payment Processing Fee (% of GMV)</t>
        </is>
      </c>
      <c r="B39" s="246" t="n">
        <v>0.02</v>
      </c>
      <c r="C39" s="247" t="n">
        <v>0.02</v>
      </c>
      <c r="D39" s="248" t="n">
        <v>0.02</v>
      </c>
      <c r="E39" s="248" t="n">
        <v>0.02</v>
      </c>
      <c r="F39" s="248" t="n">
        <v>0.02</v>
      </c>
      <c r="G39" s="245" t="inlineStr">
        <is>
          <t>Stripe/Adyen/Checkout typically 1.4–2.5% + fixed. Model as % of GMV.</t>
        </is>
      </c>
    </row>
    <row r="40" ht="19.5" customHeight="1" s="218">
      <c r="A40" s="238" t="inlineStr">
        <is>
          <t>Cloud / Infrastructure — Fixed (£/mo)</t>
        </is>
      </c>
      <c r="B40" s="249" t="n">
        <v>2000</v>
      </c>
      <c r="C40" s="250" t="n">
        <v>2000</v>
      </c>
      <c r="D40" s="251" t="n">
        <v>2000</v>
      </c>
      <c r="E40" s="251" t="n">
        <v>2000</v>
      </c>
      <c r="F40" s="251" t="n">
        <v>2000</v>
      </c>
      <c r="G40" s="245" t="inlineStr">
        <is>
          <t>Fixed monthly server/cloud cost at current scale. AWS/GCP/Azure baseline.</t>
        </is>
      </c>
    </row>
    <row r="41" ht="19.5" customHeight="1" s="218">
      <c r="A41" s="235" t="inlineStr">
        <is>
          <t>Infrastructure Variable (£ per 1k transactions)</t>
        </is>
      </c>
      <c r="B41" s="249" t="n">
        <v>50</v>
      </c>
      <c r="C41" s="250" t="n">
        <v>50</v>
      </c>
      <c r="D41" s="251" t="n">
        <v>50</v>
      </c>
      <c r="E41" s="251" t="n">
        <v>50</v>
      </c>
      <c r="F41" s="251" t="n">
        <v>50</v>
      </c>
      <c r="G41" s="245" t="inlineStr">
        <is>
          <t>Variable cloud cost per 1,000 transactions processed.</t>
        </is>
      </c>
    </row>
    <row r="42" ht="19.5" customHeight="1" s="218">
      <c r="A42" s="238" t="inlineStr">
        <is>
          <t>Customer Support Cost (£ per 100 active users/mo)</t>
        </is>
      </c>
      <c r="B42" s="249" t="n">
        <v>500</v>
      </c>
      <c r="C42" s="250" t="n">
        <v>500</v>
      </c>
      <c r="D42" s="251" t="n">
        <v>500</v>
      </c>
      <c r="E42" s="251" t="n">
        <v>500</v>
      </c>
      <c r="F42" s="251" t="n">
        <v>500</v>
      </c>
      <c r="G42" s="245" t="inlineStr">
        <is>
          <t>Combined marketplace buyers + sellers support cost per 100 active.</t>
        </is>
      </c>
    </row>
    <row r="43" ht="19.5" customHeight="1" s="218">
      <c r="A43" s="235" t="inlineStr">
        <is>
          <t>Fraud &amp; Risk Cost (% of GMV)</t>
        </is>
      </c>
      <c r="B43" s="246" t="n">
        <v>0.002</v>
      </c>
      <c r="C43" s="247" t="n">
        <v>0.002</v>
      </c>
      <c r="D43" s="248" t="n">
        <v>0.002</v>
      </c>
      <c r="E43" s="248" t="n">
        <v>0.002</v>
      </c>
      <c r="F43" s="248" t="n">
        <v>0.002</v>
      </c>
      <c r="G43" s="245" t="inlineStr">
        <is>
          <t>Chargebacks, fraud losses, risk ops. Typical range: 0.1–0.5% of GMV.</t>
        </is>
      </c>
    </row>
    <row r="44" ht="6" customHeight="1" s="218">
      <c r="A44" s="221" t="n"/>
      <c r="B44" s="221" t="n"/>
      <c r="C44" s="221" t="n"/>
      <c r="D44" s="221" t="n"/>
      <c r="E44" s="221" t="n"/>
      <c r="F44" s="221" t="n"/>
      <c r="G44" s="221" t="n"/>
      <c r="H44" s="221" t="n"/>
      <c r="I44" s="221" t="n"/>
      <c r="J44" s="221" t="n"/>
      <c r="K44" s="221" t="n"/>
      <c r="L44" s="221" t="n"/>
      <c r="M44" s="221" t="n"/>
      <c r="N44" s="221" t="n"/>
      <c r="O44" s="221" t="n"/>
      <c r="P44" s="221" t="n"/>
      <c r="Q44" s="221" t="n"/>
      <c r="R44" s="221" t="n"/>
      <c r="S44" s="221" t="n"/>
      <c r="T44" s="221" t="n"/>
      <c r="U44" s="221" t="n"/>
      <c r="V44" s="221" t="n"/>
      <c r="W44" s="221" t="n"/>
      <c r="X44" s="221" t="n"/>
      <c r="Y44" s="221" t="n"/>
      <c r="Z44" s="221" t="n"/>
      <c r="AA44" s="221" t="n"/>
    </row>
    <row r="45" ht="21.75" customHeight="1" s="218">
      <c r="A45" s="233" t="inlineStr">
        <is>
          <t>SECTION 6 — HEADCOUNT PLAN</t>
        </is>
      </c>
    </row>
    <row r="46" ht="18" customHeight="1" s="218">
      <c r="A46" s="258" t="inlineStr">
        <is>
          <t>Role / Position</t>
        </is>
      </c>
      <c r="B46" s="258" t="inlineStr">
        <is>
          <t>Department</t>
        </is>
      </c>
      <c r="C46" s="258" t="inlineStr">
        <is>
          <t>Start Month #</t>
        </is>
      </c>
      <c r="D46" s="258" t="inlineStr">
        <is>
          <t>Monthly Salary (£)</t>
        </is>
      </c>
      <c r="E46" s="258" t="inlineStr">
        <is>
          <t>Notes</t>
        </is>
      </c>
    </row>
    <row r="47" ht="19.5" customHeight="1" s="218">
      <c r="A47" s="232" t="inlineStr">
        <is>
          <t>CTO / Head of Engineering</t>
        </is>
      </c>
      <c r="B47" s="236" t="inlineStr">
        <is>
          <t>Engineering</t>
        </is>
      </c>
      <c r="C47" s="244" t="n">
        <v>1</v>
      </c>
      <c r="D47" s="249" t="n">
        <v>9000</v>
      </c>
      <c r="E47" s="237" t="inlineStr">
        <is>
          <t>Replace with your hire plan</t>
        </is>
      </c>
    </row>
    <row r="48" ht="19.5" customHeight="1" s="218">
      <c r="A48" s="232" t="inlineStr">
        <is>
          <t>Senior Engineer</t>
        </is>
      </c>
      <c r="B48" s="236" t="inlineStr">
        <is>
          <t>Engineering</t>
        </is>
      </c>
      <c r="C48" s="244" t="n">
        <v>1</v>
      </c>
      <c r="D48" s="249" t="n">
        <v>7000</v>
      </c>
      <c r="E48" s="237" t="inlineStr">
        <is>
          <t>Replace with your hire plan</t>
        </is>
      </c>
    </row>
    <row r="49" ht="19.5" customHeight="1" s="218">
      <c r="A49" s="232" t="inlineStr">
        <is>
          <t>Engineer</t>
        </is>
      </c>
      <c r="B49" s="236" t="inlineStr">
        <is>
          <t>Engineering</t>
        </is>
      </c>
      <c r="C49" s="244" t="n">
        <v>3</v>
      </c>
      <c r="D49" s="249" t="n">
        <v>5500</v>
      </c>
      <c r="E49" s="237" t="inlineStr">
        <is>
          <t>Replace with your hire plan</t>
        </is>
      </c>
    </row>
    <row r="50" ht="19.5" customHeight="1" s="218">
      <c r="A50" s="232" t="inlineStr">
        <is>
          <t>Engineer</t>
        </is>
      </c>
      <c r="B50" s="236" t="inlineStr">
        <is>
          <t>Engineering</t>
        </is>
      </c>
      <c r="C50" s="244" t="n">
        <v>6</v>
      </c>
      <c r="D50" s="249" t="n">
        <v>5500</v>
      </c>
      <c r="E50" s="237" t="inlineStr">
        <is>
          <t>Replace with your hire plan</t>
        </is>
      </c>
    </row>
    <row r="51" ht="19.5" customHeight="1" s="218">
      <c r="A51" s="232" t="inlineStr">
        <is>
          <t>QA / Test Engineer</t>
        </is>
      </c>
      <c r="B51" s="236" t="inlineStr">
        <is>
          <t>Engineering</t>
        </is>
      </c>
      <c r="C51" s="244" t="n">
        <v>6</v>
      </c>
      <c r="D51" s="249" t="n">
        <v>4500</v>
      </c>
      <c r="E51" s="237" t="inlineStr">
        <is>
          <t>Replace with your hire plan</t>
        </is>
      </c>
    </row>
    <row r="52" ht="19.5" customHeight="1" s="218">
      <c r="A52" s="259" t="inlineStr">
        <is>
          <t>VP Product / CPO</t>
        </is>
      </c>
      <c r="B52" s="236" t="inlineStr">
        <is>
          <t>Product</t>
        </is>
      </c>
      <c r="C52" s="244" t="n">
        <v>1</v>
      </c>
      <c r="D52" s="249" t="n">
        <v>8000</v>
      </c>
      <c r="E52" s="237" t="inlineStr">
        <is>
          <t>Replace with your hire plan</t>
        </is>
      </c>
    </row>
    <row r="53" ht="19.5" customHeight="1" s="218">
      <c r="A53" s="259" t="inlineStr">
        <is>
          <t>Product Manager</t>
        </is>
      </c>
      <c r="B53" s="236" t="inlineStr">
        <is>
          <t>Product</t>
        </is>
      </c>
      <c r="C53" s="244" t="n">
        <v>3</v>
      </c>
      <c r="D53" s="249" t="n">
        <v>6000</v>
      </c>
      <c r="E53" s="237" t="inlineStr">
        <is>
          <t>Replace with your hire plan</t>
        </is>
      </c>
    </row>
    <row r="54" ht="19.5" customHeight="1" s="218">
      <c r="A54" s="259" t="inlineStr">
        <is>
          <t>UX / Designer</t>
        </is>
      </c>
      <c r="B54" s="236" t="inlineStr">
        <is>
          <t>Product</t>
        </is>
      </c>
      <c r="C54" s="244" t="n">
        <v>6</v>
      </c>
      <c r="D54" s="249" t="n">
        <v>5000</v>
      </c>
      <c r="E54" s="237" t="inlineStr">
        <is>
          <t>Replace with your hire plan</t>
        </is>
      </c>
    </row>
    <row r="55" ht="19.5" customHeight="1" s="218">
      <c r="A55" s="260" t="inlineStr">
        <is>
          <t>VP Sales / Head of Growth</t>
        </is>
      </c>
      <c r="B55" s="236" t="inlineStr">
        <is>
          <t>Sales</t>
        </is>
      </c>
      <c r="C55" s="244" t="n">
        <v>6</v>
      </c>
      <c r="D55" s="249" t="n">
        <v>9000</v>
      </c>
      <c r="E55" s="237" t="inlineStr">
        <is>
          <t>Replace with your hire plan</t>
        </is>
      </c>
    </row>
    <row r="56" ht="19.5" customHeight="1" s="218">
      <c r="A56" s="260" t="inlineStr">
        <is>
          <t>Account Executive</t>
        </is>
      </c>
      <c r="B56" s="236" t="inlineStr">
        <is>
          <t>Sales</t>
        </is>
      </c>
      <c r="C56" s="244" t="n">
        <v>9</v>
      </c>
      <c r="D56" s="249" t="n">
        <v>5000</v>
      </c>
      <c r="E56" s="237" t="inlineStr">
        <is>
          <t>Replace with your hire plan</t>
        </is>
      </c>
    </row>
    <row r="57" ht="19.5" customHeight="1" s="218">
      <c r="A57" s="260" t="inlineStr">
        <is>
          <t>Account Executive</t>
        </is>
      </c>
      <c r="B57" s="236" t="inlineStr">
        <is>
          <t>Sales</t>
        </is>
      </c>
      <c r="C57" s="244" t="n">
        <v>12</v>
      </c>
      <c r="D57" s="249" t="n">
        <v>5000</v>
      </c>
      <c r="E57" s="237" t="inlineStr">
        <is>
          <t>Replace with your hire plan</t>
        </is>
      </c>
    </row>
    <row r="58" ht="19.5" customHeight="1" s="218">
      <c r="A58" s="260" t="inlineStr">
        <is>
          <t>SDR / BDR</t>
        </is>
      </c>
      <c r="B58" s="236" t="inlineStr">
        <is>
          <t>Sales</t>
        </is>
      </c>
      <c r="C58" s="244" t="n">
        <v>9</v>
      </c>
      <c r="D58" s="249" t="n">
        <v>3500</v>
      </c>
      <c r="E58" s="237" t="inlineStr">
        <is>
          <t>Replace with your hire plan</t>
        </is>
      </c>
    </row>
    <row r="59" ht="19.5" customHeight="1" s="218">
      <c r="A59" s="260" t="inlineStr">
        <is>
          <t>CMO / Head of Marketing</t>
        </is>
      </c>
      <c r="B59" s="236" t="inlineStr">
        <is>
          <t>Marketing</t>
        </is>
      </c>
      <c r="C59" s="244" t="n">
        <v>6</v>
      </c>
      <c r="D59" s="249" t="n">
        <v>8000</v>
      </c>
      <c r="E59" s="237" t="inlineStr">
        <is>
          <t>Replace with your hire plan</t>
        </is>
      </c>
    </row>
    <row r="60" ht="19.5" customHeight="1" s="218">
      <c r="A60" s="260" t="inlineStr">
        <is>
          <t>Content &amp; SEO Lead</t>
        </is>
      </c>
      <c r="B60" s="236" t="inlineStr">
        <is>
          <t>Marketing</t>
        </is>
      </c>
      <c r="C60" s="244" t="n">
        <v>9</v>
      </c>
      <c r="D60" s="249" t="n">
        <v>4500</v>
      </c>
      <c r="E60" s="237" t="inlineStr">
        <is>
          <t>Replace with your hire plan</t>
        </is>
      </c>
    </row>
    <row r="61" ht="19.5" customHeight="1" s="218">
      <c r="A61" s="260" t="inlineStr">
        <is>
          <t>Growth Manager</t>
        </is>
      </c>
      <c r="B61" s="236" t="inlineStr">
        <is>
          <t>Marketing</t>
        </is>
      </c>
      <c r="C61" s="244" t="n">
        <v>12</v>
      </c>
      <c r="D61" s="249" t="n">
        <v>5500</v>
      </c>
      <c r="E61" s="237" t="inlineStr">
        <is>
          <t>Replace with your hire plan</t>
        </is>
      </c>
    </row>
    <row r="62" ht="19.5" customHeight="1" s="218">
      <c r="A62" s="261" t="inlineStr">
        <is>
          <t>Head of Customer Success</t>
        </is>
      </c>
      <c r="B62" s="236" t="inlineStr">
        <is>
          <t>CS</t>
        </is>
      </c>
      <c r="C62" s="244" t="n">
        <v>3</v>
      </c>
      <c r="D62" s="249" t="n">
        <v>6000</v>
      </c>
      <c r="E62" s="237" t="inlineStr">
        <is>
          <t>Replace with your hire plan</t>
        </is>
      </c>
    </row>
    <row r="63" ht="19.5" customHeight="1" s="218">
      <c r="A63" s="261" t="inlineStr">
        <is>
          <t>CS Manager</t>
        </is>
      </c>
      <c r="B63" s="236" t="inlineStr">
        <is>
          <t>CS</t>
        </is>
      </c>
      <c r="C63" s="244" t="n">
        <v>9</v>
      </c>
      <c r="D63" s="249" t="n">
        <v>4500</v>
      </c>
      <c r="E63" s="237" t="inlineStr">
        <is>
          <t>Replace with your hire plan</t>
        </is>
      </c>
    </row>
    <row r="64" ht="19.5" customHeight="1" s="218">
      <c r="A64" s="261" t="inlineStr">
        <is>
          <t>CS Executive</t>
        </is>
      </c>
      <c r="B64" s="236" t="inlineStr">
        <is>
          <t>CS</t>
        </is>
      </c>
      <c r="C64" s="244" t="n">
        <v>12</v>
      </c>
      <c r="D64" s="249" t="n">
        <v>3500</v>
      </c>
      <c r="E64" s="237" t="inlineStr">
        <is>
          <t>Replace with your hire plan</t>
        </is>
      </c>
    </row>
    <row r="65" ht="19.5" customHeight="1" s="218">
      <c r="A65" s="238" t="inlineStr">
        <is>
          <t>CEO / Founder</t>
        </is>
      </c>
      <c r="B65" s="236" t="inlineStr">
        <is>
          <t>G&amp;A</t>
        </is>
      </c>
      <c r="C65" s="244" t="n">
        <v>1</v>
      </c>
      <c r="D65" s="249" t="n">
        <v>8000</v>
      </c>
      <c r="E65" s="237" t="inlineStr">
        <is>
          <t>Replace with your hire plan</t>
        </is>
      </c>
    </row>
    <row r="66" ht="19.5" customHeight="1" s="218">
      <c r="A66" s="262" t="inlineStr">
        <is>
          <t>Employer NI Rate %</t>
        </is>
      </c>
      <c r="B66" s="246" t="n">
        <v>0.138</v>
      </c>
      <c r="C66" s="263" t="n"/>
      <c r="G66" s="245" t="inlineStr">
        <is>
          <t>UK: 13.8% on salaries above £9,100/yr. Update for your jurisdiction.</t>
        </is>
      </c>
    </row>
    <row r="67" ht="6" customHeight="1" s="218">
      <c r="A67" s="221" t="n"/>
      <c r="B67" s="221" t="n"/>
      <c r="C67" s="221" t="n"/>
      <c r="D67" s="221" t="n"/>
      <c r="E67" s="221" t="n"/>
      <c r="F67" s="221" t="n"/>
      <c r="G67" s="221" t="n"/>
      <c r="H67" s="221" t="n"/>
      <c r="I67" s="221" t="n"/>
      <c r="J67" s="221" t="n"/>
      <c r="K67" s="221" t="n"/>
      <c r="L67" s="221" t="n"/>
      <c r="M67" s="221" t="n"/>
      <c r="N67" s="221" t="n"/>
      <c r="O67" s="221" t="n"/>
      <c r="P67" s="221" t="n"/>
      <c r="Q67" s="221" t="n"/>
      <c r="R67" s="221" t="n"/>
      <c r="S67" s="221" t="n"/>
      <c r="T67" s="221" t="n"/>
      <c r="U67" s="221" t="n"/>
      <c r="V67" s="221" t="n"/>
      <c r="W67" s="221" t="n"/>
      <c r="X67" s="221" t="n"/>
      <c r="Y67" s="221" t="n"/>
      <c r="Z67" s="221" t="n"/>
      <c r="AA67" s="221" t="n"/>
    </row>
    <row r="68" ht="21.75" customHeight="1" s="218">
      <c r="A68" s="233" t="inlineStr">
        <is>
          <t>SECTION 7 — OPERATING EXPENSES (NON-HEADCOUNT)</t>
        </is>
      </c>
    </row>
    <row r="69" ht="15.75" customHeight="1" s="218"/>
    <row r="70" ht="19.5" customHeight="1" s="218">
      <c r="A70" s="238" t="inlineStr">
        <is>
          <t>Sales &amp; Marketing Non-HC — Monthly Spend (£)</t>
        </is>
      </c>
      <c r="B70" s="249" t="n">
        <v>3000</v>
      </c>
      <c r="C70" s="250" t="n">
        <v>3000</v>
      </c>
      <c r="D70" s="251" t="n">
        <v>3000</v>
      </c>
      <c r="E70" s="251" t="n">
        <v>3000</v>
      </c>
      <c r="F70" s="251" t="n">
        <v>3000</v>
      </c>
      <c r="G70" s="245" t="inlineStr">
        <is>
          <t>Paid ads, events, PR, tools. Excludes marketing headcount.</t>
        </is>
      </c>
    </row>
    <row r="71" ht="19.5" customHeight="1" s="218">
      <c r="A71" s="235" t="inlineStr">
        <is>
          <t>S&amp;M: enter each year's monthly amount in row 70 above</t>
        </is>
      </c>
      <c r="B71" s="246" t="n">
        <v>0.08</v>
      </c>
      <c r="C71" s="237" t="inlineStr">
        <is>
          <t>Month-on-month compound growth of S&amp;M non-HC spend.</t>
        </is>
      </c>
    </row>
    <row r="72" ht="19.5" customHeight="1" s="218">
      <c r="A72" s="238" t="inlineStr">
        <is>
          <t>Research &amp; Development Non-HC — Monthly Spend (£)</t>
        </is>
      </c>
      <c r="B72" s="249" t="n">
        <v>1000</v>
      </c>
      <c r="C72" s="250" t="n">
        <v>1000</v>
      </c>
      <c r="D72" s="251" t="n">
        <v>1000</v>
      </c>
      <c r="E72" s="251" t="n">
        <v>1000</v>
      </c>
      <c r="F72" s="251" t="n">
        <v>1000</v>
      </c>
      <c r="G72" s="245" t="inlineStr">
        <is>
          <t>Software licences, dev tools, hosting for dev. Excludes eng headcount.</t>
        </is>
      </c>
    </row>
    <row r="73" ht="19.5" customHeight="1" s="218">
      <c r="A73" s="235" t="inlineStr">
        <is>
          <t>R&amp;D: enter each year's monthly amount in row 72 above</t>
        </is>
      </c>
      <c r="B73" s="246" t="n">
        <v>0.05</v>
      </c>
      <c r="C73" s="237" t="inlineStr">
        <is>
          <t>Month-on-month compound growth of R&amp;D non-HC spend.</t>
        </is>
      </c>
    </row>
    <row r="74" ht="19.5" customHeight="1" s="218">
      <c r="A74" s="238" t="inlineStr">
        <is>
          <t>General &amp; Administrative Non-HC — Monthly Spend (£)</t>
        </is>
      </c>
      <c r="B74" s="249" t="n">
        <v>2500</v>
      </c>
      <c r="C74" s="250" t="n">
        <v>2500</v>
      </c>
      <c r="D74" s="251" t="n">
        <v>2500</v>
      </c>
      <c r="E74" s="251" t="n">
        <v>2500</v>
      </c>
      <c r="F74" s="251" t="n">
        <v>2500</v>
      </c>
      <c r="G74" s="245" t="inlineStr">
        <is>
          <t>Legal, insurance, accountancy, office. Excludes G&amp;A headcount.</t>
        </is>
      </c>
    </row>
    <row r="75" ht="19.5" customHeight="1" s="218">
      <c r="A75" s="235" t="inlineStr">
        <is>
          <t>G&amp;A: enter each year's monthly amount in row 74 above</t>
        </is>
      </c>
      <c r="B75" s="246" t="n">
        <v>0.03</v>
      </c>
      <c r="C75" s="237" t="inlineStr">
        <is>
          <t>Month-on-month compound growth of G&amp;A non-HC spend.</t>
        </is>
      </c>
    </row>
    <row r="76" ht="6" customHeight="1" s="218">
      <c r="A76" s="221" t="n"/>
      <c r="B76" s="221" t="n"/>
      <c r="C76" s="221" t="n"/>
      <c r="D76" s="221" t="n"/>
      <c r="E76" s="221" t="n"/>
      <c r="F76" s="221" t="n"/>
      <c r="G76" s="221" t="n"/>
      <c r="H76" s="221" t="n"/>
      <c r="I76" s="221" t="n"/>
      <c r="J76" s="221" t="n"/>
      <c r="K76" s="221" t="n"/>
      <c r="L76" s="221" t="n"/>
      <c r="M76" s="221" t="n"/>
      <c r="N76" s="221" t="n"/>
      <c r="O76" s="221" t="n"/>
      <c r="P76" s="221" t="n"/>
      <c r="Q76" s="221" t="n"/>
      <c r="R76" s="221" t="n"/>
      <c r="S76" s="221" t="n"/>
      <c r="T76" s="221" t="n"/>
      <c r="U76" s="221" t="n"/>
      <c r="V76" s="221" t="n"/>
      <c r="W76" s="221" t="n"/>
      <c r="X76" s="221" t="n"/>
      <c r="Y76" s="221" t="n"/>
      <c r="Z76" s="221" t="n"/>
      <c r="AA76" s="221" t="n"/>
    </row>
    <row r="77" ht="21.75" customHeight="1" s="218">
      <c r="A77" s="233" t="inlineStr">
        <is>
          <t>SECTION 8 — CAPITAL, FUNDING &amp; WORKING CAPITAL</t>
        </is>
      </c>
    </row>
    <row r="78" ht="15.75" customHeight="1" s="218"/>
    <row r="79" ht="19.5" customHeight="1" s="218">
      <c r="A79" s="235" t="inlineStr">
        <is>
          <t>Opening Cash Balance (£)</t>
        </is>
      </c>
      <c r="B79" s="249" t="n">
        <v>500000</v>
      </c>
      <c r="C79" s="237" t="n"/>
      <c r="G79" s="245" t="inlineStr">
        <is>
          <t>Cash in bank at start of model (Month 1 opening).</t>
        </is>
      </c>
    </row>
    <row r="80" ht="19.5" customHeight="1" s="218">
      <c r="A80" s="238" t="inlineStr">
        <is>
          <t>Funding Round 1 — Amount (£)</t>
        </is>
      </c>
      <c r="B80" s="249" t="n">
        <v>1500000</v>
      </c>
      <c r="C80" s="237" t="n"/>
      <c r="G80" s="245" t="inlineStr">
        <is>
          <t>Equity raised in Round 1. Enter 0 if no round planned.</t>
        </is>
      </c>
    </row>
    <row r="81" ht="19.5" customHeight="1" s="218">
      <c r="A81" s="235" t="inlineStr">
        <is>
          <t>Funding Round 1 — Month Number</t>
        </is>
      </c>
      <c r="B81" s="244" t="n">
        <v>6</v>
      </c>
      <c r="C81" s="237" t="n"/>
      <c r="G81" s="245" t="inlineStr">
        <is>
          <t>Month in which Round 1 cash is received (1–60).</t>
        </is>
      </c>
    </row>
    <row r="82" ht="19.5" customHeight="1" s="218">
      <c r="A82" s="238" t="inlineStr">
        <is>
          <t>Funding Round 2 — Amount (£)</t>
        </is>
      </c>
      <c r="B82" s="249" t="n">
        <v>3000000</v>
      </c>
      <c r="C82" s="237" t="n"/>
      <c r="G82" s="245" t="inlineStr">
        <is>
          <t>Equity raised in Round 2. Enter 0 if no round planned.</t>
        </is>
      </c>
    </row>
    <row r="83" ht="19.5" customHeight="1" s="218">
      <c r="A83" s="235" t="inlineStr">
        <is>
          <t>Funding Round 2 — Month Number</t>
        </is>
      </c>
      <c r="B83" s="244" t="n">
        <v>18</v>
      </c>
      <c r="C83" s="237" t="n"/>
      <c r="G83" s="245" t="inlineStr">
        <is>
          <t>Month in which Round 2 cash is received (1–60).</t>
        </is>
      </c>
    </row>
    <row r="84" ht="19.5" customHeight="1" s="218">
      <c r="A84" s="238" t="inlineStr">
        <is>
          <t>Debtor Days (avg days to collect cash)</t>
        </is>
      </c>
      <c r="B84" s="244" t="n">
        <v>5</v>
      </c>
      <c r="C84" s="237" t="n"/>
      <c r="G84" s="245" t="inlineStr">
        <is>
          <t>Marketplace: typically 1–7 days (card payment). SaaS: 30 days invoiced.</t>
        </is>
      </c>
    </row>
    <row r="85" ht="19.5" customHeight="1" s="218">
      <c r="A85" s="235" t="inlineStr">
        <is>
          <t>Creditor Days (avg days to pay suppliers)</t>
        </is>
      </c>
      <c r="B85" s="244" t="n">
        <v>30</v>
      </c>
      <c r="C85" s="237" t="n"/>
      <c r="G85" s="245" t="inlineStr">
        <is>
          <t>Average payment terms to suppliers.</t>
        </is>
      </c>
    </row>
    <row r="86" ht="19.5" customHeight="1" s="218">
      <c r="A86" s="238" t="inlineStr">
        <is>
          <t>Corporation Tax Rate %</t>
        </is>
      </c>
      <c r="B86" s="246" t="n">
        <v>0.25</v>
      </c>
      <c r="C86" s="237" t="n"/>
      <c r="G86" s="245" t="inlineStr">
        <is>
          <t>UK: 25% above £250k profit. Enter your jurisdiction rate.</t>
        </is>
      </c>
    </row>
    <row r="87" ht="15.75" customHeight="1" s="218"/>
    <row r="88" ht="15.75" customHeight="1" s="218"/>
    <row r="89" ht="15.75" customHeight="1" s="218"/>
    <row r="90" ht="15.75" customHeight="1" s="218"/>
    <row r="91" ht="15.75" customHeight="1" s="218"/>
    <row r="92" ht="15.75" customHeight="1" s="218"/>
    <row r="93" ht="15.75" customHeight="1" s="218"/>
    <row r="94" ht="15.75" customHeight="1" s="218"/>
    <row r="95" ht="15.75" customHeight="1" s="218"/>
    <row r="96" ht="15.75" customHeight="1" s="218"/>
    <row r="97" ht="15.75" customHeight="1" s="218"/>
    <row r="98" ht="15.75" customHeight="1" s="218"/>
    <row r="99" ht="15.75" customHeight="1" s="218"/>
    <row r="100" ht="15.75" customHeight="1" s="218"/>
    <row r="101" ht="15.75" customHeight="1" s="218"/>
    <row r="102" ht="15.75" customHeight="1" s="218"/>
    <row r="103" ht="15.75" customHeight="1" s="218"/>
    <row r="104" ht="15.75" customHeight="1" s="218"/>
    <row r="105" ht="15.75" customHeight="1" s="218"/>
    <row r="106" ht="15.75" customHeight="1" s="218"/>
    <row r="107" ht="15.75" customHeight="1" s="218"/>
    <row r="108" ht="15.75" customHeight="1" s="218"/>
    <row r="109" ht="15.75" customHeight="1" s="218"/>
    <row r="110" ht="15.75" customHeight="1" s="218"/>
    <row r="111" ht="15.75" customHeight="1" s="218"/>
    <row r="112" ht="15.75" customHeight="1" s="218"/>
    <row r="113" ht="15.75" customHeight="1" s="218"/>
    <row r="114" ht="15.75" customHeight="1" s="218"/>
    <row r="115" ht="15.75" customHeight="1" s="218"/>
    <row r="116" ht="15.75" customHeight="1" s="218"/>
    <row r="117" ht="15.75" customHeight="1" s="218"/>
    <row r="118" ht="15.75" customHeight="1" s="218"/>
    <row r="119" ht="15.75" customHeight="1" s="218"/>
    <row r="120" ht="15.75" customHeight="1" s="218"/>
    <row r="121" ht="15.75" customHeight="1" s="218"/>
    <row r="122" ht="15.75" customHeight="1" s="218"/>
    <row r="123" ht="15.75" customHeight="1" s="218"/>
    <row r="124" ht="15.75" customHeight="1" s="218"/>
    <row r="125" ht="15.75" customHeight="1" s="218"/>
    <row r="126" ht="15.75" customHeight="1" s="218"/>
    <row r="127" ht="15.75" customHeight="1" s="218"/>
    <row r="128" ht="15.75" customHeight="1" s="218"/>
    <row r="129" ht="15.75" customHeight="1" s="218"/>
    <row r="130" ht="15.75" customHeight="1" s="218"/>
    <row r="131" ht="15.75" customHeight="1" s="218"/>
    <row r="132" ht="15.75" customHeight="1" s="218"/>
    <row r="133" ht="15.75" customHeight="1" s="218"/>
    <row r="134" ht="15.75" customHeight="1" s="218"/>
    <row r="135" ht="15.75" customHeight="1" s="218"/>
    <row r="136" ht="15.75" customHeight="1" s="218"/>
    <row r="137" ht="15.75" customHeight="1" s="218"/>
    <row r="138" ht="15.75" customHeight="1" s="218"/>
    <row r="139" ht="15.75" customHeight="1" s="218"/>
    <row r="140" ht="15.75" customHeight="1" s="218"/>
    <row r="141" ht="15.75" customHeight="1" s="218"/>
    <row r="142" ht="15.75" customHeight="1" s="218"/>
    <row r="143" ht="15.75" customHeight="1" s="218"/>
    <row r="144" ht="15.75" customHeight="1" s="218"/>
    <row r="145" ht="15.75" customHeight="1" s="218"/>
    <row r="146" ht="15.75" customHeight="1" s="218"/>
    <row r="147" ht="15.75" customHeight="1" s="218"/>
    <row r="148" ht="15.75" customHeight="1" s="218"/>
    <row r="149" ht="15.75" customHeight="1" s="218"/>
    <row r="150" ht="15.75" customHeight="1" s="218"/>
    <row r="151" ht="15.75" customHeight="1" s="218"/>
    <row r="152" ht="15.75" customHeight="1" s="218"/>
    <row r="153" ht="15.75" customHeight="1" s="218"/>
    <row r="154" ht="15.75" customHeight="1" s="218"/>
    <row r="155" ht="15.75" customHeight="1" s="218"/>
    <row r="156" ht="15.75" customHeight="1" s="218"/>
    <row r="157" ht="15.75" customHeight="1" s="218"/>
    <row r="158" ht="15.75" customHeight="1" s="218"/>
    <row r="159" ht="15.75" customHeight="1" s="218"/>
    <row r="160" ht="15.75" customHeight="1" s="218"/>
    <row r="161" ht="15.75" customHeight="1" s="218"/>
    <row r="162" ht="15.75" customHeight="1" s="218"/>
    <row r="163" ht="15.75" customHeight="1" s="218"/>
    <row r="164" ht="15.75" customHeight="1" s="218"/>
    <row r="165" ht="15.75" customHeight="1" s="218"/>
    <row r="166" ht="15.75" customHeight="1" s="218"/>
    <row r="167" ht="15.75" customHeight="1" s="218"/>
    <row r="168" ht="15.75" customHeight="1" s="218"/>
    <row r="169" ht="15.75" customHeight="1" s="218"/>
    <row r="170" ht="15.75" customHeight="1" s="218"/>
    <row r="171" ht="15.75" customHeight="1" s="218"/>
    <row r="172" ht="15.75" customHeight="1" s="218"/>
    <row r="173" ht="15.75" customHeight="1" s="218"/>
    <row r="174" ht="15.75" customHeight="1" s="218"/>
    <row r="175" ht="15.75" customHeight="1" s="218"/>
    <row r="176" ht="15.75" customHeight="1" s="218"/>
    <row r="177" ht="15.75" customHeight="1" s="218"/>
    <row r="178" ht="15.75" customHeight="1" s="218"/>
    <row r="179" ht="15.75" customHeight="1" s="218"/>
    <row r="180" ht="15.75" customHeight="1" s="218"/>
    <row r="181" ht="15.75" customHeight="1" s="218"/>
    <row r="182" ht="15.75" customHeight="1" s="218"/>
    <row r="183" ht="15.75" customHeight="1" s="218"/>
    <row r="184" ht="15.75" customHeight="1" s="218"/>
    <row r="185" ht="15.75" customHeight="1" s="218"/>
    <row r="186" ht="15.75" customHeight="1" s="218"/>
    <row r="187" ht="15.75" customHeight="1" s="218"/>
    <row r="188" ht="15.75" customHeight="1" s="218"/>
    <row r="189" ht="15.75" customHeight="1" s="218"/>
    <row r="190" ht="15.75" customHeight="1" s="218"/>
    <row r="191" ht="15.75" customHeight="1" s="218"/>
    <row r="192" ht="15.75" customHeight="1" s="218"/>
    <row r="193" ht="15.75" customHeight="1" s="218"/>
    <row r="194" ht="15.75" customHeight="1" s="218"/>
    <row r="195" ht="15.75" customHeight="1" s="218"/>
    <row r="196" ht="15.75" customHeight="1" s="218"/>
    <row r="197" ht="15.75" customHeight="1" s="218"/>
    <row r="198" ht="15.75" customHeight="1" s="218"/>
    <row r="199" ht="15.75" customHeight="1" s="218"/>
    <row r="200" ht="15.75" customHeight="1" s="218"/>
    <row r="201" ht="15.75" customHeight="1" s="218"/>
    <row r="202" ht="15.75" customHeight="1" s="218"/>
    <row r="203" ht="15.75" customHeight="1" s="218"/>
    <row r="204" ht="15.75" customHeight="1" s="218"/>
    <row r="205" ht="15.75" customHeight="1" s="218"/>
    <row r="206" ht="15.75" customHeight="1" s="218"/>
    <row r="207" ht="15.75" customHeight="1" s="218"/>
    <row r="208" ht="15.75" customHeight="1" s="218"/>
    <row r="209" ht="15.75" customHeight="1" s="218"/>
    <row r="210" ht="15.75" customHeight="1" s="218"/>
    <row r="211" ht="15.75" customHeight="1" s="218"/>
    <row r="212" ht="15.75" customHeight="1" s="218"/>
    <row r="213" ht="15.75" customHeight="1" s="218"/>
    <row r="214" ht="15.75" customHeight="1" s="218"/>
    <row r="215" ht="15.75" customHeight="1" s="218"/>
    <row r="216" ht="15.75" customHeight="1" s="218"/>
    <row r="217" ht="15.75" customHeight="1" s="218"/>
    <row r="218" ht="15.75" customHeight="1" s="218"/>
    <row r="219" ht="15.75" customHeight="1" s="218"/>
    <row r="220" ht="15.75" customHeight="1" s="218"/>
    <row r="221" ht="15.75" customHeight="1" s="218"/>
    <row r="222" ht="15.75" customHeight="1" s="218"/>
    <row r="223" ht="15.75" customHeight="1" s="218"/>
    <row r="224" ht="15.75" customHeight="1" s="218"/>
    <row r="225" ht="15.75" customHeight="1" s="218"/>
    <row r="226" ht="15.75" customHeight="1" s="218"/>
    <row r="227" ht="15.75" customHeight="1" s="218"/>
    <row r="228" ht="15.75" customHeight="1" s="218"/>
    <row r="229" ht="15.75" customHeight="1" s="218"/>
    <row r="230" ht="15.75" customHeight="1" s="218"/>
    <row r="231" ht="15.75" customHeight="1" s="218"/>
    <row r="232" ht="15.75" customHeight="1" s="218"/>
    <row r="233" ht="15.75" customHeight="1" s="218"/>
    <row r="234" ht="15.75" customHeight="1" s="218"/>
    <row r="235" ht="15.75" customHeight="1" s="218"/>
    <row r="236" ht="15.75" customHeight="1" s="218"/>
    <row r="237" ht="15.75" customHeight="1" s="218"/>
    <row r="238" ht="15.75" customHeight="1" s="218"/>
    <row r="239" ht="15.75" customHeight="1" s="218"/>
    <row r="240" ht="15.75" customHeight="1" s="218"/>
    <row r="241" ht="15.75" customHeight="1" s="218"/>
    <row r="242" ht="15.75" customHeight="1" s="218"/>
    <row r="243" ht="15.75" customHeight="1" s="218"/>
    <row r="244" ht="15.75" customHeight="1" s="218"/>
    <row r="245" ht="15.75" customHeight="1" s="218"/>
    <row r="246" ht="15.75" customHeight="1" s="218"/>
    <row r="247" ht="15.75" customHeight="1" s="218"/>
    <row r="248" ht="15.75" customHeight="1" s="218"/>
    <row r="249" ht="15.75" customHeight="1" s="218"/>
    <row r="250" ht="15.75" customHeight="1" s="218"/>
    <row r="251" ht="15.75" customHeight="1" s="218"/>
    <row r="252" ht="15.75" customHeight="1" s="218"/>
    <row r="253" ht="15.75" customHeight="1" s="218"/>
    <row r="254" ht="15.75" customHeight="1" s="218"/>
    <row r="255" ht="15.75" customHeight="1" s="218"/>
    <row r="256" ht="15.75" customHeight="1" s="218"/>
    <row r="257" ht="15.75" customHeight="1" s="218"/>
    <row r="258" ht="15.75" customHeight="1" s="218"/>
    <row r="259" ht="15.75" customHeight="1" s="218"/>
    <row r="260" ht="15.75" customHeight="1" s="218"/>
    <row r="261" ht="15.75" customHeight="1" s="218"/>
    <row r="262" ht="15.75" customHeight="1" s="218"/>
    <row r="263" ht="15.75" customHeight="1" s="218"/>
    <row r="264" ht="15.75" customHeight="1" s="218"/>
    <row r="265" ht="15.75" customHeight="1" s="218"/>
    <row r="266" ht="15.75" customHeight="1" s="218"/>
    <row r="267" ht="15.75" customHeight="1" s="218"/>
    <row r="268" ht="15.75" customHeight="1" s="218"/>
    <row r="269" ht="15.75" customHeight="1" s="218"/>
    <row r="270" ht="15.75" customHeight="1" s="218"/>
    <row r="271" ht="15.75" customHeight="1" s="218"/>
    <row r="272" ht="15.75" customHeight="1" s="218"/>
    <row r="273" ht="15.75" customHeight="1" s="218"/>
    <row r="274" ht="15.75" customHeight="1" s="218"/>
    <row r="275" ht="15.75" customHeight="1" s="218"/>
    <row r="276" ht="15.75" customHeight="1" s="218"/>
    <row r="277" ht="15.75" customHeight="1" s="218"/>
    <row r="278" ht="15.75" customHeight="1" s="218"/>
    <row r="279" ht="15.75" customHeight="1" s="218"/>
    <row r="280" ht="15.75" customHeight="1" s="218"/>
    <row r="281" ht="15.75" customHeight="1" s="218"/>
    <row r="282" ht="15.75" customHeight="1" s="218"/>
    <row r="283" ht="15.75" customHeight="1" s="218"/>
    <row r="284" ht="15.75" customHeight="1" s="218"/>
    <row r="285" ht="15.75" customHeight="1" s="218"/>
    <row r="286" ht="15.75" customHeight="1" s="218"/>
    <row r="287" ht="15.75" customHeight="1" s="218"/>
    <row r="288" ht="15.75" customHeight="1" s="218"/>
    <row r="289" ht="15.75" customHeight="1" s="218"/>
    <row r="290" ht="15.75" customHeight="1" s="218"/>
    <row r="291" ht="15.75" customHeight="1" s="218"/>
    <row r="292" ht="15.75" customHeight="1" s="218"/>
    <row r="293" ht="15.75" customHeight="1" s="218"/>
    <row r="294" ht="15.75" customHeight="1" s="218"/>
    <row r="295" ht="15.75" customHeight="1" s="218"/>
    <row r="296" ht="15.75" customHeight="1" s="218"/>
    <row r="297" ht="15.75" customHeight="1" s="218"/>
    <row r="298" ht="15.75" customHeight="1" s="218"/>
    <row r="299" ht="15.75" customHeight="1" s="218"/>
    <row r="300" ht="15.75" customHeight="1" s="218"/>
    <row r="301" ht="15.75" customHeight="1" s="218"/>
    <row r="302" ht="15.75" customHeight="1" s="218"/>
    <row r="303" ht="15.75" customHeight="1" s="218"/>
    <row r="304" ht="15.75" customHeight="1" s="218"/>
    <row r="305" ht="15.75" customHeight="1" s="218"/>
    <row r="306" ht="15.75" customHeight="1" s="218"/>
    <row r="307" ht="15.75" customHeight="1" s="218"/>
    <row r="308" ht="15.75" customHeight="1" s="218"/>
    <row r="309" ht="15.75" customHeight="1" s="218"/>
    <row r="310" ht="15.75" customHeight="1" s="218"/>
    <row r="311" ht="15.75" customHeight="1" s="218"/>
    <row r="312" ht="15.75" customHeight="1" s="218"/>
    <row r="313" ht="15.75" customHeight="1" s="218"/>
    <row r="314" ht="15.75" customHeight="1" s="218"/>
    <row r="315" ht="15.75" customHeight="1" s="218"/>
    <row r="316" ht="15.75" customHeight="1" s="218"/>
    <row r="317" ht="15.75" customHeight="1" s="218"/>
    <row r="318" ht="15.75" customHeight="1" s="218"/>
    <row r="319" ht="15.75" customHeight="1" s="218"/>
    <row r="320" ht="15.75" customHeight="1" s="218"/>
    <row r="321" ht="15.75" customHeight="1" s="218"/>
    <row r="322" ht="15.75" customHeight="1" s="218"/>
    <row r="323" ht="15.75" customHeight="1" s="218"/>
    <row r="324" ht="15.75" customHeight="1" s="218"/>
    <row r="325" ht="15.75" customHeight="1" s="218"/>
    <row r="326" ht="15.75" customHeight="1" s="218"/>
    <row r="327" ht="15.75" customHeight="1" s="218"/>
    <row r="328" ht="15.75" customHeight="1" s="218"/>
    <row r="329" ht="15.75" customHeight="1" s="218"/>
    <row r="330" ht="15.75" customHeight="1" s="218"/>
    <row r="331" ht="15.75" customHeight="1" s="218"/>
    <row r="332" ht="15.75" customHeight="1" s="218"/>
    <row r="333" ht="15.75" customHeight="1" s="218"/>
    <row r="334" ht="15.75" customHeight="1" s="218"/>
    <row r="335" ht="15.75" customHeight="1" s="218"/>
    <row r="336" ht="15.75" customHeight="1" s="218"/>
    <row r="337" ht="15.75" customHeight="1" s="218"/>
    <row r="338" ht="15.75" customHeight="1" s="218"/>
    <row r="339" ht="15.75" customHeight="1" s="218"/>
    <row r="340" ht="15.75" customHeight="1" s="218"/>
    <row r="341" ht="15.75" customHeight="1" s="218"/>
    <row r="342" ht="15.75" customHeight="1" s="218"/>
    <row r="343" ht="15.75" customHeight="1" s="218"/>
    <row r="344" ht="15.75" customHeight="1" s="218"/>
    <row r="345" ht="15.75" customHeight="1" s="218"/>
    <row r="346" ht="15.75" customHeight="1" s="218"/>
    <row r="347" ht="15.75" customHeight="1" s="218"/>
    <row r="348" ht="15.75" customHeight="1" s="218"/>
    <row r="349" ht="15.75" customHeight="1" s="218"/>
    <row r="350" ht="15.75" customHeight="1" s="218"/>
    <row r="351" ht="15.75" customHeight="1" s="218"/>
    <row r="352" ht="15.75" customHeight="1" s="218"/>
    <row r="353" ht="15.75" customHeight="1" s="218"/>
    <row r="354" ht="15.75" customHeight="1" s="218"/>
    <row r="355" ht="15.75" customHeight="1" s="218"/>
    <row r="356" ht="15.75" customHeight="1" s="218"/>
    <row r="357" ht="15.75" customHeight="1" s="218"/>
    <row r="358" ht="15.75" customHeight="1" s="218"/>
    <row r="359" ht="15.75" customHeight="1" s="218"/>
    <row r="360" ht="15.75" customHeight="1" s="218"/>
    <row r="361" ht="15.75" customHeight="1" s="218"/>
    <row r="362" ht="15.75" customHeight="1" s="218"/>
    <row r="363" ht="15.75" customHeight="1" s="218"/>
    <row r="364" ht="15.75" customHeight="1" s="218"/>
    <row r="365" ht="15.75" customHeight="1" s="218"/>
    <row r="366" ht="15.75" customHeight="1" s="218"/>
    <row r="367" ht="15.75" customHeight="1" s="218"/>
    <row r="368" ht="15.75" customHeight="1" s="218"/>
    <row r="369" ht="15.75" customHeight="1" s="218"/>
    <row r="370" ht="15.75" customHeight="1" s="218"/>
    <row r="371" ht="15.75" customHeight="1" s="218"/>
    <row r="372" ht="15.75" customHeight="1" s="218"/>
    <row r="373" ht="15.75" customHeight="1" s="218"/>
    <row r="374" ht="15.75" customHeight="1" s="218"/>
    <row r="375" ht="15.75" customHeight="1" s="218"/>
    <row r="376" ht="15.75" customHeight="1" s="218"/>
    <row r="377" ht="15.75" customHeight="1" s="218"/>
    <row r="378" ht="15.75" customHeight="1" s="218"/>
    <row r="379" ht="15.75" customHeight="1" s="218"/>
    <row r="380" ht="15.75" customHeight="1" s="218"/>
    <row r="381" ht="15.75" customHeight="1" s="218"/>
    <row r="382" ht="15.75" customHeight="1" s="218"/>
    <row r="383" ht="15.75" customHeight="1" s="218"/>
    <row r="384" ht="15.75" customHeight="1" s="218"/>
    <row r="385" ht="15.75" customHeight="1" s="218"/>
    <row r="386" ht="15.75" customHeight="1" s="218"/>
    <row r="387" ht="15.75" customHeight="1" s="218"/>
    <row r="388" ht="15.75" customHeight="1" s="218"/>
    <row r="389" ht="15.75" customHeight="1" s="218"/>
    <row r="390" ht="15.75" customHeight="1" s="218"/>
    <row r="391" ht="15.75" customHeight="1" s="218"/>
    <row r="392" ht="15.75" customHeight="1" s="218"/>
    <row r="393" ht="15.75" customHeight="1" s="218"/>
    <row r="394" ht="15.75" customHeight="1" s="218"/>
    <row r="395" ht="15.75" customHeight="1" s="218"/>
    <row r="396" ht="15.75" customHeight="1" s="218"/>
    <row r="397" ht="15.75" customHeight="1" s="218"/>
    <row r="398" ht="15.75" customHeight="1" s="218"/>
    <row r="399" ht="15.75" customHeight="1" s="218"/>
    <row r="400" ht="15.75" customHeight="1" s="218"/>
    <row r="401" ht="15.75" customHeight="1" s="218"/>
    <row r="402" ht="15.75" customHeight="1" s="218"/>
    <row r="403" ht="15.75" customHeight="1" s="218"/>
    <row r="404" ht="15.75" customHeight="1" s="218"/>
    <row r="405" ht="15.75" customHeight="1" s="218"/>
    <row r="406" ht="15.75" customHeight="1" s="218"/>
    <row r="407" ht="15.75" customHeight="1" s="218"/>
    <row r="408" ht="15.75" customHeight="1" s="218"/>
    <row r="409" ht="15.75" customHeight="1" s="218"/>
    <row r="410" ht="15.75" customHeight="1" s="218"/>
    <row r="411" ht="15.75" customHeight="1" s="218"/>
    <row r="412" ht="15.75" customHeight="1" s="218"/>
    <row r="413" ht="15.75" customHeight="1" s="218"/>
    <row r="414" ht="15.75" customHeight="1" s="218"/>
    <row r="415" ht="15.75" customHeight="1" s="218"/>
    <row r="416" ht="15.75" customHeight="1" s="218"/>
    <row r="417" ht="15.75" customHeight="1" s="218"/>
    <row r="418" ht="15.75" customHeight="1" s="218"/>
    <row r="419" ht="15.75" customHeight="1" s="218"/>
    <row r="420" ht="15.75" customHeight="1" s="218"/>
    <row r="421" ht="15.75" customHeight="1" s="218"/>
    <row r="422" ht="15.75" customHeight="1" s="218"/>
    <row r="423" ht="15.75" customHeight="1" s="218"/>
    <row r="424" ht="15.75" customHeight="1" s="218"/>
    <row r="425" ht="15.75" customHeight="1" s="218"/>
    <row r="426" ht="15.75" customHeight="1" s="218"/>
    <row r="427" ht="15.75" customHeight="1" s="218"/>
    <row r="428" ht="15.75" customHeight="1" s="218"/>
    <row r="429" ht="15.75" customHeight="1" s="218"/>
    <row r="430" ht="15.75" customHeight="1" s="218"/>
    <row r="431" ht="15.75" customHeight="1" s="218"/>
    <row r="432" ht="15.75" customHeight="1" s="218"/>
    <row r="433" ht="15.75" customHeight="1" s="218"/>
    <row r="434" ht="15.75" customHeight="1" s="218"/>
    <row r="435" ht="15.75" customHeight="1" s="218"/>
    <row r="436" ht="15.75" customHeight="1" s="218"/>
    <row r="437" ht="15.75" customHeight="1" s="218"/>
    <row r="438" ht="15.75" customHeight="1" s="218"/>
    <row r="439" ht="15.75" customHeight="1" s="218"/>
    <row r="440" ht="15.75" customHeight="1" s="218"/>
    <row r="441" ht="15.75" customHeight="1" s="218"/>
    <row r="442" ht="15.75" customHeight="1" s="218"/>
    <row r="443" ht="15.75" customHeight="1" s="218"/>
    <row r="444" ht="15.75" customHeight="1" s="218"/>
    <row r="445" ht="15.75" customHeight="1" s="218"/>
    <row r="446" ht="15.75" customHeight="1" s="218"/>
    <row r="447" ht="15.75" customHeight="1" s="218"/>
    <row r="448" ht="15.75" customHeight="1" s="218"/>
    <row r="449" ht="15.75" customHeight="1" s="218"/>
    <row r="450" ht="15.75" customHeight="1" s="218"/>
    <row r="451" ht="15.75" customHeight="1" s="218"/>
    <row r="452" ht="15.75" customHeight="1" s="218"/>
    <row r="453" ht="15.75" customHeight="1" s="218"/>
    <row r="454" ht="15.75" customHeight="1" s="218"/>
    <row r="455" ht="15.75" customHeight="1" s="218"/>
    <row r="456" ht="15.75" customHeight="1" s="218"/>
    <row r="457" ht="15.75" customHeight="1" s="218"/>
    <row r="458" ht="15.75" customHeight="1" s="218"/>
    <row r="459" ht="15.75" customHeight="1" s="218"/>
    <row r="460" ht="15.75" customHeight="1" s="218"/>
    <row r="461" ht="15.75" customHeight="1" s="218"/>
    <row r="462" ht="15.75" customHeight="1" s="218"/>
    <row r="463" ht="15.75" customHeight="1" s="218"/>
    <row r="464" ht="15.75" customHeight="1" s="218"/>
    <row r="465" ht="15.75" customHeight="1" s="218"/>
    <row r="466" ht="15.75" customHeight="1" s="218"/>
    <row r="467" ht="15.75" customHeight="1" s="218"/>
    <row r="468" ht="15.75" customHeight="1" s="218"/>
    <row r="469" ht="15.75" customHeight="1" s="218"/>
    <row r="470" ht="15.75" customHeight="1" s="218"/>
    <row r="471" ht="15.75" customHeight="1" s="218"/>
    <row r="472" ht="15.75" customHeight="1" s="218"/>
    <row r="473" ht="15.75" customHeight="1" s="218"/>
    <row r="474" ht="15.75" customHeight="1" s="218"/>
    <row r="475" ht="15.75" customHeight="1" s="218"/>
    <row r="476" ht="15.75" customHeight="1" s="218"/>
    <row r="477" ht="15.75" customHeight="1" s="218"/>
    <row r="478" ht="15.75" customHeight="1" s="218"/>
    <row r="479" ht="15.75" customHeight="1" s="218"/>
    <row r="480" ht="15.75" customHeight="1" s="218"/>
    <row r="481" ht="15.75" customHeight="1" s="218"/>
    <row r="482" ht="15.75" customHeight="1" s="218"/>
    <row r="483" ht="15.75" customHeight="1" s="218"/>
    <row r="484" ht="15.75" customHeight="1" s="218"/>
    <row r="485" ht="15.75" customHeight="1" s="218"/>
    <row r="486" ht="15.75" customHeight="1" s="218"/>
    <row r="487" ht="15.75" customHeight="1" s="218"/>
    <row r="488" ht="15.75" customHeight="1" s="218"/>
    <row r="489" ht="15.75" customHeight="1" s="218"/>
    <row r="490" ht="15.75" customHeight="1" s="218"/>
    <row r="491" ht="15.75" customHeight="1" s="218"/>
    <row r="492" ht="15.75" customHeight="1" s="218"/>
    <row r="493" ht="15.75" customHeight="1" s="218"/>
    <row r="494" ht="15.75" customHeight="1" s="218"/>
    <row r="495" ht="15.75" customHeight="1" s="218"/>
    <row r="496" ht="15.75" customHeight="1" s="218"/>
    <row r="497" ht="15.75" customHeight="1" s="218"/>
    <row r="498" ht="15.75" customHeight="1" s="218"/>
    <row r="499" ht="15.75" customHeight="1" s="218"/>
    <row r="500" ht="15.75" customHeight="1" s="218"/>
    <row r="501" ht="15.75" customHeight="1" s="218"/>
    <row r="502" ht="15.75" customHeight="1" s="218"/>
    <row r="503" ht="15.75" customHeight="1" s="218"/>
    <row r="504" ht="15.75" customHeight="1" s="218"/>
    <row r="505" ht="15.75" customHeight="1" s="218"/>
    <row r="506" ht="15.75" customHeight="1" s="218"/>
    <row r="507" ht="15.75" customHeight="1" s="218"/>
    <row r="508" ht="15.75" customHeight="1" s="218"/>
    <row r="509" ht="15.75" customHeight="1" s="218"/>
    <row r="510" ht="15.75" customHeight="1" s="218"/>
    <row r="511" ht="15.75" customHeight="1" s="218"/>
    <row r="512" ht="15.75" customHeight="1" s="218"/>
    <row r="513" ht="15.75" customHeight="1" s="218"/>
    <row r="514" ht="15.75" customHeight="1" s="218"/>
    <row r="515" ht="15.75" customHeight="1" s="218"/>
    <row r="516" ht="15.75" customHeight="1" s="218"/>
    <row r="517" ht="15.75" customHeight="1" s="218"/>
    <row r="518" ht="15.75" customHeight="1" s="218"/>
    <row r="519" ht="15.75" customHeight="1" s="218"/>
    <row r="520" ht="15.75" customHeight="1" s="218"/>
    <row r="521" ht="15.75" customHeight="1" s="218"/>
    <row r="522" ht="15.75" customHeight="1" s="218"/>
    <row r="523" ht="15.75" customHeight="1" s="218"/>
    <row r="524" ht="15.75" customHeight="1" s="218"/>
    <row r="525" ht="15.75" customHeight="1" s="218"/>
    <row r="526" ht="15.75" customHeight="1" s="218"/>
    <row r="527" ht="15.75" customHeight="1" s="218"/>
    <row r="528" ht="15.75" customHeight="1" s="218"/>
    <row r="529" ht="15.75" customHeight="1" s="218"/>
    <row r="530" ht="15.75" customHeight="1" s="218"/>
    <row r="531" ht="15.75" customHeight="1" s="218"/>
    <row r="532" ht="15.75" customHeight="1" s="218"/>
    <row r="533" ht="15.75" customHeight="1" s="218"/>
    <row r="534" ht="15.75" customHeight="1" s="218"/>
    <row r="535" ht="15.75" customHeight="1" s="218"/>
    <row r="536" ht="15.75" customHeight="1" s="218"/>
    <row r="537" ht="15.75" customHeight="1" s="218"/>
    <row r="538" ht="15.75" customHeight="1" s="218"/>
    <row r="539" ht="15.75" customHeight="1" s="218"/>
    <row r="540" ht="15.75" customHeight="1" s="218"/>
    <row r="541" ht="15.75" customHeight="1" s="218"/>
    <row r="542" ht="15.75" customHeight="1" s="218"/>
    <row r="543" ht="15.75" customHeight="1" s="218"/>
    <row r="544" ht="15.75" customHeight="1" s="218"/>
    <row r="545" ht="15.75" customHeight="1" s="218"/>
    <row r="546" ht="15.75" customHeight="1" s="218"/>
    <row r="547" ht="15.75" customHeight="1" s="218"/>
    <row r="548" ht="15.75" customHeight="1" s="218"/>
    <row r="549" ht="15.75" customHeight="1" s="218"/>
    <row r="550" ht="15.75" customHeight="1" s="218"/>
    <row r="551" ht="15.75" customHeight="1" s="218"/>
    <row r="552" ht="15.75" customHeight="1" s="218"/>
    <row r="553" ht="15.75" customHeight="1" s="218"/>
    <row r="554" ht="15.75" customHeight="1" s="218"/>
    <row r="555" ht="15.75" customHeight="1" s="218"/>
    <row r="556" ht="15.75" customHeight="1" s="218"/>
    <row r="557" ht="15.75" customHeight="1" s="218"/>
    <row r="558" ht="15.75" customHeight="1" s="218"/>
    <row r="559" ht="15.75" customHeight="1" s="218"/>
    <row r="560" ht="15.75" customHeight="1" s="218"/>
    <row r="561" ht="15.75" customHeight="1" s="218"/>
    <row r="562" ht="15.75" customHeight="1" s="218"/>
    <row r="563" ht="15.75" customHeight="1" s="218"/>
    <row r="564" ht="15.75" customHeight="1" s="218"/>
    <row r="565" ht="15.75" customHeight="1" s="218"/>
    <row r="566" ht="15.75" customHeight="1" s="218"/>
    <row r="567" ht="15.75" customHeight="1" s="218"/>
    <row r="568" ht="15.75" customHeight="1" s="218"/>
    <row r="569" ht="15.75" customHeight="1" s="218"/>
    <row r="570" ht="15.75" customHeight="1" s="218"/>
    <row r="571" ht="15.75" customHeight="1" s="218"/>
    <row r="572" ht="15.75" customHeight="1" s="218"/>
    <row r="573" ht="15.75" customHeight="1" s="218"/>
    <row r="574" ht="15.75" customHeight="1" s="218"/>
    <row r="575" ht="15.75" customHeight="1" s="218"/>
    <row r="576" ht="15.75" customHeight="1" s="218"/>
    <row r="577" ht="15.75" customHeight="1" s="218"/>
    <row r="578" ht="15.75" customHeight="1" s="218"/>
    <row r="579" ht="15.75" customHeight="1" s="218"/>
    <row r="580" ht="15.75" customHeight="1" s="218"/>
    <row r="581" ht="15.75" customHeight="1" s="218"/>
    <row r="582" ht="15.75" customHeight="1" s="218"/>
    <row r="583" ht="15.75" customHeight="1" s="218"/>
    <row r="584" ht="15.75" customHeight="1" s="218"/>
    <row r="585" ht="15.75" customHeight="1" s="218"/>
    <row r="586" ht="15.75" customHeight="1" s="218"/>
    <row r="587" ht="15.75" customHeight="1" s="218"/>
    <row r="588" ht="15.75" customHeight="1" s="218"/>
    <row r="589" ht="15.75" customHeight="1" s="218"/>
    <row r="590" ht="15.75" customHeight="1" s="218"/>
    <row r="591" ht="15.75" customHeight="1" s="218"/>
    <row r="592" ht="15.75" customHeight="1" s="218"/>
    <row r="593" ht="15.75" customHeight="1" s="218"/>
    <row r="594" ht="15.75" customHeight="1" s="218"/>
    <row r="595" ht="15.75" customHeight="1" s="218"/>
    <row r="596" ht="15.75" customHeight="1" s="218"/>
    <row r="597" ht="15.75" customHeight="1" s="218"/>
    <row r="598" ht="15.75" customHeight="1" s="218"/>
    <row r="599" ht="15.75" customHeight="1" s="218"/>
    <row r="600" ht="15.75" customHeight="1" s="218"/>
    <row r="601" ht="15.75" customHeight="1" s="218"/>
    <row r="602" ht="15.75" customHeight="1" s="218"/>
    <row r="603" ht="15.75" customHeight="1" s="218"/>
    <row r="604" ht="15.75" customHeight="1" s="218"/>
    <row r="605" ht="15.75" customHeight="1" s="218"/>
    <row r="606" ht="15.75" customHeight="1" s="218"/>
    <row r="607" ht="15.75" customHeight="1" s="218"/>
    <row r="608" ht="15.75" customHeight="1" s="218"/>
    <row r="609" ht="15.75" customHeight="1" s="218"/>
    <row r="610" ht="15.75" customHeight="1" s="218"/>
    <row r="611" ht="15.75" customHeight="1" s="218"/>
    <row r="612" ht="15.75" customHeight="1" s="218"/>
    <row r="613" ht="15.75" customHeight="1" s="218"/>
    <row r="614" ht="15.75" customHeight="1" s="218"/>
    <row r="615" ht="15.75" customHeight="1" s="218"/>
    <row r="616" ht="15.75" customHeight="1" s="218"/>
    <row r="617" ht="15.75" customHeight="1" s="218"/>
    <row r="618" ht="15.75" customHeight="1" s="218"/>
    <row r="619" ht="15.75" customHeight="1" s="218"/>
    <row r="620" ht="15.75" customHeight="1" s="218"/>
    <row r="621" ht="15.75" customHeight="1" s="218"/>
    <row r="622" ht="15.75" customHeight="1" s="218"/>
    <row r="623" ht="15.75" customHeight="1" s="218"/>
    <row r="624" ht="15.75" customHeight="1" s="218"/>
    <row r="625" ht="15.75" customHeight="1" s="218"/>
    <row r="626" ht="15.75" customHeight="1" s="218"/>
    <row r="627" ht="15.75" customHeight="1" s="218"/>
    <row r="628" ht="15.75" customHeight="1" s="218"/>
    <row r="629" ht="15.75" customHeight="1" s="218"/>
    <row r="630" ht="15.75" customHeight="1" s="218"/>
    <row r="631" ht="15.75" customHeight="1" s="218"/>
    <row r="632" ht="15.75" customHeight="1" s="218"/>
    <row r="633" ht="15.75" customHeight="1" s="218"/>
    <row r="634" ht="15.75" customHeight="1" s="218"/>
    <row r="635" ht="15.75" customHeight="1" s="218"/>
    <row r="636" ht="15.75" customHeight="1" s="218"/>
    <row r="637" ht="15.75" customHeight="1" s="218"/>
    <row r="638" ht="15.75" customHeight="1" s="218"/>
    <row r="639" ht="15.75" customHeight="1" s="218"/>
    <row r="640" ht="15.75" customHeight="1" s="218"/>
    <row r="641" ht="15.75" customHeight="1" s="218"/>
    <row r="642" ht="15.75" customHeight="1" s="218"/>
    <row r="643" ht="15.75" customHeight="1" s="218"/>
    <row r="644" ht="15.75" customHeight="1" s="218"/>
    <row r="645" ht="15.75" customHeight="1" s="218"/>
    <row r="646" ht="15.75" customHeight="1" s="218"/>
    <row r="647" ht="15.75" customHeight="1" s="218"/>
    <row r="648" ht="15.75" customHeight="1" s="218"/>
    <row r="649" ht="15.75" customHeight="1" s="218"/>
    <row r="650" ht="15.75" customHeight="1" s="218"/>
    <row r="651" ht="15.75" customHeight="1" s="218"/>
    <row r="652" ht="15.75" customHeight="1" s="218"/>
    <row r="653" ht="15.75" customHeight="1" s="218"/>
    <row r="654" ht="15.75" customHeight="1" s="218"/>
    <row r="655" ht="15.75" customHeight="1" s="218"/>
    <row r="656" ht="15.75" customHeight="1" s="218"/>
    <row r="657" ht="15.75" customHeight="1" s="218"/>
    <row r="658" ht="15.75" customHeight="1" s="218"/>
    <row r="659" ht="15.75" customHeight="1" s="218"/>
    <row r="660" ht="15.75" customHeight="1" s="218"/>
    <row r="661" ht="15.75" customHeight="1" s="218"/>
    <row r="662" ht="15.75" customHeight="1" s="218"/>
    <row r="663" ht="15.75" customHeight="1" s="218"/>
    <row r="664" ht="15.75" customHeight="1" s="218"/>
    <row r="665" ht="15.75" customHeight="1" s="218"/>
    <row r="666" ht="15.75" customHeight="1" s="218"/>
    <row r="667" ht="15.75" customHeight="1" s="218"/>
    <row r="668" ht="15.75" customHeight="1" s="218"/>
    <row r="669" ht="15.75" customHeight="1" s="218"/>
    <row r="670" ht="15.75" customHeight="1" s="218"/>
    <row r="671" ht="15.75" customHeight="1" s="218"/>
    <row r="672" ht="15.75" customHeight="1" s="218"/>
    <row r="673" ht="15.75" customHeight="1" s="218"/>
    <row r="674" ht="15.75" customHeight="1" s="218"/>
    <row r="675" ht="15.75" customHeight="1" s="218"/>
    <row r="676" ht="15.75" customHeight="1" s="218"/>
    <row r="677" ht="15.75" customHeight="1" s="218"/>
    <row r="678" ht="15.75" customHeight="1" s="218"/>
    <row r="679" ht="15.75" customHeight="1" s="218"/>
    <row r="680" ht="15.75" customHeight="1" s="218"/>
    <row r="681" ht="15.75" customHeight="1" s="218"/>
    <row r="682" ht="15.75" customHeight="1" s="218"/>
    <row r="683" ht="15.75" customHeight="1" s="218"/>
    <row r="684" ht="15.75" customHeight="1" s="218"/>
    <row r="685" ht="15.75" customHeight="1" s="218"/>
    <row r="686" ht="15.75" customHeight="1" s="218"/>
    <row r="687" ht="15.75" customHeight="1" s="218"/>
    <row r="688" ht="15.75" customHeight="1" s="218"/>
    <row r="689" ht="15.75" customHeight="1" s="218"/>
    <row r="690" ht="15.75" customHeight="1" s="218"/>
    <row r="691" ht="15.75" customHeight="1" s="218"/>
    <row r="692" ht="15.75" customHeight="1" s="218"/>
    <row r="693" ht="15.75" customHeight="1" s="218"/>
    <row r="694" ht="15.75" customHeight="1" s="218"/>
    <row r="695" ht="15.75" customHeight="1" s="218"/>
    <row r="696" ht="15.75" customHeight="1" s="218"/>
    <row r="697" ht="15.75" customHeight="1" s="218"/>
    <row r="698" ht="15.75" customHeight="1" s="218"/>
    <row r="699" ht="15.75" customHeight="1" s="218"/>
    <row r="700" ht="15.75" customHeight="1" s="218"/>
    <row r="701" ht="15.75" customHeight="1" s="218"/>
    <row r="702" ht="15.75" customHeight="1" s="218"/>
    <row r="703" ht="15.75" customHeight="1" s="218"/>
    <row r="704" ht="15.75" customHeight="1" s="218"/>
    <row r="705" ht="15.75" customHeight="1" s="218"/>
    <row r="706" ht="15.75" customHeight="1" s="218"/>
    <row r="707" ht="15.75" customHeight="1" s="218"/>
    <row r="708" ht="15.75" customHeight="1" s="218"/>
    <row r="709" ht="15.75" customHeight="1" s="218"/>
    <row r="710" ht="15.75" customHeight="1" s="218"/>
    <row r="711" ht="15.75" customHeight="1" s="218"/>
    <row r="712" ht="15.75" customHeight="1" s="218"/>
    <row r="713" ht="15.75" customHeight="1" s="218"/>
    <row r="714" ht="15.75" customHeight="1" s="218"/>
    <row r="715" ht="15.75" customHeight="1" s="218"/>
    <row r="716" ht="15.75" customHeight="1" s="218"/>
    <row r="717" ht="15.75" customHeight="1" s="218"/>
    <row r="718" ht="15.75" customHeight="1" s="218"/>
    <row r="719" ht="15.75" customHeight="1" s="218"/>
    <row r="720" ht="15.75" customHeight="1" s="218"/>
    <row r="721" ht="15.75" customHeight="1" s="218"/>
    <row r="722" ht="15.75" customHeight="1" s="218"/>
    <row r="723" ht="15.75" customHeight="1" s="218"/>
    <row r="724" ht="15.75" customHeight="1" s="218"/>
    <row r="725" ht="15.75" customHeight="1" s="218"/>
    <row r="726" ht="15.75" customHeight="1" s="218"/>
    <row r="727" ht="15.75" customHeight="1" s="218"/>
    <row r="728" ht="15.75" customHeight="1" s="218"/>
    <row r="729" ht="15.75" customHeight="1" s="218"/>
    <row r="730" ht="15.75" customHeight="1" s="218"/>
    <row r="731" ht="15.75" customHeight="1" s="218"/>
    <row r="732" ht="15.75" customHeight="1" s="218"/>
    <row r="733" ht="15.75" customHeight="1" s="218"/>
    <row r="734" ht="15.75" customHeight="1" s="218"/>
    <row r="735" ht="15.75" customHeight="1" s="218"/>
    <row r="736" ht="15.75" customHeight="1" s="218"/>
    <row r="737" ht="15.75" customHeight="1" s="218"/>
    <row r="738" ht="15.75" customHeight="1" s="218"/>
    <row r="739" ht="15.75" customHeight="1" s="218"/>
    <row r="740" ht="15.75" customHeight="1" s="218"/>
    <row r="741" ht="15.75" customHeight="1" s="218"/>
    <row r="742" ht="15.75" customHeight="1" s="218"/>
    <row r="743" ht="15.75" customHeight="1" s="218"/>
    <row r="744" ht="15.75" customHeight="1" s="218"/>
    <row r="745" ht="15.75" customHeight="1" s="218"/>
    <row r="746" ht="15.75" customHeight="1" s="218"/>
    <row r="747" ht="15.75" customHeight="1" s="218"/>
    <row r="748" ht="15.75" customHeight="1" s="218"/>
    <row r="749" ht="15.75" customHeight="1" s="218"/>
    <row r="750" ht="15.75" customHeight="1" s="218"/>
    <row r="751" ht="15.75" customHeight="1" s="218"/>
    <row r="752" ht="15.75" customHeight="1" s="218"/>
    <row r="753" ht="15.75" customHeight="1" s="218"/>
    <row r="754" ht="15.75" customHeight="1" s="218"/>
    <row r="755" ht="15.75" customHeight="1" s="218"/>
    <row r="756" ht="15.75" customHeight="1" s="218"/>
    <row r="757" ht="15.75" customHeight="1" s="218"/>
    <row r="758" ht="15.75" customHeight="1" s="218"/>
    <row r="759" ht="15.75" customHeight="1" s="218"/>
    <row r="760" ht="15.75" customHeight="1" s="218"/>
    <row r="761" ht="15.75" customHeight="1" s="218"/>
    <row r="762" ht="15.75" customHeight="1" s="218"/>
    <row r="763" ht="15.75" customHeight="1" s="218"/>
    <row r="764" ht="15.75" customHeight="1" s="218"/>
    <row r="765" ht="15.75" customHeight="1" s="218"/>
    <row r="766" ht="15.75" customHeight="1" s="218"/>
    <row r="767" ht="15.75" customHeight="1" s="218"/>
    <row r="768" ht="15.75" customHeight="1" s="218"/>
    <row r="769" ht="15.75" customHeight="1" s="218"/>
    <row r="770" ht="15.75" customHeight="1" s="218"/>
    <row r="771" ht="15.75" customHeight="1" s="218"/>
    <row r="772" ht="15.75" customHeight="1" s="218"/>
    <row r="773" ht="15.75" customHeight="1" s="218"/>
    <row r="774" ht="15.75" customHeight="1" s="218"/>
    <row r="775" ht="15.75" customHeight="1" s="218"/>
    <row r="776" ht="15.75" customHeight="1" s="218"/>
    <row r="777" ht="15.75" customHeight="1" s="218"/>
    <row r="778" ht="15.75" customHeight="1" s="218"/>
    <row r="779" ht="15.75" customHeight="1" s="218"/>
    <row r="780" ht="15.75" customHeight="1" s="218"/>
    <row r="781" ht="15.75" customHeight="1" s="218"/>
    <row r="782" ht="15.75" customHeight="1" s="218"/>
    <row r="783" ht="15.75" customHeight="1" s="218"/>
    <row r="784" ht="15.75" customHeight="1" s="218"/>
    <row r="785" ht="15.75" customHeight="1" s="218"/>
    <row r="786" ht="15.75" customHeight="1" s="218"/>
    <row r="787" ht="15.75" customHeight="1" s="218"/>
    <row r="788" ht="15.75" customHeight="1" s="218"/>
    <row r="789" ht="15.75" customHeight="1" s="218"/>
    <row r="790" ht="15.75" customHeight="1" s="218"/>
    <row r="791" ht="15.75" customHeight="1" s="218"/>
    <row r="792" ht="15.75" customHeight="1" s="218"/>
    <row r="793" ht="15.75" customHeight="1" s="218"/>
    <row r="794" ht="15.75" customHeight="1" s="218"/>
    <row r="795" ht="15.75" customHeight="1" s="218"/>
    <row r="796" ht="15.75" customHeight="1" s="218"/>
    <row r="797" ht="15.75" customHeight="1" s="218"/>
    <row r="798" ht="15.75" customHeight="1" s="218"/>
    <row r="799" ht="15.75" customHeight="1" s="218"/>
    <row r="800" ht="15.75" customHeight="1" s="218"/>
    <row r="801" ht="15.75" customHeight="1" s="218"/>
    <row r="802" ht="15.75" customHeight="1" s="218"/>
    <row r="803" ht="15.75" customHeight="1" s="218"/>
    <row r="804" ht="15.75" customHeight="1" s="218"/>
    <row r="805" ht="15.75" customHeight="1" s="218"/>
    <row r="806" ht="15.75" customHeight="1" s="218"/>
    <row r="807" ht="15.75" customHeight="1" s="218"/>
    <row r="808" ht="15.75" customHeight="1" s="218"/>
    <row r="809" ht="15.75" customHeight="1" s="218"/>
    <row r="810" ht="15.75" customHeight="1" s="218"/>
    <row r="811" ht="15.75" customHeight="1" s="218"/>
    <row r="812" ht="15.75" customHeight="1" s="218"/>
    <row r="813" ht="15.75" customHeight="1" s="218"/>
    <row r="814" ht="15.75" customHeight="1" s="218"/>
    <row r="815" ht="15.75" customHeight="1" s="218"/>
    <row r="816" ht="15.75" customHeight="1" s="218"/>
    <row r="817" ht="15.75" customHeight="1" s="218"/>
    <row r="818" ht="15.75" customHeight="1" s="218"/>
    <row r="819" ht="15.75" customHeight="1" s="218"/>
    <row r="820" ht="15.75" customHeight="1" s="218"/>
    <row r="821" ht="15.75" customHeight="1" s="218"/>
    <row r="822" ht="15.75" customHeight="1" s="218"/>
    <row r="823" ht="15.75" customHeight="1" s="218"/>
    <row r="824" ht="15.75" customHeight="1" s="218"/>
    <row r="825" ht="15.75" customHeight="1" s="218"/>
    <row r="826" ht="15.75" customHeight="1" s="218"/>
    <row r="827" ht="15.75" customHeight="1" s="218"/>
    <row r="828" ht="15.75" customHeight="1" s="218"/>
    <row r="829" ht="15.75" customHeight="1" s="218"/>
    <row r="830" ht="15.75" customHeight="1" s="218"/>
    <row r="831" ht="15.75" customHeight="1" s="218"/>
    <row r="832" ht="15.75" customHeight="1" s="218"/>
    <row r="833" ht="15.75" customHeight="1" s="218"/>
    <row r="834" ht="15.75" customHeight="1" s="218"/>
    <row r="835" ht="15.75" customHeight="1" s="218"/>
    <row r="836" ht="15.75" customHeight="1" s="218"/>
    <row r="837" ht="15.75" customHeight="1" s="218"/>
    <row r="838" ht="15.75" customHeight="1" s="218"/>
    <row r="839" ht="15.75" customHeight="1" s="218"/>
    <row r="840" ht="15.75" customHeight="1" s="218"/>
    <row r="841" ht="15.75" customHeight="1" s="218"/>
    <row r="842" ht="15.75" customHeight="1" s="218"/>
    <row r="843" ht="15.75" customHeight="1" s="218"/>
    <row r="844" ht="15.75" customHeight="1" s="218"/>
    <row r="845" ht="15.75" customHeight="1" s="218"/>
    <row r="846" ht="15.75" customHeight="1" s="218"/>
    <row r="847" ht="15.75" customHeight="1" s="218"/>
    <row r="848" ht="15.75" customHeight="1" s="218"/>
    <row r="849" ht="15.75" customHeight="1" s="218"/>
    <row r="850" ht="15.75" customHeight="1" s="218"/>
    <row r="851" ht="15.75" customHeight="1" s="218"/>
    <row r="852" ht="15.75" customHeight="1" s="218"/>
    <row r="853" ht="15.75" customHeight="1" s="218"/>
    <row r="854" ht="15.75" customHeight="1" s="218"/>
    <row r="855" ht="15.75" customHeight="1" s="218"/>
    <row r="856" ht="15.75" customHeight="1" s="218"/>
    <row r="857" ht="15.75" customHeight="1" s="218"/>
    <row r="858" ht="15.75" customHeight="1" s="218"/>
    <row r="859" ht="15.75" customHeight="1" s="218"/>
    <row r="860" ht="15.75" customHeight="1" s="218"/>
    <row r="861" ht="15.75" customHeight="1" s="218"/>
    <row r="862" ht="15.75" customHeight="1" s="218"/>
    <row r="863" ht="15.75" customHeight="1" s="218"/>
    <row r="864" ht="15.75" customHeight="1" s="218"/>
    <row r="865" ht="15.75" customHeight="1" s="218"/>
    <row r="866" ht="15.75" customHeight="1" s="218"/>
    <row r="867" ht="15.75" customHeight="1" s="218"/>
    <row r="868" ht="15.75" customHeight="1" s="218"/>
    <row r="869" ht="15.75" customHeight="1" s="218"/>
    <row r="870" ht="15.75" customHeight="1" s="218"/>
    <row r="871" ht="15.75" customHeight="1" s="218"/>
    <row r="872" ht="15.75" customHeight="1" s="218"/>
    <row r="873" ht="15.75" customHeight="1" s="218"/>
    <row r="874" ht="15.75" customHeight="1" s="218"/>
    <row r="875" ht="15.75" customHeight="1" s="218"/>
    <row r="876" ht="15.75" customHeight="1" s="218"/>
    <row r="877" ht="15.75" customHeight="1" s="218"/>
    <row r="878" ht="15.75" customHeight="1" s="218"/>
    <row r="879" ht="15.75" customHeight="1" s="218"/>
    <row r="880" ht="15.75" customHeight="1" s="218"/>
    <row r="881" ht="15.75" customHeight="1" s="218"/>
    <row r="882" ht="15.75" customHeight="1" s="218"/>
    <row r="883" ht="15.75" customHeight="1" s="218"/>
    <row r="884" ht="15.75" customHeight="1" s="218"/>
    <row r="885" ht="15.75" customHeight="1" s="218"/>
    <row r="886" ht="15.75" customHeight="1" s="218"/>
    <row r="887" ht="15.75" customHeight="1" s="218"/>
    <row r="888" ht="15.75" customHeight="1" s="218"/>
    <row r="889" ht="15.75" customHeight="1" s="218"/>
    <row r="890" ht="15.75" customHeight="1" s="218"/>
    <row r="891" ht="15.75" customHeight="1" s="218"/>
    <row r="892" ht="15.75" customHeight="1" s="218"/>
    <row r="893" ht="15.75" customHeight="1" s="218"/>
    <row r="894" ht="15.75" customHeight="1" s="218"/>
    <row r="895" ht="15.75" customHeight="1" s="218"/>
    <row r="896" ht="15.75" customHeight="1" s="218"/>
    <row r="897" ht="15.75" customHeight="1" s="218"/>
    <row r="898" ht="15.75" customHeight="1" s="218"/>
    <row r="899" ht="15.75" customHeight="1" s="218"/>
    <row r="900" ht="15.75" customHeight="1" s="218"/>
    <row r="901" ht="15.75" customHeight="1" s="218"/>
    <row r="902" ht="15.75" customHeight="1" s="218"/>
    <row r="903" ht="15.75" customHeight="1" s="218"/>
    <row r="904" ht="15.75" customHeight="1" s="218"/>
    <row r="905" ht="15.75" customHeight="1" s="218"/>
    <row r="906" ht="15.75" customHeight="1" s="218"/>
    <row r="907" ht="15.75" customHeight="1" s="218"/>
    <row r="908" ht="15.75" customHeight="1" s="218"/>
    <row r="909" ht="15.75" customHeight="1" s="218"/>
    <row r="910" ht="15.75" customHeight="1" s="218"/>
    <row r="911" ht="15.75" customHeight="1" s="218"/>
    <row r="912" ht="15.75" customHeight="1" s="218"/>
    <row r="913" ht="15.75" customHeight="1" s="218"/>
    <row r="914" ht="15.75" customHeight="1" s="218"/>
    <row r="915" ht="15.75" customHeight="1" s="218"/>
    <row r="916" ht="15.75" customHeight="1" s="218"/>
    <row r="917" ht="15.75" customHeight="1" s="218"/>
    <row r="918" ht="15.75" customHeight="1" s="218"/>
    <row r="919" ht="15.75" customHeight="1" s="218"/>
    <row r="920" ht="15.75" customHeight="1" s="218"/>
    <row r="921" ht="15.75" customHeight="1" s="218"/>
    <row r="922" ht="15.75" customHeight="1" s="218"/>
    <row r="923" ht="15.75" customHeight="1" s="218"/>
    <row r="924" ht="15.75" customHeight="1" s="218"/>
    <row r="925" ht="15.75" customHeight="1" s="218"/>
    <row r="926" ht="15.75" customHeight="1" s="218"/>
    <row r="927" ht="15.75" customHeight="1" s="218"/>
    <row r="928" ht="15.75" customHeight="1" s="218"/>
    <row r="929" ht="15.75" customHeight="1" s="218"/>
    <row r="930" ht="15.75" customHeight="1" s="218"/>
    <row r="931" ht="15.75" customHeight="1" s="218"/>
    <row r="932" ht="15.75" customHeight="1" s="218"/>
    <row r="933" ht="15.75" customHeight="1" s="218"/>
    <row r="934" ht="15.75" customHeight="1" s="218"/>
    <row r="935" ht="15.75" customHeight="1" s="218"/>
    <row r="936" ht="15.75" customHeight="1" s="218"/>
    <row r="937" ht="15.75" customHeight="1" s="218"/>
    <row r="938" ht="15.75" customHeight="1" s="218"/>
    <row r="939" ht="15.75" customHeight="1" s="218"/>
    <row r="940" ht="15.75" customHeight="1" s="218"/>
    <row r="941" ht="15.75" customHeight="1" s="218"/>
    <row r="942" ht="15.75" customHeight="1" s="218"/>
    <row r="943" ht="15.75" customHeight="1" s="218"/>
    <row r="944" ht="15.75" customHeight="1" s="218"/>
    <row r="945" ht="15.75" customHeight="1" s="218"/>
    <row r="946" ht="15.75" customHeight="1" s="218"/>
    <row r="947" ht="15.75" customHeight="1" s="218"/>
    <row r="948" ht="15.75" customHeight="1" s="218"/>
    <row r="949" ht="15.75" customHeight="1" s="218"/>
    <row r="950" ht="15.75" customHeight="1" s="218"/>
    <row r="951" ht="15.75" customHeight="1" s="218"/>
    <row r="952" ht="15.75" customHeight="1" s="218"/>
    <row r="953" ht="15.75" customHeight="1" s="218"/>
    <row r="954" ht="15.75" customHeight="1" s="218"/>
    <row r="955" ht="15.75" customHeight="1" s="218"/>
    <row r="956" ht="15.75" customHeight="1" s="218"/>
    <row r="957" ht="15.75" customHeight="1" s="218"/>
    <row r="958" ht="15.75" customHeight="1" s="218"/>
    <row r="959" ht="15.75" customHeight="1" s="218"/>
    <row r="960" ht="15.75" customHeight="1" s="218"/>
    <row r="961" ht="15.75" customHeight="1" s="218"/>
    <row r="962" ht="15.75" customHeight="1" s="218"/>
    <row r="963" ht="15.75" customHeight="1" s="218"/>
    <row r="964" ht="15.75" customHeight="1" s="218"/>
    <row r="965" ht="15.75" customHeight="1" s="218"/>
    <row r="966" ht="15.75" customHeight="1" s="218"/>
    <row r="967" ht="15.75" customHeight="1" s="218"/>
    <row r="968" ht="15.75" customHeight="1" s="218"/>
    <row r="969" ht="15.75" customHeight="1" s="218"/>
    <row r="970" ht="15.75" customHeight="1" s="218"/>
    <row r="971" ht="15.75" customHeight="1" s="218"/>
    <row r="972" ht="15.75" customHeight="1" s="218"/>
    <row r="973" ht="15.75" customHeight="1" s="218"/>
    <row r="974" ht="15.75" customHeight="1" s="218"/>
    <row r="975" ht="15.75" customHeight="1" s="218"/>
    <row r="976" ht="15.75" customHeight="1" s="218"/>
    <row r="977" ht="15.75" customHeight="1" s="218"/>
    <row r="978" ht="15.75" customHeight="1" s="218"/>
    <row r="979" ht="15.75" customHeight="1" s="218"/>
    <row r="980" ht="15.75" customHeight="1" s="218"/>
    <row r="981" ht="15.75" customHeight="1" s="218"/>
    <row r="982" ht="15.75" customHeight="1" s="218"/>
    <row r="983" ht="15.75" customHeight="1" s="218"/>
    <row r="984" ht="15.75" customHeight="1" s="218"/>
    <row r="985" ht="15.75" customHeight="1" s="218"/>
    <row r="986" ht="15.75" customHeight="1" s="218"/>
    <row r="987" ht="15.75" customHeight="1" s="218"/>
    <row r="988" ht="15.75" customHeight="1" s="218"/>
    <row r="989" ht="15.75" customHeight="1" s="218"/>
    <row r="990" ht="15.75" customHeight="1" s="218"/>
    <row r="991" ht="15.75" customHeight="1" s="218"/>
    <row r="992" ht="15.75" customHeight="1" s="218"/>
    <row r="993" ht="15.75" customHeight="1" s="218"/>
    <row r="994" ht="15.75" customHeight="1" s="218"/>
    <row r="995" ht="15.75" customHeight="1" s="218"/>
    <row r="996" ht="15.75" customHeight="1" s="218"/>
    <row r="997" ht="15.75" customHeight="1" s="218"/>
    <row r="998" ht="15.75" customHeight="1" s="218"/>
    <row r="999" ht="15.75" customHeight="1" s="218"/>
    <row r="1000" ht="15.75" customHeight="1" s="218"/>
  </sheetData>
  <mergeCells count="10">
    <mergeCell ref="A1:G1"/>
    <mergeCell ref="A9:G9"/>
    <mergeCell ref="A31:G31"/>
    <mergeCell ref="A77:G77"/>
    <mergeCell ref="A4:G4"/>
    <mergeCell ref="A38:G38"/>
    <mergeCell ref="A2:G2"/>
    <mergeCell ref="A68:G68"/>
    <mergeCell ref="A45:G45"/>
    <mergeCell ref="A23:G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BN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B6" activeCellId="0" sqref="B6"/>
    </sheetView>
  </sheetViews>
  <sheetFormatPr baseColWidth="8" defaultColWidth="14.43359375" defaultRowHeight="15" customHeight="1" zeroHeight="0" outlineLevelRow="0"/>
  <cols>
    <col width="34" customWidth="1" style="217" min="1" max="1"/>
    <col width="9.57" customWidth="1" style="217" min="2" max="13"/>
    <col width="11" customWidth="1" style="217" min="14" max="14"/>
    <col width="9.57" customWidth="1" style="217" min="15" max="26"/>
    <col width="11" customWidth="1" style="217" min="27" max="27"/>
    <col width="9.57" customWidth="1" style="217" min="28" max="39"/>
    <col width="11" customWidth="1" style="217" min="40" max="40"/>
    <col width="9.57" customWidth="1" style="217" min="41" max="41"/>
    <col width="13" customWidth="1" style="217" min="42" max="52"/>
    <col width="11" customWidth="1" style="217" min="53" max="53"/>
    <col width="9.57" customWidth="1" style="217" min="54" max="54"/>
    <col width="13" customWidth="1" style="217" min="55" max="65"/>
    <col width="11" customWidth="1" style="217" min="66" max="66"/>
  </cols>
  <sheetData>
    <row r="1" ht="39.75" customHeight="1" s="218">
      <c r="A1" s="264" t="inlineStr">
        <is>
          <t>REVENUE MODEL — Marketplace + SaaS</t>
        </is>
      </c>
    </row>
    <row r="2" ht="18" customHeight="1" s="218">
      <c r="A2" s="265" t="inlineStr">
        <is>
          <t>Driver-based model. All inputs flow from ASSUMPTIONS tab. White cells = formulas (do not edit).</t>
        </is>
      </c>
    </row>
    <row r="3" ht="18" customHeight="1" s="218">
      <c r="A3" s="221" t="n"/>
      <c r="B3" s="221" t="n"/>
      <c r="C3" s="221" t="n"/>
      <c r="D3" s="221" t="n"/>
      <c r="E3" s="221" t="n"/>
      <c r="F3" s="221" t="n"/>
      <c r="G3" s="221" t="n"/>
      <c r="H3" s="221" t="n"/>
      <c r="I3" s="221" t="n"/>
      <c r="J3" s="221" t="n"/>
      <c r="K3" s="221" t="n"/>
      <c r="L3" s="221" t="n"/>
      <c r="M3" s="221" t="n"/>
      <c r="N3" s="221" t="n"/>
      <c r="O3" s="221" t="n"/>
      <c r="P3" s="221" t="n"/>
      <c r="Q3" s="221" t="n"/>
      <c r="R3" s="221" t="n"/>
      <c r="S3" s="221" t="n"/>
      <c r="T3" s="221" t="n"/>
      <c r="U3" s="221" t="n"/>
      <c r="V3" s="221" t="n"/>
      <c r="W3" s="221" t="n"/>
      <c r="X3" s="221" t="n"/>
      <c r="Y3" s="221" t="n"/>
      <c r="Z3" s="221" t="n"/>
      <c r="AA3" s="221" t="n"/>
      <c r="AB3" s="221" t="n"/>
      <c r="AC3" s="221" t="n"/>
      <c r="AD3" s="221" t="n"/>
      <c r="AE3" s="221" t="n"/>
      <c r="AF3" s="221" t="n"/>
      <c r="AG3" s="221" t="n"/>
      <c r="AH3" s="221" t="n"/>
      <c r="AI3" s="221" t="n"/>
      <c r="AJ3" s="221" t="n"/>
      <c r="AK3" s="221" t="n"/>
      <c r="AL3" s="221" t="n"/>
      <c r="AM3" s="221" t="n"/>
      <c r="AN3" s="221" t="n"/>
    </row>
    <row r="4" ht="18" customHeight="1" s="218">
      <c r="A4" s="266" t="n"/>
      <c r="B4" s="233" t="inlineStr">
        <is>
          <t xml:space="preserve">  YEAR 1</t>
        </is>
      </c>
      <c r="N4" s="267" t="inlineStr">
        <is>
          <t>Y1</t>
        </is>
      </c>
      <c r="O4" s="268" t="inlineStr">
        <is>
          <t xml:space="preserve">  YEAR 2</t>
        </is>
      </c>
      <c r="AA4" s="269" t="inlineStr">
        <is>
          <t>Y2</t>
        </is>
      </c>
      <c r="AB4" s="270" t="inlineStr">
        <is>
          <t xml:space="preserve">  YEAR 3</t>
        </is>
      </c>
      <c r="AN4" s="271" t="inlineStr">
        <is>
          <t>Y3</t>
        </is>
      </c>
      <c r="AO4" s="272" t="inlineStr">
        <is>
          <t xml:space="preserve">  YEAR 4</t>
        </is>
      </c>
      <c r="BA4" s="273" t="inlineStr">
        <is>
          <t>Y4</t>
        </is>
      </c>
      <c r="BB4" s="272" t="inlineStr">
        <is>
          <t xml:space="preserve">  YEAR 5</t>
        </is>
      </c>
      <c r="BN4" s="273" t="inlineStr">
        <is>
          <t>Y5</t>
        </is>
      </c>
    </row>
    <row r="5" ht="21.75" customHeight="1" s="218">
      <c r="A5" s="266" t="n"/>
      <c r="B5" s="274" t="inlineStr">
        <is>
          <t>Jan</t>
        </is>
      </c>
      <c r="C5" s="274" t="inlineStr">
        <is>
          <t>Feb</t>
        </is>
      </c>
      <c r="D5" s="274" t="inlineStr">
        <is>
          <t>Mar</t>
        </is>
      </c>
      <c r="E5" s="274" t="inlineStr">
        <is>
          <t>Apr</t>
        </is>
      </c>
      <c r="F5" s="274" t="inlineStr">
        <is>
          <t>May</t>
        </is>
      </c>
      <c r="G5" s="274" t="inlineStr">
        <is>
          <t>Jun</t>
        </is>
      </c>
      <c r="H5" s="274" t="inlineStr">
        <is>
          <t>Jul</t>
        </is>
      </c>
      <c r="I5" s="274" t="inlineStr">
        <is>
          <t>Aug</t>
        </is>
      </c>
      <c r="J5" s="274" t="inlineStr">
        <is>
          <t>Sep</t>
        </is>
      </c>
      <c r="K5" s="274" t="inlineStr">
        <is>
          <t>Oct</t>
        </is>
      </c>
      <c r="L5" s="274" t="inlineStr">
        <is>
          <t>Nov</t>
        </is>
      </c>
      <c r="M5" s="274" t="inlineStr">
        <is>
          <t>Dec</t>
        </is>
      </c>
      <c r="N5" s="274" t="inlineStr">
        <is>
          <t>Y1 Total</t>
        </is>
      </c>
      <c r="O5" s="258" t="inlineStr">
        <is>
          <t>Jan</t>
        </is>
      </c>
      <c r="P5" s="258" t="inlineStr">
        <is>
          <t>Feb</t>
        </is>
      </c>
      <c r="Q5" s="258" t="inlineStr">
        <is>
          <t>Mar</t>
        </is>
      </c>
      <c r="R5" s="258" t="inlineStr">
        <is>
          <t>Apr</t>
        </is>
      </c>
      <c r="S5" s="258" t="inlineStr">
        <is>
          <t>May</t>
        </is>
      </c>
      <c r="T5" s="258" t="inlineStr">
        <is>
          <t>Jun</t>
        </is>
      </c>
      <c r="U5" s="258" t="inlineStr">
        <is>
          <t>Jul</t>
        </is>
      </c>
      <c r="V5" s="258" t="inlineStr">
        <is>
          <t>Aug</t>
        </is>
      </c>
      <c r="W5" s="258" t="inlineStr">
        <is>
          <t>Sep</t>
        </is>
      </c>
      <c r="X5" s="258" t="inlineStr">
        <is>
          <t>Oct</t>
        </is>
      </c>
      <c r="Y5" s="258" t="inlineStr">
        <is>
          <t>Nov</t>
        </is>
      </c>
      <c r="Z5" s="258" t="inlineStr">
        <is>
          <t>Dec</t>
        </is>
      </c>
      <c r="AA5" s="258" t="inlineStr">
        <is>
          <t>Y2 Total</t>
        </is>
      </c>
      <c r="AB5" s="275" t="inlineStr">
        <is>
          <t>Jan</t>
        </is>
      </c>
      <c r="AC5" s="275" t="inlineStr">
        <is>
          <t>Feb</t>
        </is>
      </c>
      <c r="AD5" s="275" t="inlineStr">
        <is>
          <t>Mar</t>
        </is>
      </c>
      <c r="AE5" s="275" t="inlineStr">
        <is>
          <t>Apr</t>
        </is>
      </c>
      <c r="AF5" s="275" t="inlineStr">
        <is>
          <t>May</t>
        </is>
      </c>
      <c r="AG5" s="275" t="inlineStr">
        <is>
          <t>Jun</t>
        </is>
      </c>
      <c r="AH5" s="275" t="inlineStr">
        <is>
          <t>Jul</t>
        </is>
      </c>
      <c r="AI5" s="275" t="inlineStr">
        <is>
          <t>Aug</t>
        </is>
      </c>
      <c r="AJ5" s="275" t="inlineStr">
        <is>
          <t>Sep</t>
        </is>
      </c>
      <c r="AK5" s="275" t="inlineStr">
        <is>
          <t>Oct</t>
        </is>
      </c>
      <c r="AL5" s="275" t="inlineStr">
        <is>
          <t>Nov</t>
        </is>
      </c>
      <c r="AM5" s="275" t="inlineStr">
        <is>
          <t>Dec</t>
        </is>
      </c>
      <c r="AN5" s="275" t="inlineStr">
        <is>
          <t>Y3 Total</t>
        </is>
      </c>
      <c r="AO5" s="275" t="inlineStr">
        <is>
          <t>Jan</t>
        </is>
      </c>
      <c r="AP5" s="275" t="inlineStr">
        <is>
          <t>Feb</t>
        </is>
      </c>
      <c r="AQ5" s="275" t="inlineStr">
        <is>
          <t>Mar</t>
        </is>
      </c>
      <c r="AR5" s="275" t="inlineStr">
        <is>
          <t>Apr</t>
        </is>
      </c>
      <c r="AS5" s="275" t="inlineStr">
        <is>
          <t>May</t>
        </is>
      </c>
      <c r="AT5" s="275" t="inlineStr">
        <is>
          <t>Jun</t>
        </is>
      </c>
      <c r="AU5" s="275" t="inlineStr">
        <is>
          <t>Jul</t>
        </is>
      </c>
      <c r="AV5" s="275" t="inlineStr">
        <is>
          <t>Aug</t>
        </is>
      </c>
      <c r="AW5" s="275" t="inlineStr">
        <is>
          <t>Sep</t>
        </is>
      </c>
      <c r="AX5" s="275" t="inlineStr">
        <is>
          <t>Oct</t>
        </is>
      </c>
      <c r="AY5" s="275" t="inlineStr">
        <is>
          <t>Nov</t>
        </is>
      </c>
      <c r="AZ5" s="275" t="inlineStr">
        <is>
          <t>Dec</t>
        </is>
      </c>
      <c r="BA5" s="275" t="inlineStr">
        <is>
          <t>Y4 Total</t>
        </is>
      </c>
      <c r="BB5" s="275" t="inlineStr">
        <is>
          <t>Jan</t>
        </is>
      </c>
      <c r="BC5" s="275" t="inlineStr">
        <is>
          <t>Feb</t>
        </is>
      </c>
      <c r="BD5" s="275" t="inlineStr">
        <is>
          <t>Mar</t>
        </is>
      </c>
      <c r="BE5" s="275" t="inlineStr">
        <is>
          <t>Apr</t>
        </is>
      </c>
      <c r="BF5" s="275" t="inlineStr">
        <is>
          <t>May</t>
        </is>
      </c>
      <c r="BG5" s="275" t="inlineStr">
        <is>
          <t>Jun</t>
        </is>
      </c>
      <c r="BH5" s="275" t="inlineStr">
        <is>
          <t>Jul</t>
        </is>
      </c>
      <c r="BI5" s="275" t="inlineStr">
        <is>
          <t>Aug</t>
        </is>
      </c>
      <c r="BJ5" s="275" t="inlineStr">
        <is>
          <t>Sep</t>
        </is>
      </c>
      <c r="BK5" s="275" t="inlineStr">
        <is>
          <t>Oct</t>
        </is>
      </c>
      <c r="BL5" s="275" t="inlineStr">
        <is>
          <t>Nov</t>
        </is>
      </c>
      <c r="BM5" s="275" t="inlineStr">
        <is>
          <t>Dec</t>
        </is>
      </c>
      <c r="BN5" s="275" t="inlineStr">
        <is>
          <t>Y5 Total</t>
        </is>
      </c>
    </row>
    <row r="6" ht="19.5" customHeight="1" s="218">
      <c r="A6" s="276" t="inlineStr">
        <is>
          <t>MARKETPLACE — BUYERS &amp; SELLERS</t>
        </is>
      </c>
    </row>
    <row r="7" ht="18" customHeight="1" s="218">
      <c r="A7" s="235" t="inlineStr">
        <is>
          <t xml:space="preserve">  New Buyers Added</t>
        </is>
      </c>
      <c r="B7" s="277">
        <f>IFERROR(ASSUMPTIONS!$B$12,0)</f>
        <v/>
      </c>
      <c r="C7" s="277">
        <f>IFERROR(ROUND(B7*(1+ASSUMPTIONS!$B$13),0),0)</f>
        <v/>
      </c>
      <c r="D7" s="277">
        <f>IFERROR(ROUND(C7*(1+ASSUMPTIONS!$B$13),0),0)</f>
        <v/>
      </c>
      <c r="E7" s="277">
        <f>IFERROR(ROUND(D7*(1+ASSUMPTIONS!$B$13),0),0)</f>
        <v/>
      </c>
      <c r="F7" s="277">
        <f>IFERROR(ROUND(E7*(1+ASSUMPTIONS!$B$13),0),0)</f>
        <v/>
      </c>
      <c r="G7" s="277">
        <f>IFERROR(ROUND(F7*(1+ASSUMPTIONS!$B$13),0),0)</f>
        <v/>
      </c>
      <c r="H7" s="277">
        <f>IFERROR(ROUND(G7*(1+ASSUMPTIONS!$B$13),0),0)</f>
        <v/>
      </c>
      <c r="I7" s="277">
        <f>IFERROR(ROUND(H7*(1+ASSUMPTIONS!$B$13),0),0)</f>
        <v/>
      </c>
      <c r="J7" s="277">
        <f>IFERROR(ROUND(I7*(1+ASSUMPTIONS!$B$13),0),0)</f>
        <v/>
      </c>
      <c r="K7" s="277">
        <f>IFERROR(ROUND(J7*(1+ASSUMPTIONS!$B$13),0),0)</f>
        <v/>
      </c>
      <c r="L7" s="277">
        <f>IFERROR(ROUND(K7*(1+ASSUMPTIONS!$B$13),0),0)</f>
        <v/>
      </c>
      <c r="M7" s="277">
        <f>IFERROR(ROUND(L7*(1+ASSUMPTIONS!$B$13),0),0)</f>
        <v/>
      </c>
      <c r="N7" s="278">
        <f>SUM(B7:M7)</f>
        <v/>
      </c>
      <c r="O7" s="277">
        <f>IFERROR(ROUND(M7*(1+ASSUMPTIONS!$C$13),0),0)</f>
        <v/>
      </c>
      <c r="P7" s="277">
        <f>IFERROR(ROUND(O7*(1+ASSUMPTIONS!$C$13),0),0)</f>
        <v/>
      </c>
      <c r="Q7" s="277">
        <f>IFERROR(ROUND(P7*(1+ASSUMPTIONS!$C$13),0),0)</f>
        <v/>
      </c>
      <c r="R7" s="277">
        <f>IFERROR(ROUND(Q7*(1+ASSUMPTIONS!$C$13),0),0)</f>
        <v/>
      </c>
      <c r="S7" s="277">
        <f>IFERROR(ROUND(R7*(1+ASSUMPTIONS!$C$13),0),0)</f>
        <v/>
      </c>
      <c r="T7" s="277">
        <f>IFERROR(ROUND(S7*(1+ASSUMPTIONS!$C$13),0),0)</f>
        <v/>
      </c>
      <c r="U7" s="277">
        <f>IFERROR(ROUND(T7*(1+ASSUMPTIONS!$C$13),0),0)</f>
        <v/>
      </c>
      <c r="V7" s="277">
        <f>IFERROR(ROUND(U7*(1+ASSUMPTIONS!$C$13),0),0)</f>
        <v/>
      </c>
      <c r="W7" s="277">
        <f>IFERROR(ROUND(V7*(1+ASSUMPTIONS!$C$13),0),0)</f>
        <v/>
      </c>
      <c r="X7" s="277">
        <f>IFERROR(ROUND(W7*(1+ASSUMPTIONS!$C$13),0),0)</f>
        <v/>
      </c>
      <c r="Y7" s="277">
        <f>IFERROR(ROUND(X7*(1+ASSUMPTIONS!$C$13),0),0)</f>
        <v/>
      </c>
      <c r="Z7" s="277">
        <f>IFERROR(ROUND(Y7*(1+ASSUMPTIONS!$C$13),0),0)</f>
        <v/>
      </c>
      <c r="AA7" s="278">
        <f>SUM(O7:Z7)</f>
        <v/>
      </c>
      <c r="AB7" s="277">
        <f>IFERROR(ROUND(Z7*(1+ASSUMPTIONS!$D$13),0),0)</f>
        <v/>
      </c>
      <c r="AC7" s="277">
        <f>IFERROR(ROUND(AB7*(1+ASSUMPTIONS!$D$13),0),0)</f>
        <v/>
      </c>
      <c r="AD7" s="277">
        <f>IFERROR(ROUND(AC7*(1+ASSUMPTIONS!$D$13),0),0)</f>
        <v/>
      </c>
      <c r="AE7" s="277">
        <f>IFERROR(ROUND(AD7*(1+ASSUMPTIONS!$D$13),0),0)</f>
        <v/>
      </c>
      <c r="AF7" s="277">
        <f>IFERROR(ROUND(AE7*(1+ASSUMPTIONS!$D$13),0),0)</f>
        <v/>
      </c>
      <c r="AG7" s="277">
        <f>IFERROR(ROUND(AF7*(1+ASSUMPTIONS!$D$13),0),0)</f>
        <v/>
      </c>
      <c r="AH7" s="277">
        <f>IFERROR(ROUND(AG7*(1+ASSUMPTIONS!$D$13),0),0)</f>
        <v/>
      </c>
      <c r="AI7" s="277">
        <f>IFERROR(ROUND(AH7*(1+ASSUMPTIONS!$D$13),0),0)</f>
        <v/>
      </c>
      <c r="AJ7" s="277">
        <f>IFERROR(ROUND(AI7*(1+ASSUMPTIONS!$D$13),0),0)</f>
        <v/>
      </c>
      <c r="AK7" s="277">
        <f>IFERROR(ROUND(AJ7*(1+ASSUMPTIONS!$D$13),0),0)</f>
        <v/>
      </c>
      <c r="AL7" s="277">
        <f>IFERROR(ROUND(AK7*(1+ASSUMPTIONS!$D$13),0),0)</f>
        <v/>
      </c>
      <c r="AM7" s="277">
        <f>IFERROR(ROUND(AL7*(1+ASSUMPTIONS!$D$13),0),0)</f>
        <v/>
      </c>
      <c r="AN7" s="278">
        <f>SUM(AB7:AM7)</f>
        <v/>
      </c>
      <c r="AO7" s="277">
        <f>IFERROR(ROUND(AM7*(1+ASSUMPTIONS!$E$13),0),0)</f>
        <v/>
      </c>
      <c r="AP7" s="277">
        <f>IFERROR(ROUND(AO7*(1+ASSUMPTIONS!$E$13),0),0)</f>
        <v/>
      </c>
      <c r="AQ7" s="277">
        <f>IFERROR(ROUND(AP7*(1+ASSUMPTIONS!$E$13),0),0)</f>
        <v/>
      </c>
      <c r="AR7" s="277">
        <f>IFERROR(ROUND(AQ7*(1+ASSUMPTIONS!$E$13),0),0)</f>
        <v/>
      </c>
      <c r="AS7" s="277">
        <f>IFERROR(ROUND(AR7*(1+ASSUMPTIONS!$E$13),0),0)</f>
        <v/>
      </c>
      <c r="AT7" s="277">
        <f>IFERROR(ROUND(AS7*(1+ASSUMPTIONS!$E$13),0),0)</f>
        <v/>
      </c>
      <c r="AU7" s="277">
        <f>IFERROR(ROUND(AT7*(1+ASSUMPTIONS!$E$13),0),0)</f>
        <v/>
      </c>
      <c r="AV7" s="277">
        <f>IFERROR(ROUND(AU7*(1+ASSUMPTIONS!$E$13),0),0)</f>
        <v/>
      </c>
      <c r="AW7" s="277">
        <f>IFERROR(ROUND(AV7*(1+ASSUMPTIONS!$E$13),0),0)</f>
        <v/>
      </c>
      <c r="AX7" s="277">
        <f>IFERROR(ROUND(AW7*(1+ASSUMPTIONS!$E$13),0),0)</f>
        <v/>
      </c>
      <c r="AY7" s="277">
        <f>IFERROR(ROUND(AX7*(1+ASSUMPTIONS!$E$13),0),0)</f>
        <v/>
      </c>
      <c r="AZ7" s="277">
        <f>IFERROR(ROUND(AY7*(1+ASSUMPTIONS!$E$13),0),0)</f>
        <v/>
      </c>
      <c r="BA7" s="279">
        <f>SUM(AO7:AZ7)</f>
        <v/>
      </c>
      <c r="BB7" s="277">
        <f>IFERROR(ROUND(AZ7*(1+ASSUMPTIONS!$F$13),0),0)</f>
        <v/>
      </c>
      <c r="BC7" s="277">
        <f>IFERROR(ROUND(BB7*(1+ASSUMPTIONS!$F$13),0),0)</f>
        <v/>
      </c>
      <c r="BD7" s="277">
        <f>IFERROR(ROUND(BC7*(1+ASSUMPTIONS!$F$13),0),0)</f>
        <v/>
      </c>
      <c r="BE7" s="277">
        <f>IFERROR(ROUND(BD7*(1+ASSUMPTIONS!$F$13),0),0)</f>
        <v/>
      </c>
      <c r="BF7" s="277">
        <f>IFERROR(ROUND(BE7*(1+ASSUMPTIONS!$F$13),0),0)</f>
        <v/>
      </c>
      <c r="BG7" s="277">
        <f>IFERROR(ROUND(BF7*(1+ASSUMPTIONS!$F$13),0),0)</f>
        <v/>
      </c>
      <c r="BH7" s="277">
        <f>IFERROR(ROUND(BG7*(1+ASSUMPTIONS!$F$13),0),0)</f>
        <v/>
      </c>
      <c r="BI7" s="277">
        <f>IFERROR(ROUND(BH7*(1+ASSUMPTIONS!$F$13),0),0)</f>
        <v/>
      </c>
      <c r="BJ7" s="277">
        <f>IFERROR(ROUND(BI7*(1+ASSUMPTIONS!$F$13),0),0)</f>
        <v/>
      </c>
      <c r="BK7" s="277">
        <f>IFERROR(ROUND(BJ7*(1+ASSUMPTIONS!$F$13),0),0)</f>
        <v/>
      </c>
      <c r="BL7" s="277">
        <f>IFERROR(ROUND(BK7*(1+ASSUMPTIONS!$F$13),0),0)</f>
        <v/>
      </c>
      <c r="BM7" s="277">
        <f>IFERROR(ROUND(BL7*(1+ASSUMPTIONS!$F$13),0),0)</f>
        <v/>
      </c>
      <c r="BN7" s="279">
        <f>SUM(BB7:BM7)</f>
        <v/>
      </c>
    </row>
    <row r="8" ht="18" customHeight="1" s="218">
      <c r="A8" s="238" t="inlineStr">
        <is>
          <t xml:space="preserve">  Buyers Churned</t>
        </is>
      </c>
      <c r="B8" s="280">
        <f>IFERROR(ROUND(ASSUMPTIONS!$B$11*ASSUMPTIONS!$B$14,0),0)</f>
        <v/>
      </c>
      <c r="C8" s="280">
        <f>IFERROR(ROUND(B9*ASSUMPTIONS!$B$14,0),0)</f>
        <v/>
      </c>
      <c r="D8" s="280">
        <f>IFERROR(ROUND(C9*ASSUMPTIONS!$B$14,0),0)</f>
        <v/>
      </c>
      <c r="E8" s="280">
        <f>IFERROR(ROUND(D9*ASSUMPTIONS!$B$14,0),0)</f>
        <v/>
      </c>
      <c r="F8" s="280">
        <f>IFERROR(ROUND(E9*ASSUMPTIONS!$B$14,0),0)</f>
        <v/>
      </c>
      <c r="G8" s="280">
        <f>IFERROR(ROUND(F9*ASSUMPTIONS!$B$14,0),0)</f>
        <v/>
      </c>
      <c r="H8" s="280">
        <f>IFERROR(ROUND(G9*ASSUMPTIONS!$B$14,0),0)</f>
        <v/>
      </c>
      <c r="I8" s="280">
        <f>IFERROR(ROUND(H9*ASSUMPTIONS!$B$14,0),0)</f>
        <v/>
      </c>
      <c r="J8" s="280">
        <f>IFERROR(ROUND(I9*ASSUMPTIONS!$B$14,0),0)</f>
        <v/>
      </c>
      <c r="K8" s="280">
        <f>IFERROR(ROUND(J9*ASSUMPTIONS!$B$14,0),0)</f>
        <v/>
      </c>
      <c r="L8" s="280">
        <f>IFERROR(ROUND(K9*ASSUMPTIONS!$B$14,0),0)</f>
        <v/>
      </c>
      <c r="M8" s="280">
        <f>IFERROR(ROUND(L9*ASSUMPTIONS!$B$14,0),0)</f>
        <v/>
      </c>
      <c r="N8" s="281">
        <f>SUM(B8:M8)</f>
        <v/>
      </c>
      <c r="O8" s="280">
        <f>IFERROR(ROUND(M9*ASSUMPTIONS!$C$14,0),0)</f>
        <v/>
      </c>
      <c r="P8" s="280">
        <f>IFERROR(ROUND(O9*ASSUMPTIONS!$C$14,0),0)</f>
        <v/>
      </c>
      <c r="Q8" s="280">
        <f>IFERROR(ROUND(P9*ASSUMPTIONS!$C$14,0),0)</f>
        <v/>
      </c>
      <c r="R8" s="280">
        <f>IFERROR(ROUND(Q9*ASSUMPTIONS!$C$14,0),0)</f>
        <v/>
      </c>
      <c r="S8" s="280">
        <f>IFERROR(ROUND(R9*ASSUMPTIONS!$C$14,0),0)</f>
        <v/>
      </c>
      <c r="T8" s="280">
        <f>IFERROR(ROUND(S9*ASSUMPTIONS!$C$14,0),0)</f>
        <v/>
      </c>
      <c r="U8" s="280">
        <f>IFERROR(ROUND(T9*ASSUMPTIONS!$C$14,0),0)</f>
        <v/>
      </c>
      <c r="V8" s="280">
        <f>IFERROR(ROUND(U9*ASSUMPTIONS!$C$14,0),0)</f>
        <v/>
      </c>
      <c r="W8" s="280">
        <f>IFERROR(ROUND(V9*ASSUMPTIONS!$C$14,0),0)</f>
        <v/>
      </c>
      <c r="X8" s="280">
        <f>IFERROR(ROUND(W9*ASSUMPTIONS!$C$14,0),0)</f>
        <v/>
      </c>
      <c r="Y8" s="280">
        <f>IFERROR(ROUND(X9*ASSUMPTIONS!$C$14,0),0)</f>
        <v/>
      </c>
      <c r="Z8" s="280">
        <f>IFERROR(ROUND(Y9*ASSUMPTIONS!$C$14,0),0)</f>
        <v/>
      </c>
      <c r="AA8" s="281">
        <f>SUM(O8:Z8)</f>
        <v/>
      </c>
      <c r="AB8" s="280">
        <f>IFERROR(ROUND(Z9*ASSUMPTIONS!$D$14,0),0)</f>
        <v/>
      </c>
      <c r="AC8" s="280">
        <f>IFERROR(ROUND(AB9*ASSUMPTIONS!$D$14,0),0)</f>
        <v/>
      </c>
      <c r="AD8" s="280">
        <f>IFERROR(ROUND(AC9*ASSUMPTIONS!$D$14,0),0)</f>
        <v/>
      </c>
      <c r="AE8" s="280">
        <f>IFERROR(ROUND(AD9*ASSUMPTIONS!$D$14,0),0)</f>
        <v/>
      </c>
      <c r="AF8" s="280">
        <f>IFERROR(ROUND(AE9*ASSUMPTIONS!$D$14,0),0)</f>
        <v/>
      </c>
      <c r="AG8" s="280">
        <f>IFERROR(ROUND(AF9*ASSUMPTIONS!$D$14,0),0)</f>
        <v/>
      </c>
      <c r="AH8" s="280">
        <f>IFERROR(ROUND(AG9*ASSUMPTIONS!$D$14,0),0)</f>
        <v/>
      </c>
      <c r="AI8" s="280">
        <f>IFERROR(ROUND(AH9*ASSUMPTIONS!$D$14,0),0)</f>
        <v/>
      </c>
      <c r="AJ8" s="280">
        <f>IFERROR(ROUND(AI9*ASSUMPTIONS!$D$14,0),0)</f>
        <v/>
      </c>
      <c r="AK8" s="280">
        <f>IFERROR(ROUND(AJ9*ASSUMPTIONS!$D$14,0),0)</f>
        <v/>
      </c>
      <c r="AL8" s="280">
        <f>IFERROR(ROUND(AK9*ASSUMPTIONS!$D$14,0),0)</f>
        <v/>
      </c>
      <c r="AM8" s="280">
        <f>IFERROR(ROUND(AL9*ASSUMPTIONS!$D$14,0),0)</f>
        <v/>
      </c>
      <c r="AN8" s="281">
        <f>SUM(AB8:AM8)</f>
        <v/>
      </c>
      <c r="AO8" s="280">
        <f>IFERROR(ROUND(AM9*ASSUMPTIONS!$E$14,0),0)</f>
        <v/>
      </c>
      <c r="AP8" s="280">
        <f>IFERROR(ROUND(AO9*ASSUMPTIONS!$E$14,0),0)</f>
        <v/>
      </c>
      <c r="AQ8" s="280">
        <f>IFERROR(ROUND(AP9*ASSUMPTIONS!$E$14,0),0)</f>
        <v/>
      </c>
      <c r="AR8" s="280">
        <f>IFERROR(ROUND(AQ9*ASSUMPTIONS!$E$14,0),0)</f>
        <v/>
      </c>
      <c r="AS8" s="280">
        <f>IFERROR(ROUND(AR9*ASSUMPTIONS!$E$14,0),0)</f>
        <v/>
      </c>
      <c r="AT8" s="280">
        <f>IFERROR(ROUND(AS9*ASSUMPTIONS!$E$14,0),0)</f>
        <v/>
      </c>
      <c r="AU8" s="280">
        <f>IFERROR(ROUND(AT9*ASSUMPTIONS!$E$14,0),0)</f>
        <v/>
      </c>
      <c r="AV8" s="280">
        <f>IFERROR(ROUND(AU9*ASSUMPTIONS!$E$14,0),0)</f>
        <v/>
      </c>
      <c r="AW8" s="280">
        <f>IFERROR(ROUND(AV9*ASSUMPTIONS!$E$14,0),0)</f>
        <v/>
      </c>
      <c r="AX8" s="280">
        <f>IFERROR(ROUND(AW9*ASSUMPTIONS!$E$14,0),0)</f>
        <v/>
      </c>
      <c r="AY8" s="280">
        <f>IFERROR(ROUND(AX9*ASSUMPTIONS!$E$14,0),0)</f>
        <v/>
      </c>
      <c r="AZ8" s="280">
        <f>IFERROR(ROUND(AY9*ASSUMPTIONS!$E$14,0),0)</f>
        <v/>
      </c>
      <c r="BA8" s="279">
        <f>SUM(AO8:AZ8)</f>
        <v/>
      </c>
      <c r="BB8" s="280">
        <f>IFERROR(ROUND(AZ9*ASSUMPTIONS!$F$14,0),0)</f>
        <v/>
      </c>
      <c r="BC8" s="280">
        <f>IFERROR(ROUND(BB9*ASSUMPTIONS!$F$14,0),0)</f>
        <v/>
      </c>
      <c r="BD8" s="280">
        <f>IFERROR(ROUND(BC9*ASSUMPTIONS!$F$14,0),0)</f>
        <v/>
      </c>
      <c r="BE8" s="280">
        <f>IFERROR(ROUND(BD9*ASSUMPTIONS!$F$14,0),0)</f>
        <v/>
      </c>
      <c r="BF8" s="280">
        <f>IFERROR(ROUND(BE9*ASSUMPTIONS!$F$14,0),0)</f>
        <v/>
      </c>
      <c r="BG8" s="280">
        <f>IFERROR(ROUND(BF9*ASSUMPTIONS!$F$14,0),0)</f>
        <v/>
      </c>
      <c r="BH8" s="280">
        <f>IFERROR(ROUND(BG9*ASSUMPTIONS!$F$14,0),0)</f>
        <v/>
      </c>
      <c r="BI8" s="280">
        <f>IFERROR(ROUND(BH9*ASSUMPTIONS!$F$14,0),0)</f>
        <v/>
      </c>
      <c r="BJ8" s="280">
        <f>IFERROR(ROUND(BI9*ASSUMPTIONS!$F$14,0),0)</f>
        <v/>
      </c>
      <c r="BK8" s="280">
        <f>IFERROR(ROUND(BJ9*ASSUMPTIONS!$F$14,0),0)</f>
        <v/>
      </c>
      <c r="BL8" s="280">
        <f>IFERROR(ROUND(BK9*ASSUMPTIONS!$F$14,0),0)</f>
        <v/>
      </c>
      <c r="BM8" s="280">
        <f>IFERROR(ROUND(BL9*ASSUMPTIONS!$F$14,0),0)</f>
        <v/>
      </c>
      <c r="BN8" s="279">
        <f>SUM(BB8:BM8)</f>
        <v/>
      </c>
    </row>
    <row r="9" ht="18" customHeight="1" s="218">
      <c r="A9" s="282" t="inlineStr">
        <is>
          <t xml:space="preserve">  Active Buyers — End of Month</t>
        </is>
      </c>
      <c r="B9" s="283">
        <f>IFERROR(MAX(0,ASSUMPTIONS!$B$11+B7-B8),0)</f>
        <v/>
      </c>
      <c r="C9" s="283">
        <f>IFERROR(MAX(0,B9+C7-C8),0)</f>
        <v/>
      </c>
      <c r="D9" s="283">
        <f>IFERROR(MAX(0,C9+D7-D8),0)</f>
        <v/>
      </c>
      <c r="E9" s="283">
        <f>IFERROR(MAX(0,D9+E7-E8),0)</f>
        <v/>
      </c>
      <c r="F9" s="283">
        <f>IFERROR(MAX(0,E9+F7-F8),0)</f>
        <v/>
      </c>
      <c r="G9" s="283">
        <f>IFERROR(MAX(0,F9+G7-G8),0)</f>
        <v/>
      </c>
      <c r="H9" s="283">
        <f>IFERROR(MAX(0,G9+H7-H8),0)</f>
        <v/>
      </c>
      <c r="I9" s="283">
        <f>IFERROR(MAX(0,H9+I7-I8),0)</f>
        <v/>
      </c>
      <c r="J9" s="283">
        <f>IFERROR(MAX(0,I9+J7-J8),0)</f>
        <v/>
      </c>
      <c r="K9" s="283">
        <f>IFERROR(MAX(0,J9+K7-K8),0)</f>
        <v/>
      </c>
      <c r="L9" s="283">
        <f>IFERROR(MAX(0,K9+L7-L8),0)</f>
        <v/>
      </c>
      <c r="M9" s="283">
        <f>IFERROR(MAX(0,L9+M7-M8),0)</f>
        <v/>
      </c>
      <c r="N9" s="284">
        <f>M9</f>
        <v/>
      </c>
      <c r="O9" s="283">
        <f>IFERROR(MAX(0,M9+O7-O8),0)</f>
        <v/>
      </c>
      <c r="P9" s="283">
        <f>IFERROR(MAX(0,O9+P7-P8),0)</f>
        <v/>
      </c>
      <c r="Q9" s="283">
        <f>IFERROR(MAX(0,P9+Q7-Q8),0)</f>
        <v/>
      </c>
      <c r="R9" s="283">
        <f>IFERROR(MAX(0,Q9+R7-R8),0)</f>
        <v/>
      </c>
      <c r="S9" s="283">
        <f>IFERROR(MAX(0,R9+S7-S8),0)</f>
        <v/>
      </c>
      <c r="T9" s="283">
        <f>IFERROR(MAX(0,S9+T7-T8),0)</f>
        <v/>
      </c>
      <c r="U9" s="283">
        <f>IFERROR(MAX(0,T9+U7-U8),0)</f>
        <v/>
      </c>
      <c r="V9" s="283">
        <f>IFERROR(MAX(0,U9+V7-V8),0)</f>
        <v/>
      </c>
      <c r="W9" s="283">
        <f>IFERROR(MAX(0,V9+W7-W8),0)</f>
        <v/>
      </c>
      <c r="X9" s="283">
        <f>IFERROR(MAX(0,W9+X7-X8),0)</f>
        <v/>
      </c>
      <c r="Y9" s="283">
        <f>IFERROR(MAX(0,X9+Y7-Y8),0)</f>
        <v/>
      </c>
      <c r="Z9" s="283">
        <f>IFERROR(MAX(0,Y9+Z7-Z8),0)</f>
        <v/>
      </c>
      <c r="AA9" s="284">
        <f>Z9</f>
        <v/>
      </c>
      <c r="AB9" s="283">
        <f>IFERROR(MAX(0,Z9+AB7-AB8),0)</f>
        <v/>
      </c>
      <c r="AC9" s="283">
        <f>IFERROR(MAX(0,AB9+AC7-AC8),0)</f>
        <v/>
      </c>
      <c r="AD9" s="283">
        <f>IFERROR(MAX(0,AC9+AD7-AD8),0)</f>
        <v/>
      </c>
      <c r="AE9" s="283">
        <f>IFERROR(MAX(0,AD9+AE7-AE8),0)</f>
        <v/>
      </c>
      <c r="AF9" s="283">
        <f>IFERROR(MAX(0,AE9+AF7-AF8),0)</f>
        <v/>
      </c>
      <c r="AG9" s="283">
        <f>IFERROR(MAX(0,AF9+AG7-AG8),0)</f>
        <v/>
      </c>
      <c r="AH9" s="283">
        <f>IFERROR(MAX(0,AG9+AH7-AH8),0)</f>
        <v/>
      </c>
      <c r="AI9" s="283">
        <f>IFERROR(MAX(0,AH9+AI7-AI8),0)</f>
        <v/>
      </c>
      <c r="AJ9" s="283">
        <f>IFERROR(MAX(0,AI9+AJ7-AJ8),0)</f>
        <v/>
      </c>
      <c r="AK9" s="283">
        <f>IFERROR(MAX(0,AJ9+AK7-AK8),0)</f>
        <v/>
      </c>
      <c r="AL9" s="283">
        <f>IFERROR(MAX(0,AK9+AL7-AL8),0)</f>
        <v/>
      </c>
      <c r="AM9" s="283">
        <f>IFERROR(MAX(0,AL9+AM7-AM8),0)</f>
        <v/>
      </c>
      <c r="AN9" s="284">
        <f>AM9</f>
        <v/>
      </c>
      <c r="AO9" s="283">
        <f>IFERROR(MAX(0,AM9+AO7-AO8),0)</f>
        <v/>
      </c>
      <c r="AP9" s="283">
        <f>IFERROR(MAX(0,AO9+AP7-AP8),0)</f>
        <v/>
      </c>
      <c r="AQ9" s="283">
        <f>IFERROR(MAX(0,AP9+AQ7-AQ8),0)</f>
        <v/>
      </c>
      <c r="AR9" s="283">
        <f>IFERROR(MAX(0,AQ9+AR7-AR8),0)</f>
        <v/>
      </c>
      <c r="AS9" s="283">
        <f>IFERROR(MAX(0,AR9+AS7-AS8),0)</f>
        <v/>
      </c>
      <c r="AT9" s="283">
        <f>IFERROR(MAX(0,AS9+AT7-AT8),0)</f>
        <v/>
      </c>
      <c r="AU9" s="283">
        <f>IFERROR(MAX(0,AT9+AU7-AU8),0)</f>
        <v/>
      </c>
      <c r="AV9" s="283">
        <f>IFERROR(MAX(0,AU9+AV7-AV8),0)</f>
        <v/>
      </c>
      <c r="AW9" s="283">
        <f>IFERROR(MAX(0,AV9+AW7-AW8),0)</f>
        <v/>
      </c>
      <c r="AX9" s="283">
        <f>IFERROR(MAX(0,AW9+AX7-AX8),0)</f>
        <v/>
      </c>
      <c r="AY9" s="283">
        <f>IFERROR(MAX(0,AX9+AY7-AY8),0)</f>
        <v/>
      </c>
      <c r="AZ9" s="283">
        <f>IFERROR(MAX(0,AY9+AZ7-AZ8),0)</f>
        <v/>
      </c>
      <c r="BA9" s="279">
        <f>AZ9</f>
        <v/>
      </c>
      <c r="BB9" s="283">
        <f>IFERROR(MAX(0,AZ9+BB7-BB8),0)</f>
        <v/>
      </c>
      <c r="BC9" s="283">
        <f>IFERROR(MAX(0,BB9+BC7-BC8),0)</f>
        <v/>
      </c>
      <c r="BD9" s="283">
        <f>IFERROR(MAX(0,BC9+BD7-BD8),0)</f>
        <v/>
      </c>
      <c r="BE9" s="283">
        <f>IFERROR(MAX(0,BD9+BE7-BE8),0)</f>
        <v/>
      </c>
      <c r="BF9" s="283">
        <f>IFERROR(MAX(0,BE9+BF7-BF8),0)</f>
        <v/>
      </c>
      <c r="BG9" s="283">
        <f>IFERROR(MAX(0,BF9+BG7-BG8),0)</f>
        <v/>
      </c>
      <c r="BH9" s="283">
        <f>IFERROR(MAX(0,BG9+BH7-BH8),0)</f>
        <v/>
      </c>
      <c r="BI9" s="283">
        <f>IFERROR(MAX(0,BH9+BI7-BI8),0)</f>
        <v/>
      </c>
      <c r="BJ9" s="283">
        <f>IFERROR(MAX(0,BI9+BJ7-BJ8),0)</f>
        <v/>
      </c>
      <c r="BK9" s="283">
        <f>IFERROR(MAX(0,BJ9+BK7-BK8),0)</f>
        <v/>
      </c>
      <c r="BL9" s="283">
        <f>IFERROR(MAX(0,BK9+BL7-BL8),0)</f>
        <v/>
      </c>
      <c r="BM9" s="283">
        <f>IFERROR(MAX(0,BL9+BM7-BM8),0)</f>
        <v/>
      </c>
      <c r="BN9" s="279">
        <f>BM9</f>
        <v/>
      </c>
    </row>
    <row r="10" ht="6" customHeight="1" s="218">
      <c r="A10" s="221" t="n"/>
      <c r="B10" s="221" t="n"/>
      <c r="C10" s="221" t="n"/>
      <c r="D10" s="221" t="n"/>
      <c r="E10" s="221" t="n"/>
      <c r="F10" s="221" t="n"/>
      <c r="G10" s="221" t="n"/>
      <c r="H10" s="221" t="n"/>
      <c r="I10" s="221" t="n"/>
      <c r="J10" s="221" t="n"/>
      <c r="K10" s="221" t="n"/>
      <c r="L10" s="221" t="n"/>
      <c r="M10" s="221" t="n"/>
      <c r="N10" s="221" t="n"/>
      <c r="O10" s="221" t="n"/>
      <c r="P10" s="221" t="n"/>
      <c r="Q10" s="221" t="n"/>
      <c r="R10" s="221" t="n"/>
      <c r="S10" s="221" t="n"/>
      <c r="T10" s="221" t="n"/>
      <c r="U10" s="221" t="n"/>
      <c r="V10" s="221" t="n"/>
      <c r="W10" s="221" t="n"/>
      <c r="X10" s="221" t="n"/>
      <c r="Y10" s="221" t="n"/>
      <c r="Z10" s="221" t="n"/>
      <c r="AA10" s="221" t="n"/>
      <c r="AB10" s="221" t="n"/>
      <c r="AC10" s="221" t="n"/>
      <c r="AD10" s="221" t="n"/>
      <c r="AE10" s="221" t="n"/>
      <c r="AF10" s="221" t="n"/>
      <c r="AG10" s="221" t="n"/>
      <c r="AH10" s="221" t="n"/>
      <c r="AI10" s="221" t="n"/>
      <c r="AJ10" s="221" t="n"/>
      <c r="AK10" s="221" t="n"/>
      <c r="AL10" s="221" t="n"/>
      <c r="AM10" s="221" t="n"/>
      <c r="AN10" s="221" t="n"/>
      <c r="AO10" s="221" t="n"/>
      <c r="AP10" s="221" t="n"/>
      <c r="AQ10" s="221" t="n"/>
      <c r="AR10" s="221" t="n"/>
      <c r="AS10" s="221" t="n"/>
      <c r="AT10" s="221" t="n"/>
      <c r="AU10" s="221" t="n"/>
      <c r="AV10" s="221" t="n"/>
      <c r="AW10" s="221" t="n"/>
      <c r="AX10" s="221" t="n"/>
      <c r="AY10" s="221" t="n"/>
      <c r="AZ10" s="221" t="n"/>
      <c r="BA10" s="285" t="n"/>
      <c r="BB10" s="221" t="n"/>
      <c r="BC10" s="221" t="n"/>
      <c r="BD10" s="221" t="n"/>
      <c r="BE10" s="221" t="n"/>
      <c r="BF10" s="221" t="n"/>
      <c r="BG10" s="221" t="n"/>
      <c r="BH10" s="221" t="n"/>
      <c r="BI10" s="221" t="n"/>
      <c r="BJ10" s="221" t="n"/>
      <c r="BK10" s="221" t="n"/>
      <c r="BL10" s="221" t="n"/>
      <c r="BM10" s="221" t="n"/>
      <c r="BN10" s="285" t="n"/>
    </row>
    <row r="11" ht="18" customHeight="1" s="218">
      <c r="A11" s="235" t="inlineStr">
        <is>
          <t xml:space="preserve">  New Sellers Added</t>
        </is>
      </c>
      <c r="B11" s="277">
        <f>IFERROR(ASSUMPTIONS!$B$19,0)</f>
        <v/>
      </c>
      <c r="C11" s="277">
        <f>IFERROR(ROUND(B10*(1+ASSUMPTIONS!$B$20),0),0)</f>
        <v/>
      </c>
      <c r="D11" s="277">
        <f>IFERROR(ROUND(C10*(1+ASSUMPTIONS!$B$20),0),0)</f>
        <v/>
      </c>
      <c r="E11" s="277">
        <f>IFERROR(ROUND(D10*(1+ASSUMPTIONS!$B$20),0),0)</f>
        <v/>
      </c>
      <c r="F11" s="277">
        <f>IFERROR(ROUND(E10*(1+ASSUMPTIONS!$B$20),0),0)</f>
        <v/>
      </c>
      <c r="G11" s="277">
        <f>IFERROR(ROUND(F10*(1+ASSUMPTIONS!$B$20),0),0)</f>
        <v/>
      </c>
      <c r="H11" s="277">
        <f>IFERROR(ROUND(G10*(1+ASSUMPTIONS!$B$20),0),0)</f>
        <v/>
      </c>
      <c r="I11" s="277">
        <f>IFERROR(ROUND(H10*(1+ASSUMPTIONS!$B$20),0),0)</f>
        <v/>
      </c>
      <c r="J11" s="277">
        <f>IFERROR(ROUND(I10*(1+ASSUMPTIONS!$B$20),0),0)</f>
        <v/>
      </c>
      <c r="K11" s="277">
        <f>IFERROR(ROUND(J10*(1+ASSUMPTIONS!$B$20),0),0)</f>
        <v/>
      </c>
      <c r="L11" s="277">
        <f>IFERROR(ROUND(K10*(1+ASSUMPTIONS!$B$20),0),0)</f>
        <v/>
      </c>
      <c r="M11" s="277">
        <f>IFERROR(ROUND(L10*(1+ASSUMPTIONS!$B$20),0),0)</f>
        <v/>
      </c>
      <c r="N11" s="278">
        <f>SUM(B11:M11)</f>
        <v/>
      </c>
      <c r="O11" s="277">
        <f>IFERROR(ROUND(M10*(1+ASSUMPTIONS!$C$20),0),0)</f>
        <v/>
      </c>
      <c r="P11" s="277">
        <f>IFERROR(ROUND(O10*(1+ASSUMPTIONS!$C$20),0),0)</f>
        <v/>
      </c>
      <c r="Q11" s="277">
        <f>IFERROR(ROUND(P10*(1+ASSUMPTIONS!$C$20),0),0)</f>
        <v/>
      </c>
      <c r="R11" s="277">
        <f>IFERROR(ROUND(Q10*(1+ASSUMPTIONS!$C$20),0),0)</f>
        <v/>
      </c>
      <c r="S11" s="277">
        <f>IFERROR(ROUND(R10*(1+ASSUMPTIONS!$C$20),0),0)</f>
        <v/>
      </c>
      <c r="T11" s="277">
        <f>IFERROR(ROUND(S10*(1+ASSUMPTIONS!$C$20),0),0)</f>
        <v/>
      </c>
      <c r="U11" s="277">
        <f>IFERROR(ROUND(T10*(1+ASSUMPTIONS!$C$20),0),0)</f>
        <v/>
      </c>
      <c r="V11" s="277">
        <f>IFERROR(ROUND(U10*(1+ASSUMPTIONS!$C$20),0),0)</f>
        <v/>
      </c>
      <c r="W11" s="277">
        <f>IFERROR(ROUND(V10*(1+ASSUMPTIONS!$C$20),0),0)</f>
        <v/>
      </c>
      <c r="X11" s="277">
        <f>IFERROR(ROUND(W10*(1+ASSUMPTIONS!$C$20),0),0)</f>
        <v/>
      </c>
      <c r="Y11" s="277">
        <f>IFERROR(ROUND(X10*(1+ASSUMPTIONS!$C$20),0),0)</f>
        <v/>
      </c>
      <c r="Z11" s="277">
        <f>IFERROR(ROUND(Y10*(1+ASSUMPTIONS!$C$20),0),0)</f>
        <v/>
      </c>
      <c r="AA11" s="278">
        <f>SUM(O11:Z11)</f>
        <v/>
      </c>
      <c r="AB11" s="277">
        <f>IFERROR(ROUND(Z10*(1+ASSUMPTIONS!$D$20),0),0)</f>
        <v/>
      </c>
      <c r="AC11" s="277">
        <f>IFERROR(ROUND(AB10*(1+ASSUMPTIONS!$D$20),0),0)</f>
        <v/>
      </c>
      <c r="AD11" s="277">
        <f>IFERROR(ROUND(AC10*(1+ASSUMPTIONS!$D$20),0),0)</f>
        <v/>
      </c>
      <c r="AE11" s="277">
        <f>IFERROR(ROUND(AD10*(1+ASSUMPTIONS!$D$20),0),0)</f>
        <v/>
      </c>
      <c r="AF11" s="277">
        <f>IFERROR(ROUND(AE10*(1+ASSUMPTIONS!$D$20),0),0)</f>
        <v/>
      </c>
      <c r="AG11" s="277">
        <f>IFERROR(ROUND(AF10*(1+ASSUMPTIONS!$D$20),0),0)</f>
        <v/>
      </c>
      <c r="AH11" s="277">
        <f>IFERROR(ROUND(AG10*(1+ASSUMPTIONS!$D$20),0),0)</f>
        <v/>
      </c>
      <c r="AI11" s="277">
        <f>IFERROR(ROUND(AH10*(1+ASSUMPTIONS!$D$20),0),0)</f>
        <v/>
      </c>
      <c r="AJ11" s="277">
        <f>IFERROR(ROUND(AI10*(1+ASSUMPTIONS!$D$20),0),0)</f>
        <v/>
      </c>
      <c r="AK11" s="277">
        <f>IFERROR(ROUND(AJ10*(1+ASSUMPTIONS!$D$20),0),0)</f>
        <v/>
      </c>
      <c r="AL11" s="277">
        <f>IFERROR(ROUND(AK10*(1+ASSUMPTIONS!$D$20),0),0)</f>
        <v/>
      </c>
      <c r="AM11" s="277">
        <f>IFERROR(ROUND(AL10*(1+ASSUMPTIONS!$D$20),0),0)</f>
        <v/>
      </c>
      <c r="AN11" s="278">
        <f>SUM(AB11:AM11)</f>
        <v/>
      </c>
      <c r="AO11" s="277">
        <f>IFERROR(ROUND(AM10*(1+ASSUMPTIONS!$E$20),0),0)</f>
        <v/>
      </c>
      <c r="AP11" s="277">
        <f>IFERROR(ROUND(AO10*(1+ASSUMPTIONS!$E$20),0),0)</f>
        <v/>
      </c>
      <c r="AQ11" s="277">
        <f>IFERROR(ROUND(AP10*(1+ASSUMPTIONS!$E$20),0),0)</f>
        <v/>
      </c>
      <c r="AR11" s="277">
        <f>IFERROR(ROUND(AQ10*(1+ASSUMPTIONS!$E$20),0),0)</f>
        <v/>
      </c>
      <c r="AS11" s="277">
        <f>IFERROR(ROUND(AR10*(1+ASSUMPTIONS!$E$20),0),0)</f>
        <v/>
      </c>
      <c r="AT11" s="277">
        <f>IFERROR(ROUND(AS10*(1+ASSUMPTIONS!$E$20),0),0)</f>
        <v/>
      </c>
      <c r="AU11" s="277">
        <f>IFERROR(ROUND(AT10*(1+ASSUMPTIONS!$E$20),0),0)</f>
        <v/>
      </c>
      <c r="AV11" s="277">
        <f>IFERROR(ROUND(AU10*(1+ASSUMPTIONS!$E$20),0),0)</f>
        <v/>
      </c>
      <c r="AW11" s="277">
        <f>IFERROR(ROUND(AV10*(1+ASSUMPTIONS!$E$20),0),0)</f>
        <v/>
      </c>
      <c r="AX11" s="277">
        <f>IFERROR(ROUND(AW10*(1+ASSUMPTIONS!$E$20),0),0)</f>
        <v/>
      </c>
      <c r="AY11" s="277">
        <f>IFERROR(ROUND(AX10*(1+ASSUMPTIONS!$E$20),0),0)</f>
        <v/>
      </c>
      <c r="AZ11" s="277">
        <f>IFERROR(ROUND(AY10*(1+ASSUMPTIONS!$E$20),0),0)</f>
        <v/>
      </c>
      <c r="BA11" s="279">
        <f>SUM(AO11:AZ11)</f>
        <v/>
      </c>
      <c r="BB11" s="277">
        <f>IFERROR(ROUND(AZ10*(1+ASSUMPTIONS!$F$20),0),0)</f>
        <v/>
      </c>
      <c r="BC11" s="277">
        <f>IFERROR(ROUND(BB10*(1+ASSUMPTIONS!$F$20),0),0)</f>
        <v/>
      </c>
      <c r="BD11" s="277">
        <f>IFERROR(ROUND(BC10*(1+ASSUMPTIONS!$F$20),0),0)</f>
        <v/>
      </c>
      <c r="BE11" s="277">
        <f>IFERROR(ROUND(BD10*(1+ASSUMPTIONS!$F$20),0),0)</f>
        <v/>
      </c>
      <c r="BF11" s="277">
        <f>IFERROR(ROUND(BE10*(1+ASSUMPTIONS!$F$20),0),0)</f>
        <v/>
      </c>
      <c r="BG11" s="277">
        <f>IFERROR(ROUND(BF10*(1+ASSUMPTIONS!$F$20),0),0)</f>
        <v/>
      </c>
      <c r="BH11" s="277">
        <f>IFERROR(ROUND(BG10*(1+ASSUMPTIONS!$F$20),0),0)</f>
        <v/>
      </c>
      <c r="BI11" s="277">
        <f>IFERROR(ROUND(BH10*(1+ASSUMPTIONS!$F$20),0),0)</f>
        <v/>
      </c>
      <c r="BJ11" s="277">
        <f>IFERROR(ROUND(BI10*(1+ASSUMPTIONS!$F$20),0),0)</f>
        <v/>
      </c>
      <c r="BK11" s="277">
        <f>IFERROR(ROUND(BJ10*(1+ASSUMPTIONS!$F$20),0),0)</f>
        <v/>
      </c>
      <c r="BL11" s="277">
        <f>IFERROR(ROUND(BK10*(1+ASSUMPTIONS!$F$20),0),0)</f>
        <v/>
      </c>
      <c r="BM11" s="277">
        <f>IFERROR(ROUND(BL10*(1+ASSUMPTIONS!$F$20),0),0)</f>
        <v/>
      </c>
      <c r="BN11" s="279">
        <f>SUM(BB11:BM11)</f>
        <v/>
      </c>
    </row>
    <row r="12" ht="18" customHeight="1" s="218">
      <c r="A12" s="238" t="inlineStr">
        <is>
          <t xml:space="preserve">  Sellers Churned</t>
        </is>
      </c>
      <c r="B12" s="280">
        <f>IFERROR(ROUND(ASSUMPTIONS!$B$18*ASSUMPTIONS!$B$21,0),0)</f>
        <v/>
      </c>
      <c r="C12" s="280">
        <f>IFERROR(ROUND(B12*ASSUMPTIONS!$B$21,0),0)</f>
        <v/>
      </c>
      <c r="D12" s="280">
        <f>IFERROR(ROUND(C12*ASSUMPTIONS!$B$21,0),0)</f>
        <v/>
      </c>
      <c r="E12" s="280">
        <f>IFERROR(ROUND(D12*ASSUMPTIONS!$B$21,0),0)</f>
        <v/>
      </c>
      <c r="F12" s="280">
        <f>IFERROR(ROUND(E12*ASSUMPTIONS!$B$21,0),0)</f>
        <v/>
      </c>
      <c r="G12" s="280">
        <f>IFERROR(ROUND(F12*ASSUMPTIONS!$B$21,0),0)</f>
        <v/>
      </c>
      <c r="H12" s="280">
        <f>IFERROR(ROUND(G12*ASSUMPTIONS!$B$21,0),0)</f>
        <v/>
      </c>
      <c r="I12" s="280">
        <f>IFERROR(ROUND(H12*ASSUMPTIONS!$B$21,0),0)</f>
        <v/>
      </c>
      <c r="J12" s="280">
        <f>IFERROR(ROUND(I12*ASSUMPTIONS!$B$21,0),0)</f>
        <v/>
      </c>
      <c r="K12" s="280">
        <f>IFERROR(ROUND(J12*ASSUMPTIONS!$B$21,0),0)</f>
        <v/>
      </c>
      <c r="L12" s="280">
        <f>IFERROR(ROUND(K12*ASSUMPTIONS!$B$21,0),0)</f>
        <v/>
      </c>
      <c r="M12" s="280">
        <f>IFERROR(ROUND(L12*ASSUMPTIONS!$B$21,0),0)</f>
        <v/>
      </c>
      <c r="N12" s="281">
        <f>SUM(B12:M12)</f>
        <v/>
      </c>
      <c r="O12" s="280">
        <f>IFERROR(ROUND(M12*ASSUMPTIONS!$C$21,0),0)</f>
        <v/>
      </c>
      <c r="P12" s="280">
        <f>IFERROR(ROUND(O12*ASSUMPTIONS!$C$21,0),0)</f>
        <v/>
      </c>
      <c r="Q12" s="280">
        <f>IFERROR(ROUND(P12*ASSUMPTIONS!$C$21,0),0)</f>
        <v/>
      </c>
      <c r="R12" s="280">
        <f>IFERROR(ROUND(Q12*ASSUMPTIONS!$C$21,0),0)</f>
        <v/>
      </c>
      <c r="S12" s="280">
        <f>IFERROR(ROUND(R12*ASSUMPTIONS!$C$21,0),0)</f>
        <v/>
      </c>
      <c r="T12" s="280">
        <f>IFERROR(ROUND(S12*ASSUMPTIONS!$C$21,0),0)</f>
        <v/>
      </c>
      <c r="U12" s="280">
        <f>IFERROR(ROUND(T12*ASSUMPTIONS!$C$21,0),0)</f>
        <v/>
      </c>
      <c r="V12" s="280">
        <f>IFERROR(ROUND(U12*ASSUMPTIONS!$C$21,0),0)</f>
        <v/>
      </c>
      <c r="W12" s="280">
        <f>IFERROR(ROUND(V12*ASSUMPTIONS!$C$21,0),0)</f>
        <v/>
      </c>
      <c r="X12" s="280">
        <f>IFERROR(ROUND(W12*ASSUMPTIONS!$C$21,0),0)</f>
        <v/>
      </c>
      <c r="Y12" s="280">
        <f>IFERROR(ROUND(X12*ASSUMPTIONS!$C$21,0),0)</f>
        <v/>
      </c>
      <c r="Z12" s="280">
        <f>IFERROR(ROUND(Y12*ASSUMPTIONS!$C$21,0),0)</f>
        <v/>
      </c>
      <c r="AA12" s="281">
        <f>SUM(O12:Z12)</f>
        <v/>
      </c>
      <c r="AB12" s="280">
        <f>IFERROR(ROUND(Z12*ASSUMPTIONS!$D$21,0),0)</f>
        <v/>
      </c>
      <c r="AC12" s="280">
        <f>IFERROR(ROUND(AB12*ASSUMPTIONS!$D$21,0),0)</f>
        <v/>
      </c>
      <c r="AD12" s="280">
        <f>IFERROR(ROUND(AC12*ASSUMPTIONS!$D$21,0),0)</f>
        <v/>
      </c>
      <c r="AE12" s="280">
        <f>IFERROR(ROUND(AD12*ASSUMPTIONS!$D$21,0),0)</f>
        <v/>
      </c>
      <c r="AF12" s="280">
        <f>IFERROR(ROUND(AE12*ASSUMPTIONS!$D$21,0),0)</f>
        <v/>
      </c>
      <c r="AG12" s="280">
        <f>IFERROR(ROUND(AF12*ASSUMPTIONS!$D$21,0),0)</f>
        <v/>
      </c>
      <c r="AH12" s="280">
        <f>IFERROR(ROUND(AG12*ASSUMPTIONS!$D$21,0),0)</f>
        <v/>
      </c>
      <c r="AI12" s="280">
        <f>IFERROR(ROUND(AH12*ASSUMPTIONS!$D$21,0),0)</f>
        <v/>
      </c>
      <c r="AJ12" s="280">
        <f>IFERROR(ROUND(AI12*ASSUMPTIONS!$D$21,0),0)</f>
        <v/>
      </c>
      <c r="AK12" s="280">
        <f>IFERROR(ROUND(AJ12*ASSUMPTIONS!$D$21,0),0)</f>
        <v/>
      </c>
      <c r="AL12" s="280">
        <f>IFERROR(ROUND(AK12*ASSUMPTIONS!$D$21,0),0)</f>
        <v/>
      </c>
      <c r="AM12" s="280">
        <f>IFERROR(ROUND(AL12*ASSUMPTIONS!$D$21,0),0)</f>
        <v/>
      </c>
      <c r="AN12" s="281">
        <f>SUM(AB12:AM12)</f>
        <v/>
      </c>
      <c r="AO12" s="280">
        <f>IFERROR(ROUND(AM12*ASSUMPTIONS!$E$21,0),0)</f>
        <v/>
      </c>
      <c r="AP12" s="280">
        <f>IFERROR(ROUND(AO12*ASSUMPTIONS!$E$21,0),0)</f>
        <v/>
      </c>
      <c r="AQ12" s="280">
        <f>IFERROR(ROUND(AP12*ASSUMPTIONS!$E$21,0),0)</f>
        <v/>
      </c>
      <c r="AR12" s="280">
        <f>IFERROR(ROUND(AQ12*ASSUMPTIONS!$E$21,0),0)</f>
        <v/>
      </c>
      <c r="AS12" s="280">
        <f>IFERROR(ROUND(AR12*ASSUMPTIONS!$E$21,0),0)</f>
        <v/>
      </c>
      <c r="AT12" s="280">
        <f>IFERROR(ROUND(AS12*ASSUMPTIONS!$E$21,0),0)</f>
        <v/>
      </c>
      <c r="AU12" s="280">
        <f>IFERROR(ROUND(AT12*ASSUMPTIONS!$E$21,0),0)</f>
        <v/>
      </c>
      <c r="AV12" s="280">
        <f>IFERROR(ROUND(AU12*ASSUMPTIONS!$E$21,0),0)</f>
        <v/>
      </c>
      <c r="AW12" s="280">
        <f>IFERROR(ROUND(AV12*ASSUMPTIONS!$E$21,0),0)</f>
        <v/>
      </c>
      <c r="AX12" s="280">
        <f>IFERROR(ROUND(AW12*ASSUMPTIONS!$E$21,0),0)</f>
        <v/>
      </c>
      <c r="AY12" s="280">
        <f>IFERROR(ROUND(AX12*ASSUMPTIONS!$E$21,0),0)</f>
        <v/>
      </c>
      <c r="AZ12" s="280">
        <f>IFERROR(ROUND(AY12*ASSUMPTIONS!$E$21,0),0)</f>
        <v/>
      </c>
      <c r="BA12" s="279">
        <f>SUM(AO12:AZ12)</f>
        <v/>
      </c>
      <c r="BB12" s="280">
        <f>IFERROR(ROUND(AZ12*ASSUMPTIONS!$F$21,0),0)</f>
        <v/>
      </c>
      <c r="BC12" s="280">
        <f>IFERROR(ROUND(BB12*ASSUMPTIONS!$F$21,0),0)</f>
        <v/>
      </c>
      <c r="BD12" s="280">
        <f>IFERROR(ROUND(BC12*ASSUMPTIONS!$F$21,0),0)</f>
        <v/>
      </c>
      <c r="BE12" s="280">
        <f>IFERROR(ROUND(BD12*ASSUMPTIONS!$F$21,0),0)</f>
        <v/>
      </c>
      <c r="BF12" s="280">
        <f>IFERROR(ROUND(BE12*ASSUMPTIONS!$F$21,0),0)</f>
        <v/>
      </c>
      <c r="BG12" s="280">
        <f>IFERROR(ROUND(BF12*ASSUMPTIONS!$F$21,0),0)</f>
        <v/>
      </c>
      <c r="BH12" s="280">
        <f>IFERROR(ROUND(BG12*ASSUMPTIONS!$F$21,0),0)</f>
        <v/>
      </c>
      <c r="BI12" s="280">
        <f>IFERROR(ROUND(BH12*ASSUMPTIONS!$F$21,0),0)</f>
        <v/>
      </c>
      <c r="BJ12" s="280">
        <f>IFERROR(ROUND(BI12*ASSUMPTIONS!$F$21,0),0)</f>
        <v/>
      </c>
      <c r="BK12" s="280">
        <f>IFERROR(ROUND(BJ12*ASSUMPTIONS!$F$21,0),0)</f>
        <v/>
      </c>
      <c r="BL12" s="280">
        <f>IFERROR(ROUND(BK12*ASSUMPTIONS!$F$21,0),0)</f>
        <v/>
      </c>
      <c r="BM12" s="280">
        <f>IFERROR(ROUND(BL12*ASSUMPTIONS!$F$21,0),0)</f>
        <v/>
      </c>
      <c r="BN12" s="279">
        <f>SUM(BB12:BM12)</f>
        <v/>
      </c>
    </row>
    <row r="13" ht="18" customHeight="1" s="218">
      <c r="A13" s="282" t="inlineStr">
        <is>
          <t xml:space="preserve">  Active Sellers — End of Month</t>
        </is>
      </c>
      <c r="B13" s="283">
        <f>IFERROR(MAX(0,ASSUMPTIONS!$B$18+B10-B11),0)</f>
        <v/>
      </c>
      <c r="C13" s="283">
        <f>IFERROR(MAX(0,B12+C10-C11),0)</f>
        <v/>
      </c>
      <c r="D13" s="283">
        <f>IFERROR(MAX(0,C12+D10-D11),0)</f>
        <v/>
      </c>
      <c r="E13" s="283">
        <f>IFERROR(MAX(0,D12+E10-E11),0)</f>
        <v/>
      </c>
      <c r="F13" s="283">
        <f>IFERROR(MAX(0,E12+F10-F11),0)</f>
        <v/>
      </c>
      <c r="G13" s="283">
        <f>IFERROR(MAX(0,F12+G10-G11),0)</f>
        <v/>
      </c>
      <c r="H13" s="283">
        <f>IFERROR(MAX(0,G12+H10-H11),0)</f>
        <v/>
      </c>
      <c r="I13" s="283">
        <f>IFERROR(MAX(0,H12+I10-I11),0)</f>
        <v/>
      </c>
      <c r="J13" s="283">
        <f>IFERROR(MAX(0,I12+J10-J11),0)</f>
        <v/>
      </c>
      <c r="K13" s="283">
        <f>IFERROR(MAX(0,J12+K10-K11),0)</f>
        <v/>
      </c>
      <c r="L13" s="283">
        <f>IFERROR(MAX(0,K12+L10-L11),0)</f>
        <v/>
      </c>
      <c r="M13" s="283">
        <f>IFERROR(MAX(0,L12+M10-M11),0)</f>
        <v/>
      </c>
      <c r="N13" s="284">
        <f>M13</f>
        <v/>
      </c>
      <c r="O13" s="283">
        <f>IFERROR(MAX(0,M12+O10-O11),0)</f>
        <v/>
      </c>
      <c r="P13" s="283">
        <f>IFERROR(MAX(0,O12+P10-P11),0)</f>
        <v/>
      </c>
      <c r="Q13" s="283">
        <f>IFERROR(MAX(0,P12+Q10-Q11),0)</f>
        <v/>
      </c>
      <c r="R13" s="283">
        <f>IFERROR(MAX(0,Q12+R10-R11),0)</f>
        <v/>
      </c>
      <c r="S13" s="283">
        <f>IFERROR(MAX(0,R12+S10-S11),0)</f>
        <v/>
      </c>
      <c r="T13" s="283">
        <f>IFERROR(MAX(0,S12+T10-T11),0)</f>
        <v/>
      </c>
      <c r="U13" s="283">
        <f>IFERROR(MAX(0,T12+U10-U11),0)</f>
        <v/>
      </c>
      <c r="V13" s="283">
        <f>IFERROR(MAX(0,U12+V10-V11),0)</f>
        <v/>
      </c>
      <c r="W13" s="283">
        <f>IFERROR(MAX(0,V12+W10-W11),0)</f>
        <v/>
      </c>
      <c r="X13" s="283">
        <f>IFERROR(MAX(0,W12+X10-X11),0)</f>
        <v/>
      </c>
      <c r="Y13" s="283">
        <f>IFERROR(MAX(0,X12+Y10-Y11),0)</f>
        <v/>
      </c>
      <c r="Z13" s="283">
        <f>IFERROR(MAX(0,Y12+Z10-Z11),0)</f>
        <v/>
      </c>
      <c r="AA13" s="284">
        <f>Z13</f>
        <v/>
      </c>
      <c r="AB13" s="283">
        <f>IFERROR(MAX(0,Z12+AB10-AB11),0)</f>
        <v/>
      </c>
      <c r="AC13" s="283">
        <f>IFERROR(MAX(0,AB12+AC10-AC11),0)</f>
        <v/>
      </c>
      <c r="AD13" s="283">
        <f>IFERROR(MAX(0,AC12+AD10-AD11),0)</f>
        <v/>
      </c>
      <c r="AE13" s="283">
        <f>IFERROR(MAX(0,AD12+AE10-AE11),0)</f>
        <v/>
      </c>
      <c r="AF13" s="283">
        <f>IFERROR(MAX(0,AE12+AF10-AF11),0)</f>
        <v/>
      </c>
      <c r="AG13" s="283">
        <f>IFERROR(MAX(0,AF12+AG10-AG11),0)</f>
        <v/>
      </c>
      <c r="AH13" s="283">
        <f>IFERROR(MAX(0,AG12+AH10-AH11),0)</f>
        <v/>
      </c>
      <c r="AI13" s="283">
        <f>IFERROR(MAX(0,AH12+AI10-AI11),0)</f>
        <v/>
      </c>
      <c r="AJ13" s="283">
        <f>IFERROR(MAX(0,AI12+AJ10-AJ11),0)</f>
        <v/>
      </c>
      <c r="AK13" s="283">
        <f>IFERROR(MAX(0,AJ12+AK10-AK11),0)</f>
        <v/>
      </c>
      <c r="AL13" s="283">
        <f>IFERROR(MAX(0,AK12+AL10-AL11),0)</f>
        <v/>
      </c>
      <c r="AM13" s="283">
        <f>IFERROR(MAX(0,AL12+AM10-AM11),0)</f>
        <v/>
      </c>
      <c r="AN13" s="284">
        <f>AM13</f>
        <v/>
      </c>
      <c r="AO13" s="283">
        <f>IFERROR(MAX(0,AM12+AO10-AO11),0)</f>
        <v/>
      </c>
      <c r="AP13" s="283">
        <f>IFERROR(MAX(0,AO12+AP10-AP11),0)</f>
        <v/>
      </c>
      <c r="AQ13" s="283">
        <f>IFERROR(MAX(0,AP12+AQ10-AQ11),0)</f>
        <v/>
      </c>
      <c r="AR13" s="283">
        <f>IFERROR(MAX(0,AQ12+AR10-AR11),0)</f>
        <v/>
      </c>
      <c r="AS13" s="283">
        <f>IFERROR(MAX(0,AR12+AS10-AS11),0)</f>
        <v/>
      </c>
      <c r="AT13" s="283">
        <f>IFERROR(MAX(0,AS12+AT10-AT11),0)</f>
        <v/>
      </c>
      <c r="AU13" s="283">
        <f>IFERROR(MAX(0,AT12+AU10-AU11),0)</f>
        <v/>
      </c>
      <c r="AV13" s="283">
        <f>IFERROR(MAX(0,AU12+AV10-AV11),0)</f>
        <v/>
      </c>
      <c r="AW13" s="283">
        <f>IFERROR(MAX(0,AV12+AW10-AW11),0)</f>
        <v/>
      </c>
      <c r="AX13" s="283">
        <f>IFERROR(MAX(0,AW12+AX10-AX11),0)</f>
        <v/>
      </c>
      <c r="AY13" s="283">
        <f>IFERROR(MAX(0,AX12+AY10-AY11),0)</f>
        <v/>
      </c>
      <c r="AZ13" s="283">
        <f>IFERROR(MAX(0,AY12+AZ10-AZ11),0)</f>
        <v/>
      </c>
      <c r="BA13" s="279">
        <f>AZ13</f>
        <v/>
      </c>
      <c r="BB13" s="283">
        <f>IFERROR(MAX(0,AZ12+BB10-BB11),0)</f>
        <v/>
      </c>
      <c r="BC13" s="283">
        <f>IFERROR(MAX(0,BB12+BC10-BC11),0)</f>
        <v/>
      </c>
      <c r="BD13" s="283">
        <f>IFERROR(MAX(0,BC12+BD10-BD11),0)</f>
        <v/>
      </c>
      <c r="BE13" s="283">
        <f>IFERROR(MAX(0,BD12+BE10-BE11),0)</f>
        <v/>
      </c>
      <c r="BF13" s="283">
        <f>IFERROR(MAX(0,BE12+BF10-BF11),0)</f>
        <v/>
      </c>
      <c r="BG13" s="283">
        <f>IFERROR(MAX(0,BF12+BG10-BG11),0)</f>
        <v/>
      </c>
      <c r="BH13" s="283">
        <f>IFERROR(MAX(0,BG12+BH10-BH11),0)</f>
        <v/>
      </c>
      <c r="BI13" s="283">
        <f>IFERROR(MAX(0,BH12+BI10-BI11),0)</f>
        <v/>
      </c>
      <c r="BJ13" s="283">
        <f>IFERROR(MAX(0,BI12+BJ10-BJ11),0)</f>
        <v/>
      </c>
      <c r="BK13" s="283">
        <f>IFERROR(MAX(0,BJ12+BK10-BK11),0)</f>
        <v/>
      </c>
      <c r="BL13" s="283">
        <f>IFERROR(MAX(0,BK12+BL10-BL11),0)</f>
        <v/>
      </c>
      <c r="BM13" s="283">
        <f>IFERROR(MAX(0,BL12+BM10-BM11),0)</f>
        <v/>
      </c>
      <c r="BN13" s="279">
        <f>BM13</f>
        <v/>
      </c>
    </row>
    <row r="14" ht="6" customHeight="1" s="218">
      <c r="A14" s="221" t="n"/>
      <c r="B14" s="221" t="n"/>
      <c r="C14" s="221" t="n"/>
      <c r="D14" s="221" t="n"/>
      <c r="E14" s="221" t="n"/>
      <c r="F14" s="221" t="n"/>
      <c r="G14" s="221" t="n"/>
      <c r="H14" s="221" t="n"/>
      <c r="I14" s="221" t="n"/>
      <c r="J14" s="221" t="n"/>
      <c r="K14" s="221" t="n"/>
      <c r="L14" s="221" t="n"/>
      <c r="M14" s="221" t="n"/>
      <c r="N14" s="221" t="n"/>
      <c r="O14" s="221" t="n"/>
      <c r="P14" s="221" t="n"/>
      <c r="Q14" s="221" t="n"/>
      <c r="R14" s="221" t="n"/>
      <c r="S14" s="221" t="n"/>
      <c r="T14" s="221" t="n"/>
      <c r="U14" s="221" t="n"/>
      <c r="V14" s="221" t="n"/>
      <c r="W14" s="221" t="n"/>
      <c r="X14" s="221" t="n"/>
      <c r="Y14" s="221" t="n"/>
      <c r="Z14" s="221" t="n"/>
      <c r="AA14" s="221" t="n"/>
      <c r="AB14" s="221" t="n"/>
      <c r="AC14" s="221" t="n"/>
      <c r="AD14" s="221" t="n"/>
      <c r="AE14" s="221" t="n"/>
      <c r="AF14" s="221" t="n"/>
      <c r="AG14" s="221" t="n"/>
      <c r="AH14" s="221" t="n"/>
      <c r="AI14" s="221" t="n"/>
      <c r="AJ14" s="221" t="n"/>
      <c r="AK14" s="221" t="n"/>
      <c r="AL14" s="221" t="n"/>
      <c r="AM14" s="221" t="n"/>
      <c r="AN14" s="221" t="n"/>
      <c r="AO14" s="221" t="n"/>
      <c r="AP14" s="221" t="n"/>
      <c r="AQ14" s="221" t="n"/>
      <c r="AR14" s="221" t="n"/>
      <c r="AS14" s="221" t="n"/>
      <c r="AT14" s="221" t="n"/>
      <c r="AU14" s="221" t="n"/>
      <c r="AV14" s="221" t="n"/>
      <c r="AW14" s="221" t="n"/>
      <c r="AX14" s="221" t="n"/>
      <c r="AY14" s="221" t="n"/>
      <c r="AZ14" s="221" t="n"/>
      <c r="BA14" s="285" t="n"/>
      <c r="BB14" s="221" t="n"/>
      <c r="BC14" s="221" t="n"/>
      <c r="BD14" s="221" t="n"/>
      <c r="BE14" s="221" t="n"/>
      <c r="BF14" s="221" t="n"/>
      <c r="BG14" s="221" t="n"/>
      <c r="BH14" s="221" t="n"/>
      <c r="BI14" s="221" t="n"/>
      <c r="BJ14" s="221" t="n"/>
      <c r="BK14" s="221" t="n"/>
      <c r="BL14" s="221" t="n"/>
      <c r="BM14" s="221" t="n"/>
      <c r="BN14" s="285" t="n"/>
    </row>
    <row r="15" ht="19.5" customHeight="1" s="218">
      <c r="A15" s="286" t="inlineStr">
        <is>
          <t>MARKETPLACE REVENUE</t>
        </is>
      </c>
    </row>
    <row r="16" ht="18" customHeight="1" s="218">
      <c r="A16" s="287" t="inlineStr">
        <is>
          <t xml:space="preserve">  Gross Merchandise Value — GMV (£)</t>
        </is>
      </c>
      <c r="B16" s="288">
        <f>IFERROR(B9*ASSUMPTIONS!$B$16*ASSUMPTIONS!$B$15,0)</f>
        <v/>
      </c>
      <c r="C16" s="288">
        <f>IFERROR(C9*ASSUMPTIONS!$B$16*ASSUMPTIONS!$B$15,0)</f>
        <v/>
      </c>
      <c r="D16" s="288">
        <f>IFERROR(D9*ASSUMPTIONS!$B$16*ASSUMPTIONS!$B$15,0)</f>
        <v/>
      </c>
      <c r="E16" s="288">
        <f>IFERROR(E9*ASSUMPTIONS!$B$16*ASSUMPTIONS!$B$15,0)</f>
        <v/>
      </c>
      <c r="F16" s="288">
        <f>IFERROR(F9*ASSUMPTIONS!$B$16*ASSUMPTIONS!$B$15,0)</f>
        <v/>
      </c>
      <c r="G16" s="288">
        <f>IFERROR(G9*ASSUMPTIONS!$B$16*ASSUMPTIONS!$B$15,0)</f>
        <v/>
      </c>
      <c r="H16" s="288">
        <f>IFERROR(H9*ASSUMPTIONS!$B$16*ASSUMPTIONS!$B$15,0)</f>
        <v/>
      </c>
      <c r="I16" s="288">
        <f>IFERROR(I9*ASSUMPTIONS!$B$16*ASSUMPTIONS!$B$15,0)</f>
        <v/>
      </c>
      <c r="J16" s="288">
        <f>IFERROR(J9*ASSUMPTIONS!$B$16*ASSUMPTIONS!$B$15,0)</f>
        <v/>
      </c>
      <c r="K16" s="288">
        <f>IFERROR(K9*ASSUMPTIONS!$B$16*ASSUMPTIONS!$B$15,0)</f>
        <v/>
      </c>
      <c r="L16" s="288">
        <f>IFERROR(L9*ASSUMPTIONS!$B$16*ASSUMPTIONS!$B$15,0)</f>
        <v/>
      </c>
      <c r="M16" s="288">
        <f>IFERROR(M9*ASSUMPTIONS!$B$16*ASSUMPTIONS!$B$15,0)</f>
        <v/>
      </c>
      <c r="N16" s="289">
        <f>SUM(B16:M16)</f>
        <v/>
      </c>
      <c r="O16" s="288">
        <f>IFERROR(O9*ASSUMPTIONS!$C$16*ASSUMPTIONS!$C$15,0)</f>
        <v/>
      </c>
      <c r="P16" s="288">
        <f>IFERROR(P9*ASSUMPTIONS!$C$16*ASSUMPTIONS!$C$15,0)</f>
        <v/>
      </c>
      <c r="Q16" s="288">
        <f>IFERROR(Q9*ASSUMPTIONS!$C$16*ASSUMPTIONS!$C$15,0)</f>
        <v/>
      </c>
      <c r="R16" s="288">
        <f>IFERROR(R9*ASSUMPTIONS!$C$16*ASSUMPTIONS!$C$15,0)</f>
        <v/>
      </c>
      <c r="S16" s="288">
        <f>IFERROR(S9*ASSUMPTIONS!$C$16*ASSUMPTIONS!$C$15,0)</f>
        <v/>
      </c>
      <c r="T16" s="288">
        <f>IFERROR(T9*ASSUMPTIONS!$C$16*ASSUMPTIONS!$C$15,0)</f>
        <v/>
      </c>
      <c r="U16" s="288">
        <f>IFERROR(U9*ASSUMPTIONS!$C$16*ASSUMPTIONS!$C$15,0)</f>
        <v/>
      </c>
      <c r="V16" s="288">
        <f>IFERROR(V9*ASSUMPTIONS!$C$16*ASSUMPTIONS!$C$15,0)</f>
        <v/>
      </c>
      <c r="W16" s="288">
        <f>IFERROR(W9*ASSUMPTIONS!$C$16*ASSUMPTIONS!$C$15,0)</f>
        <v/>
      </c>
      <c r="X16" s="288">
        <f>IFERROR(X9*ASSUMPTIONS!$C$16*ASSUMPTIONS!$C$15,0)</f>
        <v/>
      </c>
      <c r="Y16" s="288">
        <f>IFERROR(Y9*ASSUMPTIONS!$C$16*ASSUMPTIONS!$C$15,0)</f>
        <v/>
      </c>
      <c r="Z16" s="288">
        <f>IFERROR(Z9*ASSUMPTIONS!$C$16*ASSUMPTIONS!$C$15,0)</f>
        <v/>
      </c>
      <c r="AA16" s="289">
        <f>SUM(O16:Z16)</f>
        <v/>
      </c>
      <c r="AB16" s="288">
        <f>IFERROR(AB9*ASSUMPTIONS!$D$16*ASSUMPTIONS!$D$15,0)</f>
        <v/>
      </c>
      <c r="AC16" s="288">
        <f>IFERROR(AC9*ASSUMPTIONS!$D$16*ASSUMPTIONS!$D$15,0)</f>
        <v/>
      </c>
      <c r="AD16" s="288">
        <f>IFERROR(AD9*ASSUMPTIONS!$D$16*ASSUMPTIONS!$D$15,0)</f>
        <v/>
      </c>
      <c r="AE16" s="288">
        <f>IFERROR(AE9*ASSUMPTIONS!$D$16*ASSUMPTIONS!$D$15,0)</f>
        <v/>
      </c>
      <c r="AF16" s="288">
        <f>IFERROR(AF9*ASSUMPTIONS!$D$16*ASSUMPTIONS!$D$15,0)</f>
        <v/>
      </c>
      <c r="AG16" s="288">
        <f>IFERROR(AG9*ASSUMPTIONS!$D$16*ASSUMPTIONS!$D$15,0)</f>
        <v/>
      </c>
      <c r="AH16" s="288">
        <f>IFERROR(AH9*ASSUMPTIONS!$D$16*ASSUMPTIONS!$D$15,0)</f>
        <v/>
      </c>
      <c r="AI16" s="288">
        <f>IFERROR(AI9*ASSUMPTIONS!$D$16*ASSUMPTIONS!$D$15,0)</f>
        <v/>
      </c>
      <c r="AJ16" s="288">
        <f>IFERROR(AJ9*ASSUMPTIONS!$D$16*ASSUMPTIONS!$D$15,0)</f>
        <v/>
      </c>
      <c r="AK16" s="288">
        <f>IFERROR(AK9*ASSUMPTIONS!$D$16*ASSUMPTIONS!$D$15,0)</f>
        <v/>
      </c>
      <c r="AL16" s="288">
        <f>IFERROR(AL9*ASSUMPTIONS!$D$16*ASSUMPTIONS!$D$15,0)</f>
        <v/>
      </c>
      <c r="AM16" s="288">
        <f>IFERROR(AM9*ASSUMPTIONS!$D$16*ASSUMPTIONS!$D$15,0)</f>
        <v/>
      </c>
      <c r="AN16" s="289">
        <f>SUM(AB16:AM16)</f>
        <v/>
      </c>
      <c r="AO16" s="288">
        <f>IFERROR(AO9*ASSUMPTIONS!$E$16*ASSUMPTIONS!$E$15,0)</f>
        <v/>
      </c>
      <c r="AP16" s="288">
        <f>IFERROR(AP9*ASSUMPTIONS!$E$16*ASSUMPTIONS!$E$15,0)</f>
        <v/>
      </c>
      <c r="AQ16" s="288">
        <f>IFERROR(AQ9*ASSUMPTIONS!$E$16*ASSUMPTIONS!$E$15,0)</f>
        <v/>
      </c>
      <c r="AR16" s="288">
        <f>IFERROR(AR9*ASSUMPTIONS!$E$16*ASSUMPTIONS!$E$15,0)</f>
        <v/>
      </c>
      <c r="AS16" s="288">
        <f>IFERROR(AS9*ASSUMPTIONS!$E$16*ASSUMPTIONS!$E$15,0)</f>
        <v/>
      </c>
      <c r="AT16" s="288">
        <f>IFERROR(AT9*ASSUMPTIONS!$E$16*ASSUMPTIONS!$E$15,0)</f>
        <v/>
      </c>
      <c r="AU16" s="288">
        <f>IFERROR(AU9*ASSUMPTIONS!$E$16*ASSUMPTIONS!$E$15,0)</f>
        <v/>
      </c>
      <c r="AV16" s="288">
        <f>IFERROR(AV9*ASSUMPTIONS!$E$16*ASSUMPTIONS!$E$15,0)</f>
        <v/>
      </c>
      <c r="AW16" s="288">
        <f>IFERROR(AW9*ASSUMPTIONS!$E$16*ASSUMPTIONS!$E$15,0)</f>
        <v/>
      </c>
      <c r="AX16" s="288">
        <f>IFERROR(AX9*ASSUMPTIONS!$E$16*ASSUMPTIONS!$E$15,0)</f>
        <v/>
      </c>
      <c r="AY16" s="288">
        <f>IFERROR(AY9*ASSUMPTIONS!$E$16*ASSUMPTIONS!$E$15,0)</f>
        <v/>
      </c>
      <c r="AZ16" s="288">
        <f>IFERROR(AZ9*ASSUMPTIONS!$E$16*ASSUMPTIONS!$E$15,0)</f>
        <v/>
      </c>
      <c r="BA16" s="290">
        <f>SUM(AO16:AZ16)</f>
        <v/>
      </c>
      <c r="BB16" s="288">
        <f>IFERROR(BB9*ASSUMPTIONS!$F$16*ASSUMPTIONS!$F$15,0)</f>
        <v/>
      </c>
      <c r="BC16" s="288">
        <f>IFERROR(BC9*ASSUMPTIONS!$F$16*ASSUMPTIONS!$F$15,0)</f>
        <v/>
      </c>
      <c r="BD16" s="288">
        <f>IFERROR(BD9*ASSUMPTIONS!$F$16*ASSUMPTIONS!$F$15,0)</f>
        <v/>
      </c>
      <c r="BE16" s="288">
        <f>IFERROR(BE9*ASSUMPTIONS!$F$16*ASSUMPTIONS!$F$15,0)</f>
        <v/>
      </c>
      <c r="BF16" s="288">
        <f>IFERROR(BF9*ASSUMPTIONS!$F$16*ASSUMPTIONS!$F$15,0)</f>
        <v/>
      </c>
      <c r="BG16" s="288">
        <f>IFERROR(BG9*ASSUMPTIONS!$F$16*ASSUMPTIONS!$F$15,0)</f>
        <v/>
      </c>
      <c r="BH16" s="288">
        <f>IFERROR(BH9*ASSUMPTIONS!$F$16*ASSUMPTIONS!$F$15,0)</f>
        <v/>
      </c>
      <c r="BI16" s="288">
        <f>IFERROR(BI9*ASSUMPTIONS!$F$16*ASSUMPTIONS!$F$15,0)</f>
        <v/>
      </c>
      <c r="BJ16" s="288">
        <f>IFERROR(BJ9*ASSUMPTIONS!$F$16*ASSUMPTIONS!$F$15,0)</f>
        <v/>
      </c>
      <c r="BK16" s="288">
        <f>IFERROR(BK9*ASSUMPTIONS!$F$16*ASSUMPTIONS!$F$15,0)</f>
        <v/>
      </c>
      <c r="BL16" s="288">
        <f>IFERROR(BL9*ASSUMPTIONS!$F$16*ASSUMPTIONS!$F$15,0)</f>
        <v/>
      </c>
      <c r="BM16" s="288">
        <f>IFERROR(BM9*ASSUMPTIONS!$F$16*ASSUMPTIONS!$F$15,0)</f>
        <v/>
      </c>
      <c r="BN16" s="290">
        <f>SUM(BB16:BM16)</f>
        <v/>
      </c>
    </row>
    <row r="17" ht="18" customHeight="1" s="218">
      <c r="A17" s="291" t="inlineStr">
        <is>
          <t xml:space="preserve">  Transaction Revenue (GMV × Take Rate)</t>
        </is>
      </c>
      <c r="B17" s="292">
        <f>IFERROR(B16*ASSUMPTIONS!$B$17,0)</f>
        <v/>
      </c>
      <c r="C17" s="292">
        <f>IFERROR(C16*ASSUMPTIONS!$B$17,0)</f>
        <v/>
      </c>
      <c r="D17" s="292">
        <f>IFERROR(D16*ASSUMPTIONS!$B$17,0)</f>
        <v/>
      </c>
      <c r="E17" s="292">
        <f>IFERROR(E16*ASSUMPTIONS!$B$17,0)</f>
        <v/>
      </c>
      <c r="F17" s="292">
        <f>IFERROR(F16*ASSUMPTIONS!$B$17,0)</f>
        <v/>
      </c>
      <c r="G17" s="292">
        <f>IFERROR(G16*ASSUMPTIONS!$B$17,0)</f>
        <v/>
      </c>
      <c r="H17" s="292">
        <f>IFERROR(H16*ASSUMPTIONS!$B$17,0)</f>
        <v/>
      </c>
      <c r="I17" s="292">
        <f>IFERROR(I16*ASSUMPTIONS!$B$17,0)</f>
        <v/>
      </c>
      <c r="J17" s="292">
        <f>IFERROR(J16*ASSUMPTIONS!$B$17,0)</f>
        <v/>
      </c>
      <c r="K17" s="292">
        <f>IFERROR(K16*ASSUMPTIONS!$B$17,0)</f>
        <v/>
      </c>
      <c r="L17" s="292">
        <f>IFERROR(L16*ASSUMPTIONS!$B$17,0)</f>
        <v/>
      </c>
      <c r="M17" s="292">
        <f>IFERROR(M16*ASSUMPTIONS!$B$17,0)</f>
        <v/>
      </c>
      <c r="N17" s="289">
        <f>SUM(B17:M17)</f>
        <v/>
      </c>
      <c r="O17" s="292">
        <f>IFERROR(O16*ASSUMPTIONS!$C$17,0)</f>
        <v/>
      </c>
      <c r="P17" s="292">
        <f>IFERROR(P16*ASSUMPTIONS!$C$17,0)</f>
        <v/>
      </c>
      <c r="Q17" s="292">
        <f>IFERROR(Q16*ASSUMPTIONS!$C$17,0)</f>
        <v/>
      </c>
      <c r="R17" s="292">
        <f>IFERROR(R16*ASSUMPTIONS!$C$17,0)</f>
        <v/>
      </c>
      <c r="S17" s="292">
        <f>IFERROR(S16*ASSUMPTIONS!$C$17,0)</f>
        <v/>
      </c>
      <c r="T17" s="292">
        <f>IFERROR(T16*ASSUMPTIONS!$C$17,0)</f>
        <v/>
      </c>
      <c r="U17" s="292">
        <f>IFERROR(U16*ASSUMPTIONS!$C$17,0)</f>
        <v/>
      </c>
      <c r="V17" s="292">
        <f>IFERROR(V16*ASSUMPTIONS!$C$17,0)</f>
        <v/>
      </c>
      <c r="W17" s="292">
        <f>IFERROR(W16*ASSUMPTIONS!$C$17,0)</f>
        <v/>
      </c>
      <c r="X17" s="292">
        <f>IFERROR(X16*ASSUMPTIONS!$C$17,0)</f>
        <v/>
      </c>
      <c r="Y17" s="292">
        <f>IFERROR(Y16*ASSUMPTIONS!$C$17,0)</f>
        <v/>
      </c>
      <c r="Z17" s="292">
        <f>IFERROR(Z16*ASSUMPTIONS!$C$17,0)</f>
        <v/>
      </c>
      <c r="AA17" s="289">
        <f>SUM(O17:Z17)</f>
        <v/>
      </c>
      <c r="AB17" s="292">
        <f>IFERROR(AB16*ASSUMPTIONS!$D$17,0)</f>
        <v/>
      </c>
      <c r="AC17" s="292">
        <f>IFERROR(AC16*ASSUMPTIONS!$D$17,0)</f>
        <v/>
      </c>
      <c r="AD17" s="292">
        <f>IFERROR(AD16*ASSUMPTIONS!$D$17,0)</f>
        <v/>
      </c>
      <c r="AE17" s="292">
        <f>IFERROR(AE16*ASSUMPTIONS!$D$17,0)</f>
        <v/>
      </c>
      <c r="AF17" s="292">
        <f>IFERROR(AF16*ASSUMPTIONS!$D$17,0)</f>
        <v/>
      </c>
      <c r="AG17" s="292">
        <f>IFERROR(AG16*ASSUMPTIONS!$D$17,0)</f>
        <v/>
      </c>
      <c r="AH17" s="292">
        <f>IFERROR(AH16*ASSUMPTIONS!$D$17,0)</f>
        <v/>
      </c>
      <c r="AI17" s="292">
        <f>IFERROR(AI16*ASSUMPTIONS!$D$17,0)</f>
        <v/>
      </c>
      <c r="AJ17" s="292">
        <f>IFERROR(AJ16*ASSUMPTIONS!$D$17,0)</f>
        <v/>
      </c>
      <c r="AK17" s="292">
        <f>IFERROR(AK16*ASSUMPTIONS!$D$17,0)</f>
        <v/>
      </c>
      <c r="AL17" s="292">
        <f>IFERROR(AL16*ASSUMPTIONS!$D$17,0)</f>
        <v/>
      </c>
      <c r="AM17" s="292">
        <f>IFERROR(AM16*ASSUMPTIONS!$D$17,0)</f>
        <v/>
      </c>
      <c r="AN17" s="289">
        <f>SUM(AB17:AM17)</f>
        <v/>
      </c>
      <c r="AO17" s="292">
        <f>IFERROR(AO16*ASSUMPTIONS!$E$17,0)</f>
        <v/>
      </c>
      <c r="AP17" s="292">
        <f>IFERROR(AP16*ASSUMPTIONS!$E$17,0)</f>
        <v/>
      </c>
      <c r="AQ17" s="292">
        <f>IFERROR(AQ16*ASSUMPTIONS!$E$17,0)</f>
        <v/>
      </c>
      <c r="AR17" s="292">
        <f>IFERROR(AR16*ASSUMPTIONS!$E$17,0)</f>
        <v/>
      </c>
      <c r="AS17" s="292">
        <f>IFERROR(AS16*ASSUMPTIONS!$E$17,0)</f>
        <v/>
      </c>
      <c r="AT17" s="292">
        <f>IFERROR(AT16*ASSUMPTIONS!$E$17,0)</f>
        <v/>
      </c>
      <c r="AU17" s="292">
        <f>IFERROR(AU16*ASSUMPTIONS!$E$17,0)</f>
        <v/>
      </c>
      <c r="AV17" s="292">
        <f>IFERROR(AV16*ASSUMPTIONS!$E$17,0)</f>
        <v/>
      </c>
      <c r="AW17" s="292">
        <f>IFERROR(AW16*ASSUMPTIONS!$E$17,0)</f>
        <v/>
      </c>
      <c r="AX17" s="292">
        <f>IFERROR(AX16*ASSUMPTIONS!$E$17,0)</f>
        <v/>
      </c>
      <c r="AY17" s="292">
        <f>IFERROR(AY16*ASSUMPTIONS!$E$17,0)</f>
        <v/>
      </c>
      <c r="AZ17" s="292">
        <f>IFERROR(AZ16*ASSUMPTIONS!$E$17,0)</f>
        <v/>
      </c>
      <c r="BA17" s="290">
        <f>SUM(AO17:AZ17)</f>
        <v/>
      </c>
      <c r="BB17" s="292">
        <f>IFERROR(BB16*ASSUMPTIONS!$F$17,0)</f>
        <v/>
      </c>
      <c r="BC17" s="292">
        <f>IFERROR(BC16*ASSUMPTIONS!$F$17,0)</f>
        <v/>
      </c>
      <c r="BD17" s="292">
        <f>IFERROR(BD16*ASSUMPTIONS!$F$17,0)</f>
        <v/>
      </c>
      <c r="BE17" s="292">
        <f>IFERROR(BE16*ASSUMPTIONS!$F$17,0)</f>
        <v/>
      </c>
      <c r="BF17" s="292">
        <f>IFERROR(BF16*ASSUMPTIONS!$F$17,0)</f>
        <v/>
      </c>
      <c r="BG17" s="292">
        <f>IFERROR(BG16*ASSUMPTIONS!$F$17,0)</f>
        <v/>
      </c>
      <c r="BH17" s="292">
        <f>IFERROR(BH16*ASSUMPTIONS!$F$17,0)</f>
        <v/>
      </c>
      <c r="BI17" s="292">
        <f>IFERROR(BI16*ASSUMPTIONS!$F$17,0)</f>
        <v/>
      </c>
      <c r="BJ17" s="292">
        <f>IFERROR(BJ16*ASSUMPTIONS!$F$17,0)</f>
        <v/>
      </c>
      <c r="BK17" s="292">
        <f>IFERROR(BK16*ASSUMPTIONS!$F$17,0)</f>
        <v/>
      </c>
      <c r="BL17" s="292">
        <f>IFERROR(BL16*ASSUMPTIONS!$F$17,0)</f>
        <v/>
      </c>
      <c r="BM17" s="292">
        <f>IFERROR(BM16*ASSUMPTIONS!$F$17,0)</f>
        <v/>
      </c>
      <c r="BN17" s="290">
        <f>SUM(BB17:BM17)</f>
        <v/>
      </c>
    </row>
    <row r="18" ht="18" customHeight="1" s="218">
      <c r="A18" s="293" t="inlineStr">
        <is>
          <t xml:space="preserve">  Seller Subscription Revenue (£)</t>
        </is>
      </c>
      <c r="B18" s="292">
        <f>IFERROR(B13*ASSUMPTIONS!$B$22,0)</f>
        <v/>
      </c>
      <c r="C18" s="292">
        <f>IFERROR(C13*ASSUMPTIONS!$B$22,0)</f>
        <v/>
      </c>
      <c r="D18" s="292">
        <f>IFERROR(D13*ASSUMPTIONS!$B$22,0)</f>
        <v/>
      </c>
      <c r="E18" s="292">
        <f>IFERROR(E13*ASSUMPTIONS!$B$22,0)</f>
        <v/>
      </c>
      <c r="F18" s="292">
        <f>IFERROR(F13*ASSUMPTIONS!$B$22,0)</f>
        <v/>
      </c>
      <c r="G18" s="292">
        <f>IFERROR(G13*ASSUMPTIONS!$B$22,0)</f>
        <v/>
      </c>
      <c r="H18" s="292">
        <f>IFERROR(H13*ASSUMPTIONS!$B$22,0)</f>
        <v/>
      </c>
      <c r="I18" s="292">
        <f>IFERROR(I13*ASSUMPTIONS!$B$22,0)</f>
        <v/>
      </c>
      <c r="J18" s="292">
        <f>IFERROR(J13*ASSUMPTIONS!$B$22,0)</f>
        <v/>
      </c>
      <c r="K18" s="292">
        <f>IFERROR(K13*ASSUMPTIONS!$B$22,0)</f>
        <v/>
      </c>
      <c r="L18" s="292">
        <f>IFERROR(L13*ASSUMPTIONS!$B$22,0)</f>
        <v/>
      </c>
      <c r="M18" s="292">
        <f>IFERROR(M13*ASSUMPTIONS!$B$22,0)</f>
        <v/>
      </c>
      <c r="N18" s="289">
        <f>SUM(B18:M18)</f>
        <v/>
      </c>
      <c r="O18" s="292">
        <f>IFERROR(O13*ASSUMPTIONS!$C$22,0)</f>
        <v/>
      </c>
      <c r="P18" s="292">
        <f>IFERROR(P13*ASSUMPTIONS!$C$22,0)</f>
        <v/>
      </c>
      <c r="Q18" s="292">
        <f>IFERROR(Q13*ASSUMPTIONS!$C$22,0)</f>
        <v/>
      </c>
      <c r="R18" s="292">
        <f>IFERROR(R13*ASSUMPTIONS!$C$22,0)</f>
        <v/>
      </c>
      <c r="S18" s="292">
        <f>IFERROR(S13*ASSUMPTIONS!$C$22,0)</f>
        <v/>
      </c>
      <c r="T18" s="292">
        <f>IFERROR(T13*ASSUMPTIONS!$C$22,0)</f>
        <v/>
      </c>
      <c r="U18" s="292">
        <f>IFERROR(U13*ASSUMPTIONS!$C$22,0)</f>
        <v/>
      </c>
      <c r="V18" s="292">
        <f>IFERROR(V13*ASSUMPTIONS!$C$22,0)</f>
        <v/>
      </c>
      <c r="W18" s="292">
        <f>IFERROR(W13*ASSUMPTIONS!$C$22,0)</f>
        <v/>
      </c>
      <c r="X18" s="292">
        <f>IFERROR(X13*ASSUMPTIONS!$C$22,0)</f>
        <v/>
      </c>
      <c r="Y18" s="292">
        <f>IFERROR(Y13*ASSUMPTIONS!$C$22,0)</f>
        <v/>
      </c>
      <c r="Z18" s="292">
        <f>IFERROR(Z13*ASSUMPTIONS!$C$22,0)</f>
        <v/>
      </c>
      <c r="AA18" s="289">
        <f>SUM(O18:Z18)</f>
        <v/>
      </c>
      <c r="AB18" s="292">
        <f>IFERROR(AB13*ASSUMPTIONS!$D$22,0)</f>
        <v/>
      </c>
      <c r="AC18" s="292">
        <f>IFERROR(AC13*ASSUMPTIONS!$D$22,0)</f>
        <v/>
      </c>
      <c r="AD18" s="292">
        <f>IFERROR(AD13*ASSUMPTIONS!$D$22,0)</f>
        <v/>
      </c>
      <c r="AE18" s="292">
        <f>IFERROR(AE13*ASSUMPTIONS!$D$22,0)</f>
        <v/>
      </c>
      <c r="AF18" s="292">
        <f>IFERROR(AF13*ASSUMPTIONS!$D$22,0)</f>
        <v/>
      </c>
      <c r="AG18" s="292">
        <f>IFERROR(AG13*ASSUMPTIONS!$D$22,0)</f>
        <v/>
      </c>
      <c r="AH18" s="292">
        <f>IFERROR(AH13*ASSUMPTIONS!$D$22,0)</f>
        <v/>
      </c>
      <c r="AI18" s="292">
        <f>IFERROR(AI13*ASSUMPTIONS!$D$22,0)</f>
        <v/>
      </c>
      <c r="AJ18" s="292">
        <f>IFERROR(AJ13*ASSUMPTIONS!$D$22,0)</f>
        <v/>
      </c>
      <c r="AK18" s="292">
        <f>IFERROR(AK13*ASSUMPTIONS!$D$22,0)</f>
        <v/>
      </c>
      <c r="AL18" s="292">
        <f>IFERROR(AL13*ASSUMPTIONS!$D$22,0)</f>
        <v/>
      </c>
      <c r="AM18" s="292">
        <f>IFERROR(AM13*ASSUMPTIONS!$D$22,0)</f>
        <v/>
      </c>
      <c r="AN18" s="289">
        <f>SUM(AB18:AM18)</f>
        <v/>
      </c>
      <c r="AO18" s="292">
        <f>IFERROR(AO13*ASSUMPTIONS!$E$22,0)</f>
        <v/>
      </c>
      <c r="AP18" s="292">
        <f>IFERROR(AP13*ASSUMPTIONS!$E$22,0)</f>
        <v/>
      </c>
      <c r="AQ18" s="292">
        <f>IFERROR(AQ13*ASSUMPTIONS!$E$22,0)</f>
        <v/>
      </c>
      <c r="AR18" s="292">
        <f>IFERROR(AR13*ASSUMPTIONS!$E$22,0)</f>
        <v/>
      </c>
      <c r="AS18" s="292">
        <f>IFERROR(AS13*ASSUMPTIONS!$E$22,0)</f>
        <v/>
      </c>
      <c r="AT18" s="292">
        <f>IFERROR(AT13*ASSUMPTIONS!$E$22,0)</f>
        <v/>
      </c>
      <c r="AU18" s="292">
        <f>IFERROR(AU13*ASSUMPTIONS!$E$22,0)</f>
        <v/>
      </c>
      <c r="AV18" s="292">
        <f>IFERROR(AV13*ASSUMPTIONS!$E$22,0)</f>
        <v/>
      </c>
      <c r="AW18" s="292">
        <f>IFERROR(AW13*ASSUMPTIONS!$E$22,0)</f>
        <v/>
      </c>
      <c r="AX18" s="292">
        <f>IFERROR(AX13*ASSUMPTIONS!$E$22,0)</f>
        <v/>
      </c>
      <c r="AY18" s="292">
        <f>IFERROR(AY13*ASSUMPTIONS!$E$22,0)</f>
        <v/>
      </c>
      <c r="AZ18" s="292">
        <f>IFERROR(AZ13*ASSUMPTIONS!$E$22,0)</f>
        <v/>
      </c>
      <c r="BA18" s="290">
        <f>SUM(AO18:AZ18)</f>
        <v/>
      </c>
      <c r="BB18" s="292">
        <f>IFERROR(BB13*ASSUMPTIONS!$F$22,0)</f>
        <v/>
      </c>
      <c r="BC18" s="292">
        <f>IFERROR(BC13*ASSUMPTIONS!$F$22,0)</f>
        <v/>
      </c>
      <c r="BD18" s="292">
        <f>IFERROR(BD13*ASSUMPTIONS!$F$22,0)</f>
        <v/>
      </c>
      <c r="BE18" s="292">
        <f>IFERROR(BE13*ASSUMPTIONS!$F$22,0)</f>
        <v/>
      </c>
      <c r="BF18" s="292">
        <f>IFERROR(BF13*ASSUMPTIONS!$F$22,0)</f>
        <v/>
      </c>
      <c r="BG18" s="292">
        <f>IFERROR(BG13*ASSUMPTIONS!$F$22,0)</f>
        <v/>
      </c>
      <c r="BH18" s="292">
        <f>IFERROR(BH13*ASSUMPTIONS!$F$22,0)</f>
        <v/>
      </c>
      <c r="BI18" s="292">
        <f>IFERROR(BI13*ASSUMPTIONS!$F$22,0)</f>
        <v/>
      </c>
      <c r="BJ18" s="292">
        <f>IFERROR(BJ13*ASSUMPTIONS!$F$22,0)</f>
        <v/>
      </c>
      <c r="BK18" s="292">
        <f>IFERROR(BK13*ASSUMPTIONS!$F$22,0)</f>
        <v/>
      </c>
      <c r="BL18" s="292">
        <f>IFERROR(BL13*ASSUMPTIONS!$F$22,0)</f>
        <v/>
      </c>
      <c r="BM18" s="292">
        <f>IFERROR(BM13*ASSUMPTIONS!$F$22,0)</f>
        <v/>
      </c>
      <c r="BN18" s="290">
        <f>SUM(BB18:BM18)</f>
        <v/>
      </c>
    </row>
    <row r="19" ht="18" customHeight="1" s="218">
      <c r="A19" s="294" t="inlineStr">
        <is>
          <t>TOTAL MARKETPLACE REVENUE (£)</t>
        </is>
      </c>
      <c r="B19" s="295">
        <f>IFERROR(B17+B18,0)</f>
        <v/>
      </c>
      <c r="C19" s="295">
        <f>IFERROR(C17+C18,0)</f>
        <v/>
      </c>
      <c r="D19" s="295">
        <f>IFERROR(D17+D18,0)</f>
        <v/>
      </c>
      <c r="E19" s="295">
        <f>IFERROR(E17+E18,0)</f>
        <v/>
      </c>
      <c r="F19" s="295">
        <f>IFERROR(F17+F18,0)</f>
        <v/>
      </c>
      <c r="G19" s="295">
        <f>IFERROR(G17+G18,0)</f>
        <v/>
      </c>
      <c r="H19" s="295">
        <f>IFERROR(H17+H18,0)</f>
        <v/>
      </c>
      <c r="I19" s="295">
        <f>IFERROR(I17+I18,0)</f>
        <v/>
      </c>
      <c r="J19" s="295">
        <f>IFERROR(J17+J18,0)</f>
        <v/>
      </c>
      <c r="K19" s="295">
        <f>IFERROR(K17+K18,0)</f>
        <v/>
      </c>
      <c r="L19" s="295">
        <f>IFERROR(L17+L18,0)</f>
        <v/>
      </c>
      <c r="M19" s="295">
        <f>IFERROR(M17+M18,0)</f>
        <v/>
      </c>
      <c r="N19" s="295">
        <f>SUM(B19:M19)</f>
        <v/>
      </c>
      <c r="O19" s="295">
        <f>IFERROR(O17+O18,0)</f>
        <v/>
      </c>
      <c r="P19" s="295">
        <f>IFERROR(P17+P18,0)</f>
        <v/>
      </c>
      <c r="Q19" s="295">
        <f>IFERROR(Q17+Q18,0)</f>
        <v/>
      </c>
      <c r="R19" s="295">
        <f>IFERROR(R17+R18,0)</f>
        <v/>
      </c>
      <c r="S19" s="295">
        <f>IFERROR(S17+S18,0)</f>
        <v/>
      </c>
      <c r="T19" s="295">
        <f>IFERROR(T17+T18,0)</f>
        <v/>
      </c>
      <c r="U19" s="295">
        <f>IFERROR(U17+U18,0)</f>
        <v/>
      </c>
      <c r="V19" s="295">
        <f>IFERROR(V17+V18,0)</f>
        <v/>
      </c>
      <c r="W19" s="295">
        <f>IFERROR(W17+W18,0)</f>
        <v/>
      </c>
      <c r="X19" s="295">
        <f>IFERROR(X17+X18,0)</f>
        <v/>
      </c>
      <c r="Y19" s="295">
        <f>IFERROR(Y17+Y18,0)</f>
        <v/>
      </c>
      <c r="Z19" s="295">
        <f>IFERROR(Z17+Z18,0)</f>
        <v/>
      </c>
      <c r="AA19" s="295">
        <f>SUM(O19:Z19)</f>
        <v/>
      </c>
      <c r="AB19" s="295">
        <f>IFERROR(AB17+AB18,0)</f>
        <v/>
      </c>
      <c r="AC19" s="295">
        <f>IFERROR(AC17+AC18,0)</f>
        <v/>
      </c>
      <c r="AD19" s="295">
        <f>IFERROR(AD17+AD18,0)</f>
        <v/>
      </c>
      <c r="AE19" s="295">
        <f>IFERROR(AE17+AE18,0)</f>
        <v/>
      </c>
      <c r="AF19" s="295">
        <f>IFERROR(AF17+AF18,0)</f>
        <v/>
      </c>
      <c r="AG19" s="295">
        <f>IFERROR(AG17+AG18,0)</f>
        <v/>
      </c>
      <c r="AH19" s="295">
        <f>IFERROR(AH17+AH18,0)</f>
        <v/>
      </c>
      <c r="AI19" s="295">
        <f>IFERROR(AI17+AI18,0)</f>
        <v/>
      </c>
      <c r="AJ19" s="295">
        <f>IFERROR(AJ17+AJ18,0)</f>
        <v/>
      </c>
      <c r="AK19" s="295">
        <f>IFERROR(AK17+AK18,0)</f>
        <v/>
      </c>
      <c r="AL19" s="295">
        <f>IFERROR(AL17+AL18,0)</f>
        <v/>
      </c>
      <c r="AM19" s="295">
        <f>IFERROR(AM17+AM18,0)</f>
        <v/>
      </c>
      <c r="AN19" s="295">
        <f>SUM(AB19:AM19)</f>
        <v/>
      </c>
      <c r="AO19" s="295">
        <f>IFERROR(AO17+AO18,0)</f>
        <v/>
      </c>
      <c r="AP19" s="295">
        <f>IFERROR(AP17+AP18,0)</f>
        <v/>
      </c>
      <c r="AQ19" s="295">
        <f>IFERROR(AQ17+AQ18,0)</f>
        <v/>
      </c>
      <c r="AR19" s="295">
        <f>IFERROR(AR17+AR18,0)</f>
        <v/>
      </c>
      <c r="AS19" s="295">
        <f>IFERROR(AS17+AS18,0)</f>
        <v/>
      </c>
      <c r="AT19" s="295">
        <f>IFERROR(AT17+AT18,0)</f>
        <v/>
      </c>
      <c r="AU19" s="295">
        <f>IFERROR(AU17+AU18,0)</f>
        <v/>
      </c>
      <c r="AV19" s="295">
        <f>IFERROR(AV17+AV18,0)</f>
        <v/>
      </c>
      <c r="AW19" s="295">
        <f>IFERROR(AW17+AW18,0)</f>
        <v/>
      </c>
      <c r="AX19" s="295">
        <f>IFERROR(AX17+AX18,0)</f>
        <v/>
      </c>
      <c r="AY19" s="295">
        <f>IFERROR(AY17+AY18,0)</f>
        <v/>
      </c>
      <c r="AZ19" s="295">
        <f>IFERROR(AZ17+AZ18,0)</f>
        <v/>
      </c>
      <c r="BA19" s="296">
        <f>SUM(AO19:AZ19)</f>
        <v/>
      </c>
      <c r="BB19" s="295">
        <f>IFERROR(BB17+BB18,0)</f>
        <v/>
      </c>
      <c r="BC19" s="295">
        <f>IFERROR(BC17+BC18,0)</f>
        <v/>
      </c>
      <c r="BD19" s="295">
        <f>IFERROR(BD17+BD18,0)</f>
        <v/>
      </c>
      <c r="BE19" s="295">
        <f>IFERROR(BE17+BE18,0)</f>
        <v/>
      </c>
      <c r="BF19" s="295">
        <f>IFERROR(BF17+BF18,0)</f>
        <v/>
      </c>
      <c r="BG19" s="295">
        <f>IFERROR(BG17+BG18,0)</f>
        <v/>
      </c>
      <c r="BH19" s="295">
        <f>IFERROR(BH17+BH18,0)</f>
        <v/>
      </c>
      <c r="BI19" s="295">
        <f>IFERROR(BI17+BI18,0)</f>
        <v/>
      </c>
      <c r="BJ19" s="295">
        <f>IFERROR(BJ17+BJ18,0)</f>
        <v/>
      </c>
      <c r="BK19" s="295">
        <f>IFERROR(BK17+BK18,0)</f>
        <v/>
      </c>
      <c r="BL19" s="295">
        <f>IFERROR(BL17+BL18,0)</f>
        <v/>
      </c>
      <c r="BM19" s="295">
        <f>IFERROR(BM17+BM18,0)</f>
        <v/>
      </c>
      <c r="BN19" s="296">
        <f>SUM(BB19:BM19)</f>
        <v/>
      </c>
    </row>
    <row r="20" ht="6" customHeight="1" s="218">
      <c r="A20" s="297" t="n"/>
      <c r="B20" s="297" t="n"/>
      <c r="C20" s="297" t="n"/>
      <c r="D20" s="297" t="n"/>
      <c r="E20" s="297" t="n"/>
      <c r="F20" s="297" t="n"/>
      <c r="G20" s="297" t="n"/>
      <c r="H20" s="297" t="n"/>
      <c r="I20" s="297" t="n"/>
      <c r="J20" s="297" t="n"/>
      <c r="K20" s="297" t="n"/>
      <c r="L20" s="297" t="n"/>
      <c r="M20" s="297" t="n"/>
      <c r="N20" s="297" t="n"/>
      <c r="O20" s="297" t="n"/>
      <c r="P20" s="297" t="n"/>
      <c r="Q20" s="297" t="n"/>
      <c r="R20" s="297" t="n"/>
      <c r="S20" s="297" t="n"/>
      <c r="T20" s="297" t="n"/>
      <c r="U20" s="297" t="n"/>
      <c r="V20" s="297" t="n"/>
      <c r="W20" s="297" t="n"/>
      <c r="X20" s="297" t="n"/>
      <c r="Y20" s="297" t="n"/>
      <c r="Z20" s="297" t="n"/>
      <c r="AA20" s="297" t="n"/>
      <c r="AB20" s="297" t="n"/>
      <c r="AC20" s="297" t="n"/>
      <c r="AD20" s="297" t="n"/>
      <c r="AE20" s="297" t="n"/>
      <c r="AF20" s="297" t="n"/>
      <c r="AG20" s="297" t="n"/>
      <c r="AH20" s="297" t="n"/>
      <c r="AI20" s="297" t="n"/>
      <c r="AJ20" s="297" t="n"/>
      <c r="AK20" s="297" t="n"/>
      <c r="AL20" s="297" t="n"/>
      <c r="AM20" s="297" t="n"/>
      <c r="AN20" s="297" t="n"/>
      <c r="AO20" s="297" t="n"/>
      <c r="AP20" s="297" t="n"/>
      <c r="AQ20" s="297" t="n"/>
      <c r="AR20" s="297" t="n"/>
      <c r="AS20" s="297" t="n"/>
      <c r="AT20" s="297" t="n"/>
      <c r="AU20" s="297" t="n"/>
      <c r="AV20" s="297" t="n"/>
      <c r="AW20" s="297" t="n"/>
      <c r="AX20" s="297" t="n"/>
      <c r="AY20" s="297" t="n"/>
      <c r="AZ20" s="297" t="n"/>
      <c r="BA20" s="298" t="n"/>
      <c r="BB20" s="297" t="n"/>
      <c r="BC20" s="297" t="n"/>
      <c r="BD20" s="297" t="n"/>
      <c r="BE20" s="297" t="n"/>
      <c r="BF20" s="297" t="n"/>
      <c r="BG20" s="297" t="n"/>
      <c r="BH20" s="297" t="n"/>
      <c r="BI20" s="297" t="n"/>
      <c r="BJ20" s="297" t="n"/>
      <c r="BK20" s="297" t="n"/>
      <c r="BL20" s="297" t="n"/>
      <c r="BM20" s="297" t="n"/>
      <c r="BN20" s="298" t="n"/>
    </row>
    <row r="21" ht="19.5" customHeight="1" s="218">
      <c r="A21" s="299" t="inlineStr">
        <is>
          <t>SAAS SUBSCRIPTION REVENUE</t>
        </is>
      </c>
    </row>
    <row r="22" ht="18" customHeight="1" s="218">
      <c r="A22" s="293" t="inlineStr">
        <is>
          <t xml:space="preserve">  New SaaS Subscribers Added</t>
        </is>
      </c>
      <c r="B22" s="292">
        <f>IFERROR(ASSUMPTIONS!$B$26,0)</f>
        <v/>
      </c>
      <c r="C22" s="292">
        <f>IFERROR(ROUND(B22*(1+ASSUMPTIONS!$B$27),0),0)</f>
        <v/>
      </c>
      <c r="D22" s="292">
        <f>IFERROR(ROUND(C22*(1+ASSUMPTIONS!$B$27),0),0)</f>
        <v/>
      </c>
      <c r="E22" s="292">
        <f>IFERROR(ROUND(D22*(1+ASSUMPTIONS!$B$27),0),0)</f>
        <v/>
      </c>
      <c r="F22" s="292">
        <f>IFERROR(ROUND(E22*(1+ASSUMPTIONS!$B$27),0),0)</f>
        <v/>
      </c>
      <c r="G22" s="292">
        <f>IFERROR(ROUND(F22*(1+ASSUMPTIONS!$B$27),0),0)</f>
        <v/>
      </c>
      <c r="H22" s="292">
        <f>IFERROR(ROUND(G22*(1+ASSUMPTIONS!$B$27),0),0)</f>
        <v/>
      </c>
      <c r="I22" s="292">
        <f>IFERROR(ROUND(H22*(1+ASSUMPTIONS!$B$27),0),0)</f>
        <v/>
      </c>
      <c r="J22" s="292">
        <f>IFERROR(ROUND(I22*(1+ASSUMPTIONS!$B$27),0),0)</f>
        <v/>
      </c>
      <c r="K22" s="292">
        <f>IFERROR(ROUND(J22*(1+ASSUMPTIONS!$B$27),0),0)</f>
        <v/>
      </c>
      <c r="L22" s="292">
        <f>IFERROR(ROUND(K22*(1+ASSUMPTIONS!$B$27),0),0)</f>
        <v/>
      </c>
      <c r="M22" s="292">
        <f>IFERROR(ROUND(L22*(1+ASSUMPTIONS!$B$27),0),0)</f>
        <v/>
      </c>
      <c r="N22" s="289">
        <f>SUM(B22:M22)</f>
        <v/>
      </c>
      <c r="O22" s="292">
        <f>IFERROR(ROUND(M22*(1+ASSUMPTIONS!$C$27),0),0)</f>
        <v/>
      </c>
      <c r="P22" s="292">
        <f>IFERROR(ROUND(O22*(1+ASSUMPTIONS!$C$27),0),0)</f>
        <v/>
      </c>
      <c r="Q22" s="292">
        <f>IFERROR(ROUND(P22*(1+ASSUMPTIONS!$C$27),0),0)</f>
        <v/>
      </c>
      <c r="R22" s="292">
        <f>IFERROR(ROUND(Q22*(1+ASSUMPTIONS!$C$27),0),0)</f>
        <v/>
      </c>
      <c r="S22" s="292">
        <f>IFERROR(ROUND(R22*(1+ASSUMPTIONS!$C$27),0),0)</f>
        <v/>
      </c>
      <c r="T22" s="292">
        <f>IFERROR(ROUND(S22*(1+ASSUMPTIONS!$C$27),0),0)</f>
        <v/>
      </c>
      <c r="U22" s="292">
        <f>IFERROR(ROUND(T22*(1+ASSUMPTIONS!$C$27),0),0)</f>
        <v/>
      </c>
      <c r="V22" s="292">
        <f>IFERROR(ROUND(U22*(1+ASSUMPTIONS!$C$27),0),0)</f>
        <v/>
      </c>
      <c r="W22" s="292">
        <f>IFERROR(ROUND(V22*(1+ASSUMPTIONS!$C$27),0),0)</f>
        <v/>
      </c>
      <c r="X22" s="292">
        <f>IFERROR(ROUND(W22*(1+ASSUMPTIONS!$C$27),0),0)</f>
        <v/>
      </c>
      <c r="Y22" s="292">
        <f>IFERROR(ROUND(X22*(1+ASSUMPTIONS!$C$27),0),0)</f>
        <v/>
      </c>
      <c r="Z22" s="292">
        <f>IFERROR(ROUND(Y22*(1+ASSUMPTIONS!$C$27),0),0)</f>
        <v/>
      </c>
      <c r="AA22" s="289">
        <f>SUM(O22:Z22)</f>
        <v/>
      </c>
      <c r="AB22" s="292">
        <f>IFERROR(ROUND(Z22*(1+ASSUMPTIONS!$D$27),0),0)</f>
        <v/>
      </c>
      <c r="AC22" s="292">
        <f>IFERROR(ROUND(AB22*(1+ASSUMPTIONS!$D$27),0),0)</f>
        <v/>
      </c>
      <c r="AD22" s="292">
        <f>IFERROR(ROUND(AC22*(1+ASSUMPTIONS!$D$27),0),0)</f>
        <v/>
      </c>
      <c r="AE22" s="292">
        <f>IFERROR(ROUND(AD22*(1+ASSUMPTIONS!$D$27),0),0)</f>
        <v/>
      </c>
      <c r="AF22" s="292">
        <f>IFERROR(ROUND(AE22*(1+ASSUMPTIONS!$D$27),0),0)</f>
        <v/>
      </c>
      <c r="AG22" s="292">
        <f>IFERROR(ROUND(AF22*(1+ASSUMPTIONS!$D$27),0),0)</f>
        <v/>
      </c>
      <c r="AH22" s="292">
        <f>IFERROR(ROUND(AG22*(1+ASSUMPTIONS!$D$27),0),0)</f>
        <v/>
      </c>
      <c r="AI22" s="292">
        <f>IFERROR(ROUND(AH22*(1+ASSUMPTIONS!$D$27),0),0)</f>
        <v/>
      </c>
      <c r="AJ22" s="292">
        <f>IFERROR(ROUND(AI22*(1+ASSUMPTIONS!$D$27),0),0)</f>
        <v/>
      </c>
      <c r="AK22" s="292">
        <f>IFERROR(ROUND(AJ22*(1+ASSUMPTIONS!$D$27),0),0)</f>
        <v/>
      </c>
      <c r="AL22" s="292">
        <f>IFERROR(ROUND(AK22*(1+ASSUMPTIONS!$D$27),0),0)</f>
        <v/>
      </c>
      <c r="AM22" s="292">
        <f>IFERROR(ROUND(AL22*(1+ASSUMPTIONS!$D$27),0),0)</f>
        <v/>
      </c>
      <c r="AN22" s="289">
        <f>SUM(AB22:AM22)</f>
        <v/>
      </c>
      <c r="AO22" s="292">
        <f>IFERROR(ROUND(AM22*(1+ASSUMPTIONS!$E$27),0),0)</f>
        <v/>
      </c>
      <c r="AP22" s="292">
        <f>IFERROR(ROUND(AO22*(1+ASSUMPTIONS!$E$27),0),0)</f>
        <v/>
      </c>
      <c r="AQ22" s="292">
        <f>IFERROR(ROUND(AP22*(1+ASSUMPTIONS!$E$27),0),0)</f>
        <v/>
      </c>
      <c r="AR22" s="292">
        <f>IFERROR(ROUND(AQ22*(1+ASSUMPTIONS!$E$27),0),0)</f>
        <v/>
      </c>
      <c r="AS22" s="292">
        <f>IFERROR(ROUND(AR22*(1+ASSUMPTIONS!$E$27),0),0)</f>
        <v/>
      </c>
      <c r="AT22" s="292">
        <f>IFERROR(ROUND(AS22*(1+ASSUMPTIONS!$E$27),0),0)</f>
        <v/>
      </c>
      <c r="AU22" s="292">
        <f>IFERROR(ROUND(AT22*(1+ASSUMPTIONS!$E$27),0),0)</f>
        <v/>
      </c>
      <c r="AV22" s="292">
        <f>IFERROR(ROUND(AU22*(1+ASSUMPTIONS!$E$27),0),0)</f>
        <v/>
      </c>
      <c r="AW22" s="292">
        <f>IFERROR(ROUND(AV22*(1+ASSUMPTIONS!$E$27),0),0)</f>
        <v/>
      </c>
      <c r="AX22" s="292">
        <f>IFERROR(ROUND(AW22*(1+ASSUMPTIONS!$E$27),0),0)</f>
        <v/>
      </c>
      <c r="AY22" s="292">
        <f>IFERROR(ROUND(AX22*(1+ASSUMPTIONS!$E$27),0),0)</f>
        <v/>
      </c>
      <c r="AZ22" s="292">
        <f>IFERROR(ROUND(AY22*(1+ASSUMPTIONS!$E$27),0),0)</f>
        <v/>
      </c>
      <c r="BA22" s="290">
        <f>SUM(AO22:AZ22)</f>
        <v/>
      </c>
      <c r="BB22" s="292">
        <f>IFERROR(ROUND(AZ22*(1+ASSUMPTIONS!$F$27),0),0)</f>
        <v/>
      </c>
      <c r="BC22" s="292">
        <f>IFERROR(ROUND(BB22*(1+ASSUMPTIONS!$F$27),0),0)</f>
        <v/>
      </c>
      <c r="BD22" s="292">
        <f>IFERROR(ROUND(BC22*(1+ASSUMPTIONS!$F$27),0),0)</f>
        <v/>
      </c>
      <c r="BE22" s="292">
        <f>IFERROR(ROUND(BD22*(1+ASSUMPTIONS!$F$27),0),0)</f>
        <v/>
      </c>
      <c r="BF22" s="292">
        <f>IFERROR(ROUND(BE22*(1+ASSUMPTIONS!$F$27),0),0)</f>
        <v/>
      </c>
      <c r="BG22" s="292">
        <f>IFERROR(ROUND(BF22*(1+ASSUMPTIONS!$F$27),0),0)</f>
        <v/>
      </c>
      <c r="BH22" s="292">
        <f>IFERROR(ROUND(BG22*(1+ASSUMPTIONS!$F$27),0),0)</f>
        <v/>
      </c>
      <c r="BI22" s="292">
        <f>IFERROR(ROUND(BH22*(1+ASSUMPTIONS!$F$27),0),0)</f>
        <v/>
      </c>
      <c r="BJ22" s="292">
        <f>IFERROR(ROUND(BI22*(1+ASSUMPTIONS!$F$27),0),0)</f>
        <v/>
      </c>
      <c r="BK22" s="292">
        <f>IFERROR(ROUND(BJ22*(1+ASSUMPTIONS!$F$27),0),0)</f>
        <v/>
      </c>
      <c r="BL22" s="292">
        <f>IFERROR(ROUND(BK22*(1+ASSUMPTIONS!$F$27),0),0)</f>
        <v/>
      </c>
      <c r="BM22" s="292">
        <f>IFERROR(ROUND(BL22*(1+ASSUMPTIONS!$F$27),0),0)</f>
        <v/>
      </c>
      <c r="BN22" s="290">
        <f>SUM(BB22:BM22)</f>
        <v/>
      </c>
    </row>
    <row r="23" ht="18" customHeight="1" s="218">
      <c r="A23" s="291" t="inlineStr">
        <is>
          <t xml:space="preserve">  SaaS Subscribers Churned</t>
        </is>
      </c>
      <c r="B23" s="300">
        <f>IFERROR(ROUND(ASSUMPTIONS!$B$25*ASSUMPTIONS!$B$28,0),0)</f>
        <v/>
      </c>
      <c r="C23" s="300">
        <f>IFERROR(ROUND(B24*ASSUMPTIONS!$B$28,0),0)</f>
        <v/>
      </c>
      <c r="D23" s="300">
        <f>IFERROR(ROUND(C24*ASSUMPTIONS!$B$28,0),0)</f>
        <v/>
      </c>
      <c r="E23" s="300">
        <f>IFERROR(ROUND(D24*ASSUMPTIONS!$B$28,0),0)</f>
        <v/>
      </c>
      <c r="F23" s="300">
        <f>IFERROR(ROUND(E24*ASSUMPTIONS!$B$28,0),0)</f>
        <v/>
      </c>
      <c r="G23" s="300">
        <f>IFERROR(ROUND(F24*ASSUMPTIONS!$B$28,0),0)</f>
        <v/>
      </c>
      <c r="H23" s="300">
        <f>IFERROR(ROUND(G24*ASSUMPTIONS!$B$28,0),0)</f>
        <v/>
      </c>
      <c r="I23" s="300">
        <f>IFERROR(ROUND(H24*ASSUMPTIONS!$B$28,0),0)</f>
        <v/>
      </c>
      <c r="J23" s="300">
        <f>IFERROR(ROUND(I24*ASSUMPTIONS!$B$28,0),0)</f>
        <v/>
      </c>
      <c r="K23" s="300">
        <f>IFERROR(ROUND(J24*ASSUMPTIONS!$B$28,0),0)</f>
        <v/>
      </c>
      <c r="L23" s="300">
        <f>IFERROR(ROUND(K24*ASSUMPTIONS!$B$28,0),0)</f>
        <v/>
      </c>
      <c r="M23" s="300">
        <f>IFERROR(ROUND(L24*ASSUMPTIONS!$B$28,0),0)</f>
        <v/>
      </c>
      <c r="N23" s="301">
        <f>SUM(B23:M23)</f>
        <v/>
      </c>
      <c r="O23" s="300">
        <f>IFERROR(ROUND(M24*ASSUMPTIONS!$C$28,0),0)</f>
        <v/>
      </c>
      <c r="P23" s="300">
        <f>IFERROR(ROUND(O24*ASSUMPTIONS!$C$28,0),0)</f>
        <v/>
      </c>
      <c r="Q23" s="300">
        <f>IFERROR(ROUND(P24*ASSUMPTIONS!$C$28,0),0)</f>
        <v/>
      </c>
      <c r="R23" s="300">
        <f>IFERROR(ROUND(Q24*ASSUMPTIONS!$C$28,0),0)</f>
        <v/>
      </c>
      <c r="S23" s="300">
        <f>IFERROR(ROUND(R24*ASSUMPTIONS!$C$28,0),0)</f>
        <v/>
      </c>
      <c r="T23" s="300">
        <f>IFERROR(ROUND(S24*ASSUMPTIONS!$C$28,0),0)</f>
        <v/>
      </c>
      <c r="U23" s="300">
        <f>IFERROR(ROUND(T24*ASSUMPTIONS!$C$28,0),0)</f>
        <v/>
      </c>
      <c r="V23" s="300">
        <f>IFERROR(ROUND(U24*ASSUMPTIONS!$C$28,0),0)</f>
        <v/>
      </c>
      <c r="W23" s="300">
        <f>IFERROR(ROUND(V24*ASSUMPTIONS!$C$28,0),0)</f>
        <v/>
      </c>
      <c r="X23" s="300">
        <f>IFERROR(ROUND(W24*ASSUMPTIONS!$C$28,0),0)</f>
        <v/>
      </c>
      <c r="Y23" s="300">
        <f>IFERROR(ROUND(X24*ASSUMPTIONS!$C$28,0),0)</f>
        <v/>
      </c>
      <c r="Z23" s="300">
        <f>IFERROR(ROUND(Y24*ASSUMPTIONS!$C$28,0),0)</f>
        <v/>
      </c>
      <c r="AA23" s="301">
        <f>SUM(O23:Z23)</f>
        <v/>
      </c>
      <c r="AB23" s="300">
        <f>IFERROR(ROUND(Z24*ASSUMPTIONS!$D$28,0),0)</f>
        <v/>
      </c>
      <c r="AC23" s="300">
        <f>IFERROR(ROUND(AB24*ASSUMPTIONS!$D$28,0),0)</f>
        <v/>
      </c>
      <c r="AD23" s="300">
        <f>IFERROR(ROUND(AC24*ASSUMPTIONS!$D$28,0),0)</f>
        <v/>
      </c>
      <c r="AE23" s="300">
        <f>IFERROR(ROUND(AD24*ASSUMPTIONS!$D$28,0),0)</f>
        <v/>
      </c>
      <c r="AF23" s="300">
        <f>IFERROR(ROUND(AE24*ASSUMPTIONS!$D$28,0),0)</f>
        <v/>
      </c>
      <c r="AG23" s="300">
        <f>IFERROR(ROUND(AF24*ASSUMPTIONS!$D$28,0),0)</f>
        <v/>
      </c>
      <c r="AH23" s="300">
        <f>IFERROR(ROUND(AG24*ASSUMPTIONS!$D$28,0),0)</f>
        <v/>
      </c>
      <c r="AI23" s="300">
        <f>IFERROR(ROUND(AH24*ASSUMPTIONS!$D$28,0),0)</f>
        <v/>
      </c>
      <c r="AJ23" s="300">
        <f>IFERROR(ROUND(AI24*ASSUMPTIONS!$D$28,0),0)</f>
        <v/>
      </c>
      <c r="AK23" s="300">
        <f>IFERROR(ROUND(AJ24*ASSUMPTIONS!$D$28,0),0)</f>
        <v/>
      </c>
      <c r="AL23" s="300">
        <f>IFERROR(ROUND(AK24*ASSUMPTIONS!$D$28,0),0)</f>
        <v/>
      </c>
      <c r="AM23" s="300">
        <f>IFERROR(ROUND(AL24*ASSUMPTIONS!$D$28,0),0)</f>
        <v/>
      </c>
      <c r="AN23" s="301">
        <f>SUM(AB23:AM23)</f>
        <v/>
      </c>
      <c r="AO23" s="300">
        <f>IFERROR(ROUND(AM24*ASSUMPTIONS!$E$28,0),0)</f>
        <v/>
      </c>
      <c r="AP23" s="300">
        <f>IFERROR(ROUND(AO24*ASSUMPTIONS!$E$28,0),0)</f>
        <v/>
      </c>
      <c r="AQ23" s="300">
        <f>IFERROR(ROUND(AP24*ASSUMPTIONS!$E$28,0),0)</f>
        <v/>
      </c>
      <c r="AR23" s="300">
        <f>IFERROR(ROUND(AQ24*ASSUMPTIONS!$E$28,0),0)</f>
        <v/>
      </c>
      <c r="AS23" s="300">
        <f>IFERROR(ROUND(AR24*ASSUMPTIONS!$E$28,0),0)</f>
        <v/>
      </c>
      <c r="AT23" s="300">
        <f>IFERROR(ROUND(AS24*ASSUMPTIONS!$E$28,0),0)</f>
        <v/>
      </c>
      <c r="AU23" s="300">
        <f>IFERROR(ROUND(AT24*ASSUMPTIONS!$E$28,0),0)</f>
        <v/>
      </c>
      <c r="AV23" s="300">
        <f>IFERROR(ROUND(AU24*ASSUMPTIONS!$E$28,0),0)</f>
        <v/>
      </c>
      <c r="AW23" s="300">
        <f>IFERROR(ROUND(AV24*ASSUMPTIONS!$E$28,0),0)</f>
        <v/>
      </c>
      <c r="AX23" s="300">
        <f>IFERROR(ROUND(AW24*ASSUMPTIONS!$E$28,0),0)</f>
        <v/>
      </c>
      <c r="AY23" s="300">
        <f>IFERROR(ROUND(AX24*ASSUMPTIONS!$E$28,0),0)</f>
        <v/>
      </c>
      <c r="AZ23" s="300">
        <f>IFERROR(ROUND(AY24*ASSUMPTIONS!$E$28,0),0)</f>
        <v/>
      </c>
      <c r="BA23" s="290">
        <f>SUM(AO23:AZ23)</f>
        <v/>
      </c>
      <c r="BB23" s="300">
        <f>IFERROR(ROUND(AZ24*ASSUMPTIONS!$F$28,0),0)</f>
        <v/>
      </c>
      <c r="BC23" s="300">
        <f>IFERROR(ROUND(BB24*ASSUMPTIONS!$F$28,0),0)</f>
        <v/>
      </c>
      <c r="BD23" s="300">
        <f>IFERROR(ROUND(BC24*ASSUMPTIONS!$F$28,0),0)</f>
        <v/>
      </c>
      <c r="BE23" s="300">
        <f>IFERROR(ROUND(BD24*ASSUMPTIONS!$F$28,0),0)</f>
        <v/>
      </c>
      <c r="BF23" s="300">
        <f>IFERROR(ROUND(BE24*ASSUMPTIONS!$F$28,0),0)</f>
        <v/>
      </c>
      <c r="BG23" s="300">
        <f>IFERROR(ROUND(BF24*ASSUMPTIONS!$F$28,0),0)</f>
        <v/>
      </c>
      <c r="BH23" s="300">
        <f>IFERROR(ROUND(BG24*ASSUMPTIONS!$F$28,0),0)</f>
        <v/>
      </c>
      <c r="BI23" s="300">
        <f>IFERROR(ROUND(BH24*ASSUMPTIONS!$F$28,0),0)</f>
        <v/>
      </c>
      <c r="BJ23" s="300">
        <f>IFERROR(ROUND(BI24*ASSUMPTIONS!$F$28,0),0)</f>
        <v/>
      </c>
      <c r="BK23" s="300">
        <f>IFERROR(ROUND(BJ24*ASSUMPTIONS!$F$28,0),0)</f>
        <v/>
      </c>
      <c r="BL23" s="300">
        <f>IFERROR(ROUND(BK24*ASSUMPTIONS!$F$28,0),0)</f>
        <v/>
      </c>
      <c r="BM23" s="300">
        <f>IFERROR(ROUND(BL24*ASSUMPTIONS!$F$28,0),0)</f>
        <v/>
      </c>
      <c r="BN23" s="290">
        <f>SUM(BB23:BM23)</f>
        <v/>
      </c>
    </row>
    <row r="24" ht="18" customHeight="1" s="218">
      <c r="A24" s="287" t="inlineStr">
        <is>
          <t xml:space="preserve">  Active SaaS Subscribers — End of Month</t>
        </is>
      </c>
      <c r="B24" s="302">
        <f>IFERROR(MAX(0,ASSUMPTIONS!$B$25+B22-B23),0)</f>
        <v/>
      </c>
      <c r="C24" s="302">
        <f>IFERROR(MAX(0,B24+C22-C23),0)</f>
        <v/>
      </c>
      <c r="D24" s="302">
        <f>IFERROR(MAX(0,C24+D22-D23),0)</f>
        <v/>
      </c>
      <c r="E24" s="302">
        <f>IFERROR(MAX(0,D24+E22-E23),0)</f>
        <v/>
      </c>
      <c r="F24" s="302">
        <f>IFERROR(MAX(0,E24+F22-F23),0)</f>
        <v/>
      </c>
      <c r="G24" s="302">
        <f>IFERROR(MAX(0,F24+G22-G23),0)</f>
        <v/>
      </c>
      <c r="H24" s="302">
        <f>IFERROR(MAX(0,G24+H22-H23),0)</f>
        <v/>
      </c>
      <c r="I24" s="302">
        <f>IFERROR(MAX(0,H24+I22-I23),0)</f>
        <v/>
      </c>
      <c r="J24" s="302">
        <f>IFERROR(MAX(0,I24+J22-J23),0)</f>
        <v/>
      </c>
      <c r="K24" s="302">
        <f>IFERROR(MAX(0,J24+K22-K23),0)</f>
        <v/>
      </c>
      <c r="L24" s="302">
        <f>IFERROR(MAX(0,K24+L22-L23),0)</f>
        <v/>
      </c>
      <c r="M24" s="302">
        <f>IFERROR(MAX(0,L24+M22-M23),0)</f>
        <v/>
      </c>
      <c r="N24" s="303">
        <f>M24</f>
        <v/>
      </c>
      <c r="O24" s="302">
        <f>IFERROR(MAX(0,M24+O22-O23),0)</f>
        <v/>
      </c>
      <c r="P24" s="302">
        <f>IFERROR(MAX(0,O24+P22-P23),0)</f>
        <v/>
      </c>
      <c r="Q24" s="302">
        <f>IFERROR(MAX(0,P24+Q22-Q23),0)</f>
        <v/>
      </c>
      <c r="R24" s="302">
        <f>IFERROR(MAX(0,Q24+R22-R23),0)</f>
        <v/>
      </c>
      <c r="S24" s="302">
        <f>IFERROR(MAX(0,R24+S22-S23),0)</f>
        <v/>
      </c>
      <c r="T24" s="302">
        <f>IFERROR(MAX(0,S24+T22-T23),0)</f>
        <v/>
      </c>
      <c r="U24" s="302">
        <f>IFERROR(MAX(0,T24+U22-U23),0)</f>
        <v/>
      </c>
      <c r="V24" s="302">
        <f>IFERROR(MAX(0,U24+V22-V23),0)</f>
        <v/>
      </c>
      <c r="W24" s="302">
        <f>IFERROR(MAX(0,V24+W22-W23),0)</f>
        <v/>
      </c>
      <c r="X24" s="302">
        <f>IFERROR(MAX(0,W24+X22-X23),0)</f>
        <v/>
      </c>
      <c r="Y24" s="302">
        <f>IFERROR(MAX(0,X24+Y22-Y23),0)</f>
        <v/>
      </c>
      <c r="Z24" s="302">
        <f>IFERROR(MAX(0,Y24+Z22-Z23),0)</f>
        <v/>
      </c>
      <c r="AA24" s="303">
        <f>Z24</f>
        <v/>
      </c>
      <c r="AB24" s="302">
        <f>IFERROR(MAX(0,Z24+AB22-AB23),0)</f>
        <v/>
      </c>
      <c r="AC24" s="302">
        <f>IFERROR(MAX(0,AB24+AC22-AC23),0)</f>
        <v/>
      </c>
      <c r="AD24" s="302">
        <f>IFERROR(MAX(0,AC24+AD22-AD23),0)</f>
        <v/>
      </c>
      <c r="AE24" s="302">
        <f>IFERROR(MAX(0,AD24+AE22-AE23),0)</f>
        <v/>
      </c>
      <c r="AF24" s="302">
        <f>IFERROR(MAX(0,AE24+AF22-AF23),0)</f>
        <v/>
      </c>
      <c r="AG24" s="302">
        <f>IFERROR(MAX(0,AF24+AG22-AG23),0)</f>
        <v/>
      </c>
      <c r="AH24" s="302">
        <f>IFERROR(MAX(0,AG24+AH22-AH23),0)</f>
        <v/>
      </c>
      <c r="AI24" s="302">
        <f>IFERROR(MAX(0,AH24+AI22-AI23),0)</f>
        <v/>
      </c>
      <c r="AJ24" s="302">
        <f>IFERROR(MAX(0,AI24+AJ22-AJ23),0)</f>
        <v/>
      </c>
      <c r="AK24" s="302">
        <f>IFERROR(MAX(0,AJ24+AK22-AK23),0)</f>
        <v/>
      </c>
      <c r="AL24" s="302">
        <f>IFERROR(MAX(0,AK24+AL22-AL23),0)</f>
        <v/>
      </c>
      <c r="AM24" s="302">
        <f>IFERROR(MAX(0,AL24+AM22-AM23),0)</f>
        <v/>
      </c>
      <c r="AN24" s="303">
        <f>AM24</f>
        <v/>
      </c>
      <c r="AO24" s="302">
        <f>IFERROR(MAX(0,AM24+AO22-AO23),0)</f>
        <v/>
      </c>
      <c r="AP24" s="302">
        <f>IFERROR(MAX(0,AO24+AP22-AP23),0)</f>
        <v/>
      </c>
      <c r="AQ24" s="302">
        <f>IFERROR(MAX(0,AP24+AQ22-AQ23),0)</f>
        <v/>
      </c>
      <c r="AR24" s="302">
        <f>IFERROR(MAX(0,AQ24+AR22-AR23),0)</f>
        <v/>
      </c>
      <c r="AS24" s="302">
        <f>IFERROR(MAX(0,AR24+AS22-AS23),0)</f>
        <v/>
      </c>
      <c r="AT24" s="302">
        <f>IFERROR(MAX(0,AS24+AT22-AT23),0)</f>
        <v/>
      </c>
      <c r="AU24" s="302">
        <f>IFERROR(MAX(0,AT24+AU22-AU23),0)</f>
        <v/>
      </c>
      <c r="AV24" s="302">
        <f>IFERROR(MAX(0,AU24+AV22-AV23),0)</f>
        <v/>
      </c>
      <c r="AW24" s="302">
        <f>IFERROR(MAX(0,AV24+AW22-AW23),0)</f>
        <v/>
      </c>
      <c r="AX24" s="302">
        <f>IFERROR(MAX(0,AW24+AX22-AX23),0)</f>
        <v/>
      </c>
      <c r="AY24" s="302">
        <f>IFERROR(MAX(0,AX24+AY22-AY23),0)</f>
        <v/>
      </c>
      <c r="AZ24" s="302">
        <f>IFERROR(MAX(0,AY24+AZ22-AZ23),0)</f>
        <v/>
      </c>
      <c r="BA24" s="290">
        <f>AZ24</f>
        <v/>
      </c>
      <c r="BB24" s="302">
        <f>IFERROR(MAX(0,AZ24+BB22-BB23),0)</f>
        <v/>
      </c>
      <c r="BC24" s="302">
        <f>IFERROR(MAX(0,BB24+BC22-BC23),0)</f>
        <v/>
      </c>
      <c r="BD24" s="302">
        <f>IFERROR(MAX(0,BC24+BD22-BD23),0)</f>
        <v/>
      </c>
      <c r="BE24" s="302">
        <f>IFERROR(MAX(0,BD24+BE22-BE23),0)</f>
        <v/>
      </c>
      <c r="BF24" s="302">
        <f>IFERROR(MAX(0,BE24+BF22-BF23),0)</f>
        <v/>
      </c>
      <c r="BG24" s="302">
        <f>IFERROR(MAX(0,BF24+BG22-BG23),0)</f>
        <v/>
      </c>
      <c r="BH24" s="302">
        <f>IFERROR(MAX(0,BG24+BH22-BH23),0)</f>
        <v/>
      </c>
      <c r="BI24" s="302">
        <f>IFERROR(MAX(0,BH24+BI22-BI23),0)</f>
        <v/>
      </c>
      <c r="BJ24" s="302">
        <f>IFERROR(MAX(0,BI24+BJ22-BJ23),0)</f>
        <v/>
      </c>
      <c r="BK24" s="302">
        <f>IFERROR(MAX(0,BJ24+BK22-BK23),0)</f>
        <v/>
      </c>
      <c r="BL24" s="302">
        <f>IFERROR(MAX(0,BK24+BL22-BL23),0)</f>
        <v/>
      </c>
      <c r="BM24" s="302">
        <f>IFERROR(MAX(0,BL24+BM22-BM23),0)</f>
        <v/>
      </c>
      <c r="BN24" s="290">
        <f>BM24</f>
        <v/>
      </c>
    </row>
    <row r="25" ht="18" customHeight="1" s="218">
      <c r="A25" s="291" t="inlineStr">
        <is>
          <t xml:space="preserve">  Monthly ARPU (£)</t>
        </is>
      </c>
      <c r="B25" s="292">
        <f>ASSUMPTIONS!$B$29</f>
        <v/>
      </c>
      <c r="C25" s="292">
        <f>ASSUMPTIONS!$B$29</f>
        <v/>
      </c>
      <c r="D25" s="292">
        <f>ASSUMPTIONS!$B$29</f>
        <v/>
      </c>
      <c r="E25" s="292">
        <f>ASSUMPTIONS!$B$29</f>
        <v/>
      </c>
      <c r="F25" s="292">
        <f>ASSUMPTIONS!$B$29</f>
        <v/>
      </c>
      <c r="G25" s="292">
        <f>ASSUMPTIONS!$B$29</f>
        <v/>
      </c>
      <c r="H25" s="292">
        <f>ASSUMPTIONS!$B$29</f>
        <v/>
      </c>
      <c r="I25" s="292">
        <f>ASSUMPTIONS!$B$29</f>
        <v/>
      </c>
      <c r="J25" s="292">
        <f>ASSUMPTIONS!$B$29</f>
        <v/>
      </c>
      <c r="K25" s="292">
        <f>ASSUMPTIONS!$B$29</f>
        <v/>
      </c>
      <c r="L25" s="292">
        <f>ASSUMPTIONS!$B$29</f>
        <v/>
      </c>
      <c r="M25" s="292">
        <f>ASSUMPTIONS!$B$29</f>
        <v/>
      </c>
      <c r="N25" s="289">
        <f>M25</f>
        <v/>
      </c>
      <c r="O25" s="292">
        <f>ASSUMPTIONS!$C$29</f>
        <v/>
      </c>
      <c r="P25" s="292">
        <f>ASSUMPTIONS!$C$29</f>
        <v/>
      </c>
      <c r="Q25" s="292">
        <f>ASSUMPTIONS!$C$29</f>
        <v/>
      </c>
      <c r="R25" s="292">
        <f>ASSUMPTIONS!$C$29</f>
        <v/>
      </c>
      <c r="S25" s="292">
        <f>ASSUMPTIONS!$C$29</f>
        <v/>
      </c>
      <c r="T25" s="292">
        <f>ASSUMPTIONS!$C$29</f>
        <v/>
      </c>
      <c r="U25" s="292">
        <f>ASSUMPTIONS!$C$29</f>
        <v/>
      </c>
      <c r="V25" s="292">
        <f>ASSUMPTIONS!$C$29</f>
        <v/>
      </c>
      <c r="W25" s="292">
        <f>ASSUMPTIONS!$C$29</f>
        <v/>
      </c>
      <c r="X25" s="292">
        <f>ASSUMPTIONS!$C$29</f>
        <v/>
      </c>
      <c r="Y25" s="292">
        <f>ASSUMPTIONS!$C$29</f>
        <v/>
      </c>
      <c r="Z25" s="292">
        <f>ASSUMPTIONS!$C$29</f>
        <v/>
      </c>
      <c r="AA25" s="289">
        <f>Z25</f>
        <v/>
      </c>
      <c r="AB25" s="292">
        <f>ASSUMPTIONS!$D$29</f>
        <v/>
      </c>
      <c r="AC25" s="292">
        <f>ASSUMPTIONS!$D$29</f>
        <v/>
      </c>
      <c r="AD25" s="292">
        <f>ASSUMPTIONS!$D$29</f>
        <v/>
      </c>
      <c r="AE25" s="292">
        <f>ASSUMPTIONS!$D$29</f>
        <v/>
      </c>
      <c r="AF25" s="292">
        <f>ASSUMPTIONS!$D$29</f>
        <v/>
      </c>
      <c r="AG25" s="292">
        <f>ASSUMPTIONS!$D$29</f>
        <v/>
      </c>
      <c r="AH25" s="292">
        <f>ASSUMPTIONS!$D$29</f>
        <v/>
      </c>
      <c r="AI25" s="292">
        <f>ASSUMPTIONS!$D$29</f>
        <v/>
      </c>
      <c r="AJ25" s="292">
        <f>ASSUMPTIONS!$D$29</f>
        <v/>
      </c>
      <c r="AK25" s="292">
        <f>ASSUMPTIONS!$D$29</f>
        <v/>
      </c>
      <c r="AL25" s="292">
        <f>ASSUMPTIONS!$D$29</f>
        <v/>
      </c>
      <c r="AM25" s="292">
        <f>ASSUMPTIONS!$D$29</f>
        <v/>
      </c>
      <c r="AN25" s="289">
        <f>AM25</f>
        <v/>
      </c>
      <c r="AO25" s="292">
        <f>ASSUMPTIONS!$E$29</f>
        <v/>
      </c>
      <c r="AP25" s="292">
        <f>ASSUMPTIONS!$E$29</f>
        <v/>
      </c>
      <c r="AQ25" s="292">
        <f>ASSUMPTIONS!$E$29</f>
        <v/>
      </c>
      <c r="AR25" s="292">
        <f>ASSUMPTIONS!$E$29</f>
        <v/>
      </c>
      <c r="AS25" s="292">
        <f>ASSUMPTIONS!$E$29</f>
        <v/>
      </c>
      <c r="AT25" s="292">
        <f>ASSUMPTIONS!$E$29</f>
        <v/>
      </c>
      <c r="AU25" s="292">
        <f>ASSUMPTIONS!$E$29</f>
        <v/>
      </c>
      <c r="AV25" s="292">
        <f>ASSUMPTIONS!$E$29</f>
        <v/>
      </c>
      <c r="AW25" s="292">
        <f>ASSUMPTIONS!$E$29</f>
        <v/>
      </c>
      <c r="AX25" s="292">
        <f>ASSUMPTIONS!$E$29</f>
        <v/>
      </c>
      <c r="AY25" s="292">
        <f>ASSUMPTIONS!$E$29</f>
        <v/>
      </c>
      <c r="AZ25" s="292">
        <f>ASSUMPTIONS!$E$29</f>
        <v/>
      </c>
      <c r="BA25" s="290">
        <f>AZ25</f>
        <v/>
      </c>
      <c r="BB25" s="292">
        <f>ASSUMPTIONS!$F$29</f>
        <v/>
      </c>
      <c r="BC25" s="292">
        <f>ASSUMPTIONS!$F$29</f>
        <v/>
      </c>
      <c r="BD25" s="292">
        <f>ASSUMPTIONS!$F$29</f>
        <v/>
      </c>
      <c r="BE25" s="292">
        <f>ASSUMPTIONS!$F$29</f>
        <v/>
      </c>
      <c r="BF25" s="292">
        <f>ASSUMPTIONS!$F$29</f>
        <v/>
      </c>
      <c r="BG25" s="292">
        <f>ASSUMPTIONS!$F$29</f>
        <v/>
      </c>
      <c r="BH25" s="292">
        <f>ASSUMPTIONS!$F$29</f>
        <v/>
      </c>
      <c r="BI25" s="292">
        <f>ASSUMPTIONS!$F$29</f>
        <v/>
      </c>
      <c r="BJ25" s="292">
        <f>ASSUMPTIONS!$F$29</f>
        <v/>
      </c>
      <c r="BK25" s="292">
        <f>ASSUMPTIONS!$F$29</f>
        <v/>
      </c>
      <c r="BL25" s="292">
        <f>ASSUMPTIONS!$F$29</f>
        <v/>
      </c>
      <c r="BM25" s="292">
        <f>ASSUMPTIONS!$F$29</f>
        <v/>
      </c>
      <c r="BN25" s="290">
        <f>BM25</f>
        <v/>
      </c>
    </row>
    <row r="26" ht="18" customHeight="1" s="218">
      <c r="A26" s="294" t="inlineStr">
        <is>
          <t>TOTAL SAAS REVENUE (£)</t>
        </is>
      </c>
      <c r="B26" s="295">
        <f>IFERROR(B24*ASSUMPTIONS!$B$29,0)</f>
        <v/>
      </c>
      <c r="C26" s="295">
        <f>IFERROR(C24*ASSUMPTIONS!$B$29,0)</f>
        <v/>
      </c>
      <c r="D26" s="295">
        <f>IFERROR(D24*ASSUMPTIONS!$B$29,0)</f>
        <v/>
      </c>
      <c r="E26" s="295">
        <f>IFERROR(E24*ASSUMPTIONS!$B$29,0)</f>
        <v/>
      </c>
      <c r="F26" s="295">
        <f>IFERROR(F24*ASSUMPTIONS!$B$29,0)</f>
        <v/>
      </c>
      <c r="G26" s="295">
        <f>IFERROR(G24*ASSUMPTIONS!$B$29,0)</f>
        <v/>
      </c>
      <c r="H26" s="295">
        <f>IFERROR(H24*ASSUMPTIONS!$B$29,0)</f>
        <v/>
      </c>
      <c r="I26" s="295">
        <f>IFERROR(I24*ASSUMPTIONS!$B$29,0)</f>
        <v/>
      </c>
      <c r="J26" s="295">
        <f>IFERROR(J24*ASSUMPTIONS!$B$29,0)</f>
        <v/>
      </c>
      <c r="K26" s="295">
        <f>IFERROR(K24*ASSUMPTIONS!$B$29,0)</f>
        <v/>
      </c>
      <c r="L26" s="295">
        <f>IFERROR(L24*ASSUMPTIONS!$B$29,0)</f>
        <v/>
      </c>
      <c r="M26" s="295">
        <f>IFERROR(M24*ASSUMPTIONS!$B$29,0)</f>
        <v/>
      </c>
      <c r="N26" s="295">
        <f>SUM(B26:M26)</f>
        <v/>
      </c>
      <c r="O26" s="295">
        <f>IFERROR(O24*ASSUMPTIONS!$C$29,0)</f>
        <v/>
      </c>
      <c r="P26" s="295">
        <f>IFERROR(P24*ASSUMPTIONS!$C$29,0)</f>
        <v/>
      </c>
      <c r="Q26" s="295">
        <f>IFERROR(Q24*ASSUMPTIONS!$C$29,0)</f>
        <v/>
      </c>
      <c r="R26" s="295">
        <f>IFERROR(R24*ASSUMPTIONS!$C$29,0)</f>
        <v/>
      </c>
      <c r="S26" s="295">
        <f>IFERROR(S24*ASSUMPTIONS!$C$29,0)</f>
        <v/>
      </c>
      <c r="T26" s="295">
        <f>IFERROR(T24*ASSUMPTIONS!$C$29,0)</f>
        <v/>
      </c>
      <c r="U26" s="295">
        <f>IFERROR(U24*ASSUMPTIONS!$C$29,0)</f>
        <v/>
      </c>
      <c r="V26" s="295">
        <f>IFERROR(V24*ASSUMPTIONS!$C$29,0)</f>
        <v/>
      </c>
      <c r="W26" s="295">
        <f>IFERROR(W24*ASSUMPTIONS!$C$29,0)</f>
        <v/>
      </c>
      <c r="X26" s="295">
        <f>IFERROR(X24*ASSUMPTIONS!$C$29,0)</f>
        <v/>
      </c>
      <c r="Y26" s="295">
        <f>IFERROR(Y24*ASSUMPTIONS!$C$29,0)</f>
        <v/>
      </c>
      <c r="Z26" s="295">
        <f>IFERROR(Z24*ASSUMPTIONS!$C$29,0)</f>
        <v/>
      </c>
      <c r="AA26" s="295">
        <f>SUM(O26:Z26)</f>
        <v/>
      </c>
      <c r="AB26" s="295">
        <f>IFERROR(AB24*ASSUMPTIONS!$D$29,0)</f>
        <v/>
      </c>
      <c r="AC26" s="295">
        <f>IFERROR(AC24*ASSUMPTIONS!$D$29,0)</f>
        <v/>
      </c>
      <c r="AD26" s="295">
        <f>IFERROR(AD24*ASSUMPTIONS!$D$29,0)</f>
        <v/>
      </c>
      <c r="AE26" s="295">
        <f>IFERROR(AE24*ASSUMPTIONS!$D$29,0)</f>
        <v/>
      </c>
      <c r="AF26" s="295">
        <f>IFERROR(AF24*ASSUMPTIONS!$D$29,0)</f>
        <v/>
      </c>
      <c r="AG26" s="295">
        <f>IFERROR(AG24*ASSUMPTIONS!$D$29,0)</f>
        <v/>
      </c>
      <c r="AH26" s="295">
        <f>IFERROR(AH24*ASSUMPTIONS!$D$29,0)</f>
        <v/>
      </c>
      <c r="AI26" s="295">
        <f>IFERROR(AI24*ASSUMPTIONS!$D$29,0)</f>
        <v/>
      </c>
      <c r="AJ26" s="295">
        <f>IFERROR(AJ24*ASSUMPTIONS!$D$29,0)</f>
        <v/>
      </c>
      <c r="AK26" s="295">
        <f>IFERROR(AK24*ASSUMPTIONS!$D$29,0)</f>
        <v/>
      </c>
      <c r="AL26" s="295">
        <f>IFERROR(AL24*ASSUMPTIONS!$D$29,0)</f>
        <v/>
      </c>
      <c r="AM26" s="295">
        <f>IFERROR(AM24*ASSUMPTIONS!$D$29,0)</f>
        <v/>
      </c>
      <c r="AN26" s="295">
        <f>SUM(AB26:AM26)</f>
        <v/>
      </c>
      <c r="AO26" s="295">
        <f>IFERROR(AO24*ASSUMPTIONS!$E$29,0)</f>
        <v/>
      </c>
      <c r="AP26" s="295">
        <f>IFERROR(AP24*ASSUMPTIONS!$E$29,0)</f>
        <v/>
      </c>
      <c r="AQ26" s="295">
        <f>IFERROR(AQ24*ASSUMPTIONS!$E$29,0)</f>
        <v/>
      </c>
      <c r="AR26" s="295">
        <f>IFERROR(AR24*ASSUMPTIONS!$E$29,0)</f>
        <v/>
      </c>
      <c r="AS26" s="295">
        <f>IFERROR(AS24*ASSUMPTIONS!$E$29,0)</f>
        <v/>
      </c>
      <c r="AT26" s="295">
        <f>IFERROR(AT24*ASSUMPTIONS!$E$29,0)</f>
        <v/>
      </c>
      <c r="AU26" s="295">
        <f>IFERROR(AU24*ASSUMPTIONS!$E$29,0)</f>
        <v/>
      </c>
      <c r="AV26" s="295">
        <f>IFERROR(AV24*ASSUMPTIONS!$E$29,0)</f>
        <v/>
      </c>
      <c r="AW26" s="295">
        <f>IFERROR(AW24*ASSUMPTIONS!$E$29,0)</f>
        <v/>
      </c>
      <c r="AX26" s="295">
        <f>IFERROR(AX24*ASSUMPTIONS!$E$29,0)</f>
        <v/>
      </c>
      <c r="AY26" s="295">
        <f>IFERROR(AY24*ASSUMPTIONS!$E$29,0)</f>
        <v/>
      </c>
      <c r="AZ26" s="295">
        <f>IFERROR(AZ24*ASSUMPTIONS!$E$29,0)</f>
        <v/>
      </c>
      <c r="BA26" s="296">
        <f>SUM(AO26:AZ26)</f>
        <v/>
      </c>
      <c r="BB26" s="295">
        <f>IFERROR(BB24*ASSUMPTIONS!$F$29,0)</f>
        <v/>
      </c>
      <c r="BC26" s="295">
        <f>IFERROR(BC24*ASSUMPTIONS!$F$29,0)</f>
        <v/>
      </c>
      <c r="BD26" s="295">
        <f>IFERROR(BD24*ASSUMPTIONS!$F$29,0)</f>
        <v/>
      </c>
      <c r="BE26" s="295">
        <f>IFERROR(BE24*ASSUMPTIONS!$F$29,0)</f>
        <v/>
      </c>
      <c r="BF26" s="295">
        <f>IFERROR(BF24*ASSUMPTIONS!$F$29,0)</f>
        <v/>
      </c>
      <c r="BG26" s="295">
        <f>IFERROR(BG24*ASSUMPTIONS!$F$29,0)</f>
        <v/>
      </c>
      <c r="BH26" s="295">
        <f>IFERROR(BH24*ASSUMPTIONS!$F$29,0)</f>
        <v/>
      </c>
      <c r="BI26" s="295">
        <f>IFERROR(BI24*ASSUMPTIONS!$F$29,0)</f>
        <v/>
      </c>
      <c r="BJ26" s="295">
        <f>IFERROR(BJ24*ASSUMPTIONS!$F$29,0)</f>
        <v/>
      </c>
      <c r="BK26" s="295">
        <f>IFERROR(BK24*ASSUMPTIONS!$F$29,0)</f>
        <v/>
      </c>
      <c r="BL26" s="295">
        <f>IFERROR(BL24*ASSUMPTIONS!$F$29,0)</f>
        <v/>
      </c>
      <c r="BM26" s="295">
        <f>IFERROR(BM24*ASSUMPTIONS!$F$29,0)</f>
        <v/>
      </c>
      <c r="BN26" s="296">
        <f>SUM(BB26:BM26)</f>
        <v/>
      </c>
    </row>
    <row r="27" ht="6" customHeight="1" s="218">
      <c r="A27" s="297" t="n"/>
      <c r="B27" s="297" t="n"/>
      <c r="C27" s="297" t="n"/>
      <c r="D27" s="297" t="n"/>
      <c r="E27" s="297" t="n"/>
      <c r="F27" s="297" t="n"/>
      <c r="G27" s="297" t="n"/>
      <c r="H27" s="297" t="n"/>
      <c r="I27" s="297" t="n"/>
      <c r="J27" s="297" t="n"/>
      <c r="K27" s="297" t="n"/>
      <c r="L27" s="297" t="n"/>
      <c r="M27" s="297" t="n"/>
      <c r="N27" s="297" t="n"/>
      <c r="O27" s="297" t="n"/>
      <c r="P27" s="297" t="n"/>
      <c r="Q27" s="297" t="n"/>
      <c r="R27" s="297" t="n"/>
      <c r="S27" s="297" t="n"/>
      <c r="T27" s="297" t="n"/>
      <c r="U27" s="297" t="n"/>
      <c r="V27" s="297" t="n"/>
      <c r="W27" s="297" t="n"/>
      <c r="X27" s="297" t="n"/>
      <c r="Y27" s="297" t="n"/>
      <c r="Z27" s="297" t="n"/>
      <c r="AA27" s="297" t="n"/>
      <c r="AB27" s="297" t="n"/>
      <c r="AC27" s="297" t="n"/>
      <c r="AD27" s="297" t="n"/>
      <c r="AE27" s="297" t="n"/>
      <c r="AF27" s="297" t="n"/>
      <c r="AG27" s="297" t="n"/>
      <c r="AH27" s="297" t="n"/>
      <c r="AI27" s="297" t="n"/>
      <c r="AJ27" s="297" t="n"/>
      <c r="AK27" s="297" t="n"/>
      <c r="AL27" s="297" t="n"/>
      <c r="AM27" s="297" t="n"/>
      <c r="AN27" s="297" t="n"/>
      <c r="AO27" s="297" t="n"/>
      <c r="AP27" s="297" t="n"/>
      <c r="AQ27" s="297" t="n"/>
      <c r="AR27" s="297" t="n"/>
      <c r="AS27" s="297" t="n"/>
      <c r="AT27" s="297" t="n"/>
      <c r="AU27" s="297" t="n"/>
      <c r="AV27" s="297" t="n"/>
      <c r="AW27" s="297" t="n"/>
      <c r="AX27" s="297" t="n"/>
      <c r="AY27" s="297" t="n"/>
      <c r="AZ27" s="297" t="n"/>
      <c r="BA27" s="298" t="n"/>
      <c r="BB27" s="297" t="n"/>
      <c r="BC27" s="297" t="n"/>
      <c r="BD27" s="297" t="n"/>
      <c r="BE27" s="297" t="n"/>
      <c r="BF27" s="297" t="n"/>
      <c r="BG27" s="297" t="n"/>
      <c r="BH27" s="297" t="n"/>
      <c r="BI27" s="297" t="n"/>
      <c r="BJ27" s="297" t="n"/>
      <c r="BK27" s="297" t="n"/>
      <c r="BL27" s="297" t="n"/>
      <c r="BM27" s="297" t="n"/>
      <c r="BN27" s="298" t="n"/>
    </row>
    <row r="28" ht="19.5" customHeight="1" s="218">
      <c r="A28" s="304" t="inlineStr">
        <is>
          <t>TOTAL REVENUE SUMMARY</t>
        </is>
      </c>
    </row>
    <row r="29" ht="18" customHeight="1" s="218">
      <c r="A29" s="291" t="inlineStr">
        <is>
          <t xml:space="preserve">  Marketplace Revenue (£)</t>
        </is>
      </c>
      <c r="B29" s="292">
        <f>B19</f>
        <v/>
      </c>
      <c r="C29" s="292">
        <f>C19</f>
        <v/>
      </c>
      <c r="D29" s="292">
        <f>D19</f>
        <v/>
      </c>
      <c r="E29" s="292">
        <f>E19</f>
        <v/>
      </c>
      <c r="F29" s="292">
        <f>F19</f>
        <v/>
      </c>
      <c r="G29" s="292">
        <f>G19</f>
        <v/>
      </c>
      <c r="H29" s="292">
        <f>H19</f>
        <v/>
      </c>
      <c r="I29" s="292">
        <f>I19</f>
        <v/>
      </c>
      <c r="J29" s="292">
        <f>J19</f>
        <v/>
      </c>
      <c r="K29" s="292">
        <f>K19</f>
        <v/>
      </c>
      <c r="L29" s="292">
        <f>L19</f>
        <v/>
      </c>
      <c r="M29" s="292">
        <f>M19</f>
        <v/>
      </c>
      <c r="N29" s="289">
        <f>SUM(B29:M29)</f>
        <v/>
      </c>
      <c r="O29" s="292">
        <f>O19</f>
        <v/>
      </c>
      <c r="P29" s="292">
        <f>P19</f>
        <v/>
      </c>
      <c r="Q29" s="292">
        <f>Q19</f>
        <v/>
      </c>
      <c r="R29" s="292">
        <f>R19</f>
        <v/>
      </c>
      <c r="S29" s="292">
        <f>S19</f>
        <v/>
      </c>
      <c r="T29" s="292">
        <f>T19</f>
        <v/>
      </c>
      <c r="U29" s="292">
        <f>U19</f>
        <v/>
      </c>
      <c r="V29" s="292">
        <f>V19</f>
        <v/>
      </c>
      <c r="W29" s="292">
        <f>W19</f>
        <v/>
      </c>
      <c r="X29" s="292">
        <f>X19</f>
        <v/>
      </c>
      <c r="Y29" s="292">
        <f>Y19</f>
        <v/>
      </c>
      <c r="Z29" s="292">
        <f>Z19</f>
        <v/>
      </c>
      <c r="AA29" s="289">
        <f>SUM(O29:Z29)</f>
        <v/>
      </c>
      <c r="AB29" s="292">
        <f>AB19</f>
        <v/>
      </c>
      <c r="AC29" s="292">
        <f>AC19</f>
        <v/>
      </c>
      <c r="AD29" s="292">
        <f>AD19</f>
        <v/>
      </c>
      <c r="AE29" s="292">
        <f>AE19</f>
        <v/>
      </c>
      <c r="AF29" s="292">
        <f>AF19</f>
        <v/>
      </c>
      <c r="AG29" s="292">
        <f>AG19</f>
        <v/>
      </c>
      <c r="AH29" s="292">
        <f>AH19</f>
        <v/>
      </c>
      <c r="AI29" s="292">
        <f>AI19</f>
        <v/>
      </c>
      <c r="AJ29" s="292">
        <f>AJ19</f>
        <v/>
      </c>
      <c r="AK29" s="292">
        <f>AK19</f>
        <v/>
      </c>
      <c r="AL29" s="292">
        <f>AL19</f>
        <v/>
      </c>
      <c r="AM29" s="292">
        <f>AM19</f>
        <v/>
      </c>
      <c r="AN29" s="289">
        <f>SUM(AB29:AM29)</f>
        <v/>
      </c>
      <c r="AO29" s="292">
        <f>AO19</f>
        <v/>
      </c>
      <c r="AP29" s="292">
        <f>AP19</f>
        <v/>
      </c>
      <c r="AQ29" s="292">
        <f>AQ19</f>
        <v/>
      </c>
      <c r="AR29" s="292">
        <f>AR19</f>
        <v/>
      </c>
      <c r="AS29" s="292">
        <f>AS19</f>
        <v/>
      </c>
      <c r="AT29" s="292">
        <f>AT19</f>
        <v/>
      </c>
      <c r="AU29" s="292">
        <f>AU19</f>
        <v/>
      </c>
      <c r="AV29" s="292">
        <f>AV19</f>
        <v/>
      </c>
      <c r="AW29" s="292">
        <f>AW19</f>
        <v/>
      </c>
      <c r="AX29" s="292">
        <f>AX19</f>
        <v/>
      </c>
      <c r="AY29" s="292">
        <f>AY19</f>
        <v/>
      </c>
      <c r="AZ29" s="292">
        <f>AZ19</f>
        <v/>
      </c>
      <c r="BA29" s="290">
        <f>SUM(AO29:AZ29)</f>
        <v/>
      </c>
      <c r="BB29" s="292">
        <f>BB19</f>
        <v/>
      </c>
      <c r="BC29" s="292">
        <f>BC19</f>
        <v/>
      </c>
      <c r="BD29" s="292">
        <f>BD19</f>
        <v/>
      </c>
      <c r="BE29" s="292">
        <f>BE19</f>
        <v/>
      </c>
      <c r="BF29" s="292">
        <f>BF19</f>
        <v/>
      </c>
      <c r="BG29" s="292">
        <f>BG19</f>
        <v/>
      </c>
      <c r="BH29" s="292">
        <f>BH19</f>
        <v/>
      </c>
      <c r="BI29" s="292">
        <f>BI19</f>
        <v/>
      </c>
      <c r="BJ29" s="292">
        <f>BJ19</f>
        <v/>
      </c>
      <c r="BK29" s="292">
        <f>BK19</f>
        <v/>
      </c>
      <c r="BL29" s="292">
        <f>BL19</f>
        <v/>
      </c>
      <c r="BM29" s="292">
        <f>BM19</f>
        <v/>
      </c>
      <c r="BN29" s="290">
        <f>SUM(BB29:BM29)</f>
        <v/>
      </c>
    </row>
    <row r="30" ht="18" customHeight="1" s="218">
      <c r="A30" s="293" t="inlineStr">
        <is>
          <t xml:space="preserve">  SaaS Revenue (£)</t>
        </is>
      </c>
      <c r="B30" s="292">
        <f>B26</f>
        <v/>
      </c>
      <c r="C30" s="292">
        <f>C26</f>
        <v/>
      </c>
      <c r="D30" s="292">
        <f>D26</f>
        <v/>
      </c>
      <c r="E30" s="292">
        <f>E26</f>
        <v/>
      </c>
      <c r="F30" s="292">
        <f>F26</f>
        <v/>
      </c>
      <c r="G30" s="292">
        <f>G26</f>
        <v/>
      </c>
      <c r="H30" s="292">
        <f>H26</f>
        <v/>
      </c>
      <c r="I30" s="292">
        <f>I26</f>
        <v/>
      </c>
      <c r="J30" s="292">
        <f>J26</f>
        <v/>
      </c>
      <c r="K30" s="292">
        <f>K26</f>
        <v/>
      </c>
      <c r="L30" s="292">
        <f>L26</f>
        <v/>
      </c>
      <c r="M30" s="292">
        <f>M26</f>
        <v/>
      </c>
      <c r="N30" s="289">
        <f>SUM(B30:M30)</f>
        <v/>
      </c>
      <c r="O30" s="292">
        <f>O26</f>
        <v/>
      </c>
      <c r="P30" s="292">
        <f>P26</f>
        <v/>
      </c>
      <c r="Q30" s="292">
        <f>Q26</f>
        <v/>
      </c>
      <c r="R30" s="292">
        <f>R26</f>
        <v/>
      </c>
      <c r="S30" s="292">
        <f>S26</f>
        <v/>
      </c>
      <c r="T30" s="292">
        <f>T26</f>
        <v/>
      </c>
      <c r="U30" s="292">
        <f>U26</f>
        <v/>
      </c>
      <c r="V30" s="292">
        <f>V26</f>
        <v/>
      </c>
      <c r="W30" s="292">
        <f>W26</f>
        <v/>
      </c>
      <c r="X30" s="292">
        <f>X26</f>
        <v/>
      </c>
      <c r="Y30" s="292">
        <f>Y26</f>
        <v/>
      </c>
      <c r="Z30" s="292">
        <f>Z26</f>
        <v/>
      </c>
      <c r="AA30" s="289">
        <f>SUM(O30:Z30)</f>
        <v/>
      </c>
      <c r="AB30" s="292">
        <f>AB26</f>
        <v/>
      </c>
      <c r="AC30" s="292">
        <f>AC26</f>
        <v/>
      </c>
      <c r="AD30" s="292">
        <f>AD26</f>
        <v/>
      </c>
      <c r="AE30" s="292">
        <f>AE26</f>
        <v/>
      </c>
      <c r="AF30" s="292">
        <f>AF26</f>
        <v/>
      </c>
      <c r="AG30" s="292">
        <f>AG26</f>
        <v/>
      </c>
      <c r="AH30" s="292">
        <f>AH26</f>
        <v/>
      </c>
      <c r="AI30" s="292">
        <f>AI26</f>
        <v/>
      </c>
      <c r="AJ30" s="292">
        <f>AJ26</f>
        <v/>
      </c>
      <c r="AK30" s="292">
        <f>AK26</f>
        <v/>
      </c>
      <c r="AL30" s="292">
        <f>AL26</f>
        <v/>
      </c>
      <c r="AM30" s="292">
        <f>AM26</f>
        <v/>
      </c>
      <c r="AN30" s="289">
        <f>SUM(AB30:AM30)</f>
        <v/>
      </c>
      <c r="AO30" s="292">
        <f>AO26</f>
        <v/>
      </c>
      <c r="AP30" s="292">
        <f>AP26</f>
        <v/>
      </c>
      <c r="AQ30" s="292">
        <f>AQ26</f>
        <v/>
      </c>
      <c r="AR30" s="292">
        <f>AR26</f>
        <v/>
      </c>
      <c r="AS30" s="292">
        <f>AS26</f>
        <v/>
      </c>
      <c r="AT30" s="292">
        <f>AT26</f>
        <v/>
      </c>
      <c r="AU30" s="292">
        <f>AU26</f>
        <v/>
      </c>
      <c r="AV30" s="292">
        <f>AV26</f>
        <v/>
      </c>
      <c r="AW30" s="292">
        <f>AW26</f>
        <v/>
      </c>
      <c r="AX30" s="292">
        <f>AX26</f>
        <v/>
      </c>
      <c r="AY30" s="292">
        <f>AY26</f>
        <v/>
      </c>
      <c r="AZ30" s="292">
        <f>AZ26</f>
        <v/>
      </c>
      <c r="BA30" s="290">
        <f>SUM(AO30:AZ30)</f>
        <v/>
      </c>
      <c r="BB30" s="292">
        <f>BB26</f>
        <v/>
      </c>
      <c r="BC30" s="292">
        <f>BC26</f>
        <v/>
      </c>
      <c r="BD30" s="292">
        <f>BD26</f>
        <v/>
      </c>
      <c r="BE30" s="292">
        <f>BE26</f>
        <v/>
      </c>
      <c r="BF30" s="292">
        <f>BF26</f>
        <v/>
      </c>
      <c r="BG30" s="292">
        <f>BG26</f>
        <v/>
      </c>
      <c r="BH30" s="292">
        <f>BH26</f>
        <v/>
      </c>
      <c r="BI30" s="292">
        <f>BI26</f>
        <v/>
      </c>
      <c r="BJ30" s="292">
        <f>BJ26</f>
        <v/>
      </c>
      <c r="BK30" s="292">
        <f>BK26</f>
        <v/>
      </c>
      <c r="BL30" s="292">
        <f>BL26</f>
        <v/>
      </c>
      <c r="BM30" s="292">
        <f>BM26</f>
        <v/>
      </c>
      <c r="BN30" s="290">
        <f>SUM(BB30:BM30)</f>
        <v/>
      </c>
    </row>
    <row r="31" ht="18" customHeight="1" s="218">
      <c r="A31" s="294" t="inlineStr">
        <is>
          <t>TOTAL REVENUE (£)</t>
        </is>
      </c>
      <c r="B31" s="295">
        <f>IFERROR(B19+B26,0)</f>
        <v/>
      </c>
      <c r="C31" s="295">
        <f>IFERROR(C19+C26,0)</f>
        <v/>
      </c>
      <c r="D31" s="295">
        <f>IFERROR(D19+D26,0)</f>
        <v/>
      </c>
      <c r="E31" s="295">
        <f>IFERROR(E19+E26,0)</f>
        <v/>
      </c>
      <c r="F31" s="295">
        <f>IFERROR(F19+F26,0)</f>
        <v/>
      </c>
      <c r="G31" s="295">
        <f>IFERROR(G19+G26,0)</f>
        <v/>
      </c>
      <c r="H31" s="295">
        <f>IFERROR(H19+H26,0)</f>
        <v/>
      </c>
      <c r="I31" s="295">
        <f>IFERROR(I19+I26,0)</f>
        <v/>
      </c>
      <c r="J31" s="295">
        <f>IFERROR(J19+J26,0)</f>
        <v/>
      </c>
      <c r="K31" s="295">
        <f>IFERROR(K19+K26,0)</f>
        <v/>
      </c>
      <c r="L31" s="295">
        <f>IFERROR(L19+L26,0)</f>
        <v/>
      </c>
      <c r="M31" s="295">
        <f>IFERROR(M19+M26,0)</f>
        <v/>
      </c>
      <c r="N31" s="295">
        <f>SUM(B31:M31)</f>
        <v/>
      </c>
      <c r="O31" s="295">
        <f>IFERROR(O19+O26,0)</f>
        <v/>
      </c>
      <c r="P31" s="295">
        <f>IFERROR(P19+P26,0)</f>
        <v/>
      </c>
      <c r="Q31" s="295">
        <f>IFERROR(Q19+Q26,0)</f>
        <v/>
      </c>
      <c r="R31" s="295">
        <f>IFERROR(R19+R26,0)</f>
        <v/>
      </c>
      <c r="S31" s="295">
        <f>IFERROR(S19+S26,0)</f>
        <v/>
      </c>
      <c r="T31" s="295">
        <f>IFERROR(T19+T26,0)</f>
        <v/>
      </c>
      <c r="U31" s="295">
        <f>IFERROR(U19+U26,0)</f>
        <v/>
      </c>
      <c r="V31" s="295">
        <f>IFERROR(V19+V26,0)</f>
        <v/>
      </c>
      <c r="W31" s="295">
        <f>IFERROR(W19+W26,0)</f>
        <v/>
      </c>
      <c r="X31" s="295">
        <f>IFERROR(X19+X26,0)</f>
        <v/>
      </c>
      <c r="Y31" s="295">
        <f>IFERROR(Y19+Y26,0)</f>
        <v/>
      </c>
      <c r="Z31" s="295">
        <f>IFERROR(Z19+Z26,0)</f>
        <v/>
      </c>
      <c r="AA31" s="295">
        <f>SUM(O31:Z31)</f>
        <v/>
      </c>
      <c r="AB31" s="295">
        <f>IFERROR(AB19+AB26,0)</f>
        <v/>
      </c>
      <c r="AC31" s="295">
        <f>IFERROR(AC19+AC26,0)</f>
        <v/>
      </c>
      <c r="AD31" s="295">
        <f>IFERROR(AD19+AD26,0)</f>
        <v/>
      </c>
      <c r="AE31" s="295">
        <f>IFERROR(AE19+AE26,0)</f>
        <v/>
      </c>
      <c r="AF31" s="295">
        <f>IFERROR(AF19+AF26,0)</f>
        <v/>
      </c>
      <c r="AG31" s="295">
        <f>IFERROR(AG19+AG26,0)</f>
        <v/>
      </c>
      <c r="AH31" s="295">
        <f>IFERROR(AH19+AH26,0)</f>
        <v/>
      </c>
      <c r="AI31" s="295">
        <f>IFERROR(AI19+AI26,0)</f>
        <v/>
      </c>
      <c r="AJ31" s="295">
        <f>IFERROR(AJ19+AJ26,0)</f>
        <v/>
      </c>
      <c r="AK31" s="295">
        <f>IFERROR(AK19+AK26,0)</f>
        <v/>
      </c>
      <c r="AL31" s="295">
        <f>IFERROR(AL19+AL26,0)</f>
        <v/>
      </c>
      <c r="AM31" s="295">
        <f>IFERROR(AM19+AM26,0)</f>
        <v/>
      </c>
      <c r="AN31" s="295">
        <f>SUM(AB31:AM31)</f>
        <v/>
      </c>
      <c r="AO31" s="295">
        <f>IFERROR(AO19+AO26,0)</f>
        <v/>
      </c>
      <c r="AP31" s="295">
        <f>IFERROR(AP19+AP26,0)</f>
        <v/>
      </c>
      <c r="AQ31" s="295">
        <f>IFERROR(AQ19+AQ26,0)</f>
        <v/>
      </c>
      <c r="AR31" s="295">
        <f>IFERROR(AR19+AR26,0)</f>
        <v/>
      </c>
      <c r="AS31" s="295">
        <f>IFERROR(AS19+AS26,0)</f>
        <v/>
      </c>
      <c r="AT31" s="295">
        <f>IFERROR(AT19+AT26,0)</f>
        <v/>
      </c>
      <c r="AU31" s="295">
        <f>IFERROR(AU19+AU26,0)</f>
        <v/>
      </c>
      <c r="AV31" s="295">
        <f>IFERROR(AV19+AV26,0)</f>
        <v/>
      </c>
      <c r="AW31" s="295">
        <f>IFERROR(AW19+AW26,0)</f>
        <v/>
      </c>
      <c r="AX31" s="295">
        <f>IFERROR(AX19+AX26,0)</f>
        <v/>
      </c>
      <c r="AY31" s="295">
        <f>IFERROR(AY19+AY26,0)</f>
        <v/>
      </c>
      <c r="AZ31" s="295">
        <f>IFERROR(AZ19+AZ26,0)</f>
        <v/>
      </c>
      <c r="BA31" s="296">
        <f>SUM(AO31:AZ31)</f>
        <v/>
      </c>
      <c r="BB31" s="295">
        <f>IFERROR(BB19+BB26,0)</f>
        <v/>
      </c>
      <c r="BC31" s="295">
        <f>IFERROR(BC19+BC26,0)</f>
        <v/>
      </c>
      <c r="BD31" s="295">
        <f>IFERROR(BD19+BD26,0)</f>
        <v/>
      </c>
      <c r="BE31" s="295">
        <f>IFERROR(BE19+BE26,0)</f>
        <v/>
      </c>
      <c r="BF31" s="295">
        <f>IFERROR(BF19+BF26,0)</f>
        <v/>
      </c>
      <c r="BG31" s="295">
        <f>IFERROR(BG19+BG26,0)</f>
        <v/>
      </c>
      <c r="BH31" s="295">
        <f>IFERROR(BH19+BH26,0)</f>
        <v/>
      </c>
      <c r="BI31" s="295">
        <f>IFERROR(BI19+BI26,0)</f>
        <v/>
      </c>
      <c r="BJ31" s="295">
        <f>IFERROR(BJ19+BJ26,0)</f>
        <v/>
      </c>
      <c r="BK31" s="295">
        <f>IFERROR(BK19+BK26,0)</f>
        <v/>
      </c>
      <c r="BL31" s="295">
        <f>IFERROR(BL19+BL26,0)</f>
        <v/>
      </c>
      <c r="BM31" s="295">
        <f>IFERROR(BM19+BM26,0)</f>
        <v/>
      </c>
      <c r="BN31" s="296">
        <f>SUM(BB31:BM31)</f>
        <v/>
      </c>
    </row>
    <row r="32" ht="18" customHeight="1" s="218">
      <c r="A32" s="238" t="inlineStr">
        <is>
          <t xml:space="preserve">  Month-on-Month Revenue Growth %</t>
        </is>
      </c>
      <c r="B32" s="305" t="n"/>
      <c r="C32" s="305">
        <f>IFERROR((C29-B29)/B29,0)</f>
        <v/>
      </c>
      <c r="D32" s="305">
        <f>IFERROR((D29-C29)/C29,0)</f>
        <v/>
      </c>
      <c r="E32" s="305">
        <f>IFERROR((E29-D29)/D29,0)</f>
        <v/>
      </c>
      <c r="F32" s="305">
        <f>IFERROR((F29-E29)/E29,0)</f>
        <v/>
      </c>
      <c r="G32" s="305">
        <f>IFERROR((G29-F29)/F29,0)</f>
        <v/>
      </c>
      <c r="H32" s="305">
        <f>IFERROR((H29-G29)/G29,0)</f>
        <v/>
      </c>
      <c r="I32" s="305">
        <f>IFERROR((I29-H29)/H29,0)</f>
        <v/>
      </c>
      <c r="J32" s="305">
        <f>IFERROR((J29-I29)/I29,0)</f>
        <v/>
      </c>
      <c r="K32" s="305">
        <f>IFERROR((K29-J29)/J29,0)</f>
        <v/>
      </c>
      <c r="L32" s="305">
        <f>IFERROR((L29-K29)/K29,0)</f>
        <v/>
      </c>
      <c r="M32" s="305">
        <f>IFERROR((M29-L29)/L29,0)</f>
        <v/>
      </c>
      <c r="N32" s="306">
        <f>M32</f>
        <v/>
      </c>
      <c r="O32" s="305">
        <f>IFERROR((O29-M29)/M29,0)</f>
        <v/>
      </c>
      <c r="P32" s="305">
        <f>IFERROR((P29-O29)/O29,0)</f>
        <v/>
      </c>
      <c r="Q32" s="305">
        <f>IFERROR((Q29-P29)/P29,0)</f>
        <v/>
      </c>
      <c r="R32" s="305">
        <f>IFERROR((R29-Q29)/Q29,0)</f>
        <v/>
      </c>
      <c r="S32" s="305">
        <f>IFERROR((S29-R29)/R29,0)</f>
        <v/>
      </c>
      <c r="T32" s="305">
        <f>IFERROR((T29-S29)/S29,0)</f>
        <v/>
      </c>
      <c r="U32" s="305">
        <f>IFERROR((U29-T29)/T29,0)</f>
        <v/>
      </c>
      <c r="V32" s="305">
        <f>IFERROR((V29-U29)/U29,0)</f>
        <v/>
      </c>
      <c r="W32" s="305">
        <f>IFERROR((W29-V29)/V29,0)</f>
        <v/>
      </c>
      <c r="X32" s="305">
        <f>IFERROR((X29-W29)/W29,0)</f>
        <v/>
      </c>
      <c r="Y32" s="305">
        <f>IFERROR((Y29-X29)/X29,0)</f>
        <v/>
      </c>
      <c r="Z32" s="305">
        <f>IFERROR((Z29-Y29)/Y29,0)</f>
        <v/>
      </c>
      <c r="AA32" s="306">
        <f>Z32</f>
        <v/>
      </c>
      <c r="AB32" s="305">
        <f>IFERROR((AB29-Z29)/Z29,0)</f>
        <v/>
      </c>
      <c r="AC32" s="305">
        <f>IFERROR((AC29-AB29)/AB29,0)</f>
        <v/>
      </c>
      <c r="AD32" s="305">
        <f>IFERROR((AD29-AC29)/AC29,0)</f>
        <v/>
      </c>
      <c r="AE32" s="305">
        <f>IFERROR((AE29-AD29)/AD29,0)</f>
        <v/>
      </c>
      <c r="AF32" s="305">
        <f>IFERROR((AF29-AE29)/AE29,0)</f>
        <v/>
      </c>
      <c r="AG32" s="305">
        <f>IFERROR((AG29-AF29)/AF29,0)</f>
        <v/>
      </c>
      <c r="AH32" s="305">
        <f>IFERROR((AH29-AG29)/AG29,0)</f>
        <v/>
      </c>
      <c r="AI32" s="305">
        <f>IFERROR((AI29-AH29)/AH29,0)</f>
        <v/>
      </c>
      <c r="AJ32" s="305">
        <f>IFERROR((AJ29-AI29)/AI29,0)</f>
        <v/>
      </c>
      <c r="AK32" s="305">
        <f>IFERROR((AK29-AJ29)/AJ29,0)</f>
        <v/>
      </c>
      <c r="AL32" s="305">
        <f>IFERROR((AL29-AK29)/AK29,0)</f>
        <v/>
      </c>
      <c r="AM32" s="305">
        <f>IFERROR((AM29-AL29)/AL29,0)</f>
        <v/>
      </c>
      <c r="AN32" s="306">
        <f>AM32</f>
        <v/>
      </c>
      <c r="AO32" s="305">
        <f>IFERROR((AO29-AM29)/AM29,0)</f>
        <v/>
      </c>
      <c r="AP32" s="305">
        <f>IFERROR((AP29-AO29)/AO29,0)</f>
        <v/>
      </c>
      <c r="AQ32" s="305">
        <f>IFERROR((AQ29-AP29)/AP29,0)</f>
        <v/>
      </c>
      <c r="AR32" s="305">
        <f>IFERROR((AR29-AQ29)/AQ29,0)</f>
        <v/>
      </c>
      <c r="AS32" s="305">
        <f>IFERROR((AS29-AR29)/AR29,0)</f>
        <v/>
      </c>
      <c r="AT32" s="305">
        <f>IFERROR((AT29-AS29)/AS29,0)</f>
        <v/>
      </c>
      <c r="AU32" s="305">
        <f>IFERROR((AU29-AT29)/AT29,0)</f>
        <v/>
      </c>
      <c r="AV32" s="305">
        <f>IFERROR((AV29-AU29)/AU29,0)</f>
        <v/>
      </c>
      <c r="AW32" s="305">
        <f>IFERROR((AW29-AV29)/AV29,0)</f>
        <v/>
      </c>
      <c r="AX32" s="305">
        <f>IFERROR((AX29-AW29)/AW29,0)</f>
        <v/>
      </c>
      <c r="AY32" s="305">
        <f>IFERROR((AY29-AX29)/AX29,0)</f>
        <v/>
      </c>
      <c r="AZ32" s="305">
        <f>IFERROR((AZ29-AY29)/AY29,0)</f>
        <v/>
      </c>
      <c r="BA32" s="307">
        <f>AZ32</f>
        <v/>
      </c>
      <c r="BB32" s="305">
        <f>IFERROR((BB29-AZ29)/AZ29,0)</f>
        <v/>
      </c>
      <c r="BC32" s="305">
        <f>IFERROR((BC29-BB29)/BB29,0)</f>
        <v/>
      </c>
      <c r="BD32" s="305">
        <f>IFERROR((BD29-BC29)/BC29,0)</f>
        <v/>
      </c>
      <c r="BE32" s="305">
        <f>IFERROR((BE29-BD29)/BD29,0)</f>
        <v/>
      </c>
      <c r="BF32" s="305">
        <f>IFERROR((BF29-BE29)/BE29,0)</f>
        <v/>
      </c>
      <c r="BG32" s="305">
        <f>IFERROR((BG29-BF29)/BF29,0)</f>
        <v/>
      </c>
      <c r="BH32" s="305">
        <f>IFERROR((BH29-BG29)/BG29,0)</f>
        <v/>
      </c>
      <c r="BI32" s="305">
        <f>IFERROR((BI29-BH29)/BH29,0)</f>
        <v/>
      </c>
      <c r="BJ32" s="305">
        <f>IFERROR((BJ29-BI29)/BI29,0)</f>
        <v/>
      </c>
      <c r="BK32" s="305">
        <f>IFERROR((BK29-BJ29)/BJ29,0)</f>
        <v/>
      </c>
      <c r="BL32" s="305">
        <f>IFERROR((BL29-BK29)/BK29,0)</f>
        <v/>
      </c>
      <c r="BM32" s="305">
        <f>IFERROR((BM29-BL29)/BL29,0)</f>
        <v/>
      </c>
      <c r="BN32" s="307">
        <f>BM32</f>
        <v/>
      </c>
    </row>
    <row r="33" ht="6" customHeight="1" s="218">
      <c r="A33" s="221" t="n"/>
      <c r="B33" s="221" t="n"/>
      <c r="C33" s="221" t="n"/>
      <c r="D33" s="221" t="n"/>
      <c r="E33" s="221" t="n"/>
      <c r="F33" s="221" t="n"/>
      <c r="G33" s="221" t="n"/>
      <c r="H33" s="221" t="n"/>
      <c r="I33" s="221" t="n"/>
      <c r="J33" s="221" t="n"/>
      <c r="K33" s="221" t="n"/>
      <c r="L33" s="221" t="n"/>
      <c r="M33" s="221" t="n"/>
      <c r="N33" s="221" t="n"/>
      <c r="O33" s="221" t="n"/>
      <c r="P33" s="221" t="n"/>
      <c r="Q33" s="221" t="n"/>
      <c r="R33" s="221" t="n"/>
      <c r="S33" s="221" t="n"/>
      <c r="T33" s="221" t="n"/>
      <c r="U33" s="221" t="n"/>
      <c r="V33" s="221" t="n"/>
      <c r="W33" s="221" t="n"/>
      <c r="X33" s="221" t="n"/>
      <c r="Y33" s="221" t="n"/>
      <c r="Z33" s="221" t="n"/>
      <c r="AA33" s="221" t="n"/>
      <c r="AB33" s="221" t="n"/>
      <c r="AC33" s="221" t="n"/>
      <c r="AD33" s="221" t="n"/>
      <c r="AE33" s="221" t="n"/>
      <c r="AF33" s="221" t="n"/>
      <c r="AG33" s="221" t="n"/>
      <c r="AH33" s="221" t="n"/>
      <c r="AI33" s="221" t="n"/>
      <c r="AJ33" s="221" t="n"/>
      <c r="AK33" s="221" t="n"/>
      <c r="AL33" s="221" t="n"/>
      <c r="AM33" s="221" t="n"/>
      <c r="AN33" s="221" t="n"/>
      <c r="AO33" s="221" t="n"/>
      <c r="AP33" s="221" t="n"/>
      <c r="AQ33" s="221" t="n"/>
      <c r="AR33" s="221" t="n"/>
      <c r="AS33" s="221" t="n"/>
      <c r="AT33" s="221" t="n"/>
      <c r="AU33" s="221" t="n"/>
      <c r="AV33" s="221" t="n"/>
      <c r="AW33" s="221" t="n"/>
      <c r="AX33" s="221" t="n"/>
      <c r="AY33" s="221" t="n"/>
      <c r="AZ33" s="221" t="n"/>
      <c r="BA33" s="285" t="n"/>
      <c r="BB33" s="221" t="n"/>
      <c r="BC33" s="221" t="n"/>
      <c r="BD33" s="221" t="n"/>
      <c r="BE33" s="221" t="n"/>
      <c r="BF33" s="221" t="n"/>
      <c r="BG33" s="221" t="n"/>
      <c r="BH33" s="221" t="n"/>
      <c r="BI33" s="221" t="n"/>
      <c r="BJ33" s="221" t="n"/>
      <c r="BK33" s="221" t="n"/>
      <c r="BL33" s="221" t="n"/>
      <c r="BM33" s="221" t="n"/>
      <c r="BN33" s="285" t="n"/>
    </row>
    <row r="34" ht="19.5" customHeight="1" s="218">
      <c r="A34" s="308" t="inlineStr">
        <is>
          <t>COST OF GOODS SOLD (COGS)</t>
        </is>
      </c>
    </row>
    <row r="35" ht="18" customHeight="1" s="218">
      <c r="A35" s="291" t="inlineStr">
        <is>
          <t xml:space="preserve">  Payment Processing (% of GMV)</t>
        </is>
      </c>
      <c r="B35" s="292">
        <f>IFERROR(B16*ASSUMPTIONS!$B$39,0)</f>
        <v/>
      </c>
      <c r="C35" s="292">
        <f>IFERROR(C16*ASSUMPTIONS!$B$39,0)</f>
        <v/>
      </c>
      <c r="D35" s="292">
        <f>IFERROR(D16*ASSUMPTIONS!$B$39,0)</f>
        <v/>
      </c>
      <c r="E35" s="292">
        <f>IFERROR(E16*ASSUMPTIONS!$B$39,0)</f>
        <v/>
      </c>
      <c r="F35" s="292">
        <f>IFERROR(F16*ASSUMPTIONS!$B$39,0)</f>
        <v/>
      </c>
      <c r="G35" s="292">
        <f>IFERROR(G16*ASSUMPTIONS!$B$39,0)</f>
        <v/>
      </c>
      <c r="H35" s="292">
        <f>IFERROR(H16*ASSUMPTIONS!$B$39,0)</f>
        <v/>
      </c>
      <c r="I35" s="292">
        <f>IFERROR(I16*ASSUMPTIONS!$B$39,0)</f>
        <v/>
      </c>
      <c r="J35" s="292">
        <f>IFERROR(J16*ASSUMPTIONS!$B$39,0)</f>
        <v/>
      </c>
      <c r="K35" s="292">
        <f>IFERROR(K16*ASSUMPTIONS!$B$39,0)</f>
        <v/>
      </c>
      <c r="L35" s="292">
        <f>IFERROR(L16*ASSUMPTIONS!$B$39,0)</f>
        <v/>
      </c>
      <c r="M35" s="292">
        <f>IFERROR(M16*ASSUMPTIONS!$B$39,0)</f>
        <v/>
      </c>
      <c r="N35" s="289">
        <f>SUM(B35:M35)</f>
        <v/>
      </c>
      <c r="O35" s="292">
        <f>IFERROR(O16*ASSUMPTIONS!$C$39,0)</f>
        <v/>
      </c>
      <c r="P35" s="292">
        <f>IFERROR(P16*ASSUMPTIONS!$C$39,0)</f>
        <v/>
      </c>
      <c r="Q35" s="292">
        <f>IFERROR(Q16*ASSUMPTIONS!$C$39,0)</f>
        <v/>
      </c>
      <c r="R35" s="292">
        <f>IFERROR(R16*ASSUMPTIONS!$C$39,0)</f>
        <v/>
      </c>
      <c r="S35" s="292">
        <f>IFERROR(S16*ASSUMPTIONS!$C$39,0)</f>
        <v/>
      </c>
      <c r="T35" s="292">
        <f>IFERROR(T16*ASSUMPTIONS!$C$39,0)</f>
        <v/>
      </c>
      <c r="U35" s="292">
        <f>IFERROR(U16*ASSUMPTIONS!$C$39,0)</f>
        <v/>
      </c>
      <c r="V35" s="292">
        <f>IFERROR(V16*ASSUMPTIONS!$C$39,0)</f>
        <v/>
      </c>
      <c r="W35" s="292">
        <f>IFERROR(W16*ASSUMPTIONS!$C$39,0)</f>
        <v/>
      </c>
      <c r="X35" s="292">
        <f>IFERROR(X16*ASSUMPTIONS!$C$39,0)</f>
        <v/>
      </c>
      <c r="Y35" s="292">
        <f>IFERROR(Y16*ASSUMPTIONS!$C$39,0)</f>
        <v/>
      </c>
      <c r="Z35" s="292">
        <f>IFERROR(Z16*ASSUMPTIONS!$C$39,0)</f>
        <v/>
      </c>
      <c r="AA35" s="289">
        <f>SUM(O35:Z35)</f>
        <v/>
      </c>
      <c r="AB35" s="292">
        <f>IFERROR(AB16*ASSUMPTIONS!$D$39,0)</f>
        <v/>
      </c>
      <c r="AC35" s="292">
        <f>IFERROR(AC16*ASSUMPTIONS!$D$39,0)</f>
        <v/>
      </c>
      <c r="AD35" s="292">
        <f>IFERROR(AD16*ASSUMPTIONS!$D$39,0)</f>
        <v/>
      </c>
      <c r="AE35" s="292">
        <f>IFERROR(AE16*ASSUMPTIONS!$D$39,0)</f>
        <v/>
      </c>
      <c r="AF35" s="292">
        <f>IFERROR(AF16*ASSUMPTIONS!$D$39,0)</f>
        <v/>
      </c>
      <c r="AG35" s="292">
        <f>IFERROR(AG16*ASSUMPTIONS!$D$39,0)</f>
        <v/>
      </c>
      <c r="AH35" s="292">
        <f>IFERROR(AH16*ASSUMPTIONS!$D$39,0)</f>
        <v/>
      </c>
      <c r="AI35" s="292">
        <f>IFERROR(AI16*ASSUMPTIONS!$D$39,0)</f>
        <v/>
      </c>
      <c r="AJ35" s="292">
        <f>IFERROR(AJ16*ASSUMPTIONS!$D$39,0)</f>
        <v/>
      </c>
      <c r="AK35" s="292">
        <f>IFERROR(AK16*ASSUMPTIONS!$D$39,0)</f>
        <v/>
      </c>
      <c r="AL35" s="292">
        <f>IFERROR(AL16*ASSUMPTIONS!$D$39,0)</f>
        <v/>
      </c>
      <c r="AM35" s="292">
        <f>IFERROR(AM16*ASSUMPTIONS!$D$39,0)</f>
        <v/>
      </c>
      <c r="AN35" s="289">
        <f>SUM(AB35:AM35)</f>
        <v/>
      </c>
      <c r="AO35" s="292">
        <f>IFERROR(AO16*ASSUMPTIONS!$E$39,0)</f>
        <v/>
      </c>
      <c r="AP35" s="292">
        <f>IFERROR(AP16*ASSUMPTIONS!$E$39,0)</f>
        <v/>
      </c>
      <c r="AQ35" s="292">
        <f>IFERROR(AQ16*ASSUMPTIONS!$E$39,0)</f>
        <v/>
      </c>
      <c r="AR35" s="292">
        <f>IFERROR(AR16*ASSUMPTIONS!$E$39,0)</f>
        <v/>
      </c>
      <c r="AS35" s="292">
        <f>IFERROR(AS16*ASSUMPTIONS!$E$39,0)</f>
        <v/>
      </c>
      <c r="AT35" s="292">
        <f>IFERROR(AT16*ASSUMPTIONS!$E$39,0)</f>
        <v/>
      </c>
      <c r="AU35" s="292">
        <f>IFERROR(AU16*ASSUMPTIONS!$E$39,0)</f>
        <v/>
      </c>
      <c r="AV35" s="292">
        <f>IFERROR(AV16*ASSUMPTIONS!$E$39,0)</f>
        <v/>
      </c>
      <c r="AW35" s="292">
        <f>IFERROR(AW16*ASSUMPTIONS!$E$39,0)</f>
        <v/>
      </c>
      <c r="AX35" s="292">
        <f>IFERROR(AX16*ASSUMPTIONS!$E$39,0)</f>
        <v/>
      </c>
      <c r="AY35" s="292">
        <f>IFERROR(AY16*ASSUMPTIONS!$E$39,0)</f>
        <v/>
      </c>
      <c r="AZ35" s="292">
        <f>IFERROR(AZ16*ASSUMPTIONS!$E$39,0)</f>
        <v/>
      </c>
      <c r="BA35" s="290">
        <f>SUM(AO35:AZ35)</f>
        <v/>
      </c>
      <c r="BB35" s="292">
        <f>IFERROR(BB16*ASSUMPTIONS!$F$39,0)</f>
        <v/>
      </c>
      <c r="BC35" s="292">
        <f>IFERROR(BC16*ASSUMPTIONS!$F$39,0)</f>
        <v/>
      </c>
      <c r="BD35" s="292">
        <f>IFERROR(BD16*ASSUMPTIONS!$F$39,0)</f>
        <v/>
      </c>
      <c r="BE35" s="292">
        <f>IFERROR(BE16*ASSUMPTIONS!$F$39,0)</f>
        <v/>
      </c>
      <c r="BF35" s="292">
        <f>IFERROR(BF16*ASSUMPTIONS!$F$39,0)</f>
        <v/>
      </c>
      <c r="BG35" s="292">
        <f>IFERROR(BG16*ASSUMPTIONS!$F$39,0)</f>
        <v/>
      </c>
      <c r="BH35" s="292">
        <f>IFERROR(BH16*ASSUMPTIONS!$F$39,0)</f>
        <v/>
      </c>
      <c r="BI35" s="292">
        <f>IFERROR(BI16*ASSUMPTIONS!$F$39,0)</f>
        <v/>
      </c>
      <c r="BJ35" s="292">
        <f>IFERROR(BJ16*ASSUMPTIONS!$F$39,0)</f>
        <v/>
      </c>
      <c r="BK35" s="292">
        <f>IFERROR(BK16*ASSUMPTIONS!$F$39,0)</f>
        <v/>
      </c>
      <c r="BL35" s="292">
        <f>IFERROR(BL16*ASSUMPTIONS!$F$39,0)</f>
        <v/>
      </c>
      <c r="BM35" s="292">
        <f>IFERROR(BM16*ASSUMPTIONS!$F$39,0)</f>
        <v/>
      </c>
      <c r="BN35" s="290">
        <f>SUM(BB35:BM35)</f>
        <v/>
      </c>
    </row>
    <row r="36" ht="18" customHeight="1" s="218">
      <c r="A36" s="293" t="inlineStr">
        <is>
          <t xml:space="preserve">  Cloud Infrastructure — Fixed</t>
        </is>
      </c>
      <c r="B36" s="292">
        <f>IFERROR(ASSUMPTIONS!$B$40,0)</f>
        <v/>
      </c>
      <c r="C36" s="292">
        <f>IFERROR(ASSUMPTIONS!$B$40,0)</f>
        <v/>
      </c>
      <c r="D36" s="292">
        <f>IFERROR(ASSUMPTIONS!$B$40,0)</f>
        <v/>
      </c>
      <c r="E36" s="292">
        <f>IFERROR(ASSUMPTIONS!$B$40,0)</f>
        <v/>
      </c>
      <c r="F36" s="292">
        <f>IFERROR(ASSUMPTIONS!$B$40,0)</f>
        <v/>
      </c>
      <c r="G36" s="292">
        <f>IFERROR(ASSUMPTIONS!$B$40,0)</f>
        <v/>
      </c>
      <c r="H36" s="292">
        <f>IFERROR(ASSUMPTIONS!$B$40,0)</f>
        <v/>
      </c>
      <c r="I36" s="292">
        <f>IFERROR(ASSUMPTIONS!$B$40,0)</f>
        <v/>
      </c>
      <c r="J36" s="292">
        <f>IFERROR(ASSUMPTIONS!$B$40,0)</f>
        <v/>
      </c>
      <c r="K36" s="292">
        <f>IFERROR(ASSUMPTIONS!$B$40,0)</f>
        <v/>
      </c>
      <c r="L36" s="292">
        <f>IFERROR(ASSUMPTIONS!$B$40,0)</f>
        <v/>
      </c>
      <c r="M36" s="292">
        <f>IFERROR(ASSUMPTIONS!$B$40,0)</f>
        <v/>
      </c>
      <c r="N36" s="289">
        <f>SUM(B36:M36)</f>
        <v/>
      </c>
      <c r="O36" s="292">
        <f>IFERROR(ASSUMPTIONS!$C$40,0)</f>
        <v/>
      </c>
      <c r="P36" s="292">
        <f>IFERROR(ASSUMPTIONS!$C$40,0)</f>
        <v/>
      </c>
      <c r="Q36" s="292">
        <f>IFERROR(ASSUMPTIONS!$C$40,0)</f>
        <v/>
      </c>
      <c r="R36" s="292">
        <f>IFERROR(ASSUMPTIONS!$C$40,0)</f>
        <v/>
      </c>
      <c r="S36" s="292">
        <f>IFERROR(ASSUMPTIONS!$C$40,0)</f>
        <v/>
      </c>
      <c r="T36" s="292">
        <f>IFERROR(ASSUMPTIONS!$C$40,0)</f>
        <v/>
      </c>
      <c r="U36" s="292">
        <f>IFERROR(ASSUMPTIONS!$C$40,0)</f>
        <v/>
      </c>
      <c r="V36" s="292">
        <f>IFERROR(ASSUMPTIONS!$C$40,0)</f>
        <v/>
      </c>
      <c r="W36" s="292">
        <f>IFERROR(ASSUMPTIONS!$C$40,0)</f>
        <v/>
      </c>
      <c r="X36" s="292">
        <f>IFERROR(ASSUMPTIONS!$C$40,0)</f>
        <v/>
      </c>
      <c r="Y36" s="292">
        <f>IFERROR(ASSUMPTIONS!$C$40,0)</f>
        <v/>
      </c>
      <c r="Z36" s="292">
        <f>IFERROR(ASSUMPTIONS!$C$40,0)</f>
        <v/>
      </c>
      <c r="AA36" s="289">
        <f>SUM(O36:Z36)</f>
        <v/>
      </c>
      <c r="AB36" s="292">
        <f>IFERROR(ASSUMPTIONS!$D$40,0)</f>
        <v/>
      </c>
      <c r="AC36" s="292">
        <f>IFERROR(ASSUMPTIONS!$D$40,0)</f>
        <v/>
      </c>
      <c r="AD36" s="292">
        <f>IFERROR(ASSUMPTIONS!$D$40,0)</f>
        <v/>
      </c>
      <c r="AE36" s="292">
        <f>IFERROR(ASSUMPTIONS!$D$40,0)</f>
        <v/>
      </c>
      <c r="AF36" s="292">
        <f>IFERROR(ASSUMPTIONS!$D$40,0)</f>
        <v/>
      </c>
      <c r="AG36" s="292">
        <f>IFERROR(ASSUMPTIONS!$D$40,0)</f>
        <v/>
      </c>
      <c r="AH36" s="292">
        <f>IFERROR(ASSUMPTIONS!$D$40,0)</f>
        <v/>
      </c>
      <c r="AI36" s="292">
        <f>IFERROR(ASSUMPTIONS!$D$40,0)</f>
        <v/>
      </c>
      <c r="AJ36" s="292">
        <f>IFERROR(ASSUMPTIONS!$D$40,0)</f>
        <v/>
      </c>
      <c r="AK36" s="292">
        <f>IFERROR(ASSUMPTIONS!$D$40,0)</f>
        <v/>
      </c>
      <c r="AL36" s="292">
        <f>IFERROR(ASSUMPTIONS!$D$40,0)</f>
        <v/>
      </c>
      <c r="AM36" s="292">
        <f>IFERROR(ASSUMPTIONS!$D$40,0)</f>
        <v/>
      </c>
      <c r="AN36" s="289">
        <f>SUM(AB36:AM36)</f>
        <v/>
      </c>
      <c r="AO36" s="292">
        <f>IFERROR(ASSUMPTIONS!$E$40,0)</f>
        <v/>
      </c>
      <c r="AP36" s="292">
        <f>IFERROR(ASSUMPTIONS!$E$40,0)</f>
        <v/>
      </c>
      <c r="AQ36" s="292">
        <f>IFERROR(ASSUMPTIONS!$E$40,0)</f>
        <v/>
      </c>
      <c r="AR36" s="292">
        <f>IFERROR(ASSUMPTIONS!$E$40,0)</f>
        <v/>
      </c>
      <c r="AS36" s="292">
        <f>IFERROR(ASSUMPTIONS!$E$40,0)</f>
        <v/>
      </c>
      <c r="AT36" s="292">
        <f>IFERROR(ASSUMPTIONS!$E$40,0)</f>
        <v/>
      </c>
      <c r="AU36" s="292">
        <f>IFERROR(ASSUMPTIONS!$E$40,0)</f>
        <v/>
      </c>
      <c r="AV36" s="292">
        <f>IFERROR(ASSUMPTIONS!$E$40,0)</f>
        <v/>
      </c>
      <c r="AW36" s="292">
        <f>IFERROR(ASSUMPTIONS!$E$40,0)</f>
        <v/>
      </c>
      <c r="AX36" s="292">
        <f>IFERROR(ASSUMPTIONS!$E$40,0)</f>
        <v/>
      </c>
      <c r="AY36" s="292">
        <f>IFERROR(ASSUMPTIONS!$E$40,0)</f>
        <v/>
      </c>
      <c r="AZ36" s="292">
        <f>IFERROR(ASSUMPTIONS!$E$40,0)</f>
        <v/>
      </c>
      <c r="BA36" s="290">
        <f>SUM(AO36:AZ36)</f>
        <v/>
      </c>
      <c r="BB36" s="292">
        <f>IFERROR(ASSUMPTIONS!$F$40,0)</f>
        <v/>
      </c>
      <c r="BC36" s="292">
        <f>IFERROR(ASSUMPTIONS!$F$40,0)</f>
        <v/>
      </c>
      <c r="BD36" s="292">
        <f>IFERROR(ASSUMPTIONS!$F$40,0)</f>
        <v/>
      </c>
      <c r="BE36" s="292">
        <f>IFERROR(ASSUMPTIONS!$F$40,0)</f>
        <v/>
      </c>
      <c r="BF36" s="292">
        <f>IFERROR(ASSUMPTIONS!$F$40,0)</f>
        <v/>
      </c>
      <c r="BG36" s="292">
        <f>IFERROR(ASSUMPTIONS!$F$40,0)</f>
        <v/>
      </c>
      <c r="BH36" s="292">
        <f>IFERROR(ASSUMPTIONS!$F$40,0)</f>
        <v/>
      </c>
      <c r="BI36" s="292">
        <f>IFERROR(ASSUMPTIONS!$F$40,0)</f>
        <v/>
      </c>
      <c r="BJ36" s="292">
        <f>IFERROR(ASSUMPTIONS!$F$40,0)</f>
        <v/>
      </c>
      <c r="BK36" s="292">
        <f>IFERROR(ASSUMPTIONS!$F$40,0)</f>
        <v/>
      </c>
      <c r="BL36" s="292">
        <f>IFERROR(ASSUMPTIONS!$F$40,0)</f>
        <v/>
      </c>
      <c r="BM36" s="292">
        <f>IFERROR(ASSUMPTIONS!$F$40,0)</f>
        <v/>
      </c>
      <c r="BN36" s="290">
        <f>SUM(BB36:BM36)</f>
        <v/>
      </c>
    </row>
    <row r="37" ht="18" customHeight="1" s="218">
      <c r="A37" s="291" t="inlineStr">
        <is>
          <t xml:space="preserve">  Cloud Infrastructure — Variable</t>
        </is>
      </c>
      <c r="B37" s="292">
        <f>IFERROR(IFERROR(B16/ASSUMPTIONS!$B$15,0)*ASSUMPTIONS!$B$41/1000,0)</f>
        <v/>
      </c>
      <c r="C37" s="292">
        <f>IFERROR(IFERROR(C16/ASSUMPTIONS!$B$15,0)*ASSUMPTIONS!$B$41/1000,0)</f>
        <v/>
      </c>
      <c r="D37" s="292">
        <f>IFERROR(IFERROR(D16/ASSUMPTIONS!$B$15,0)*ASSUMPTIONS!$B$41/1000,0)</f>
        <v/>
      </c>
      <c r="E37" s="292">
        <f>IFERROR(IFERROR(E16/ASSUMPTIONS!$B$15,0)*ASSUMPTIONS!$B$41/1000,0)</f>
        <v/>
      </c>
      <c r="F37" s="292">
        <f>IFERROR(IFERROR(F16/ASSUMPTIONS!$B$15,0)*ASSUMPTIONS!$B$41/1000,0)</f>
        <v/>
      </c>
      <c r="G37" s="292">
        <f>IFERROR(IFERROR(G16/ASSUMPTIONS!$B$15,0)*ASSUMPTIONS!$B$41/1000,0)</f>
        <v/>
      </c>
      <c r="H37" s="292">
        <f>IFERROR(IFERROR(H16/ASSUMPTIONS!$B$15,0)*ASSUMPTIONS!$B$41/1000,0)</f>
        <v/>
      </c>
      <c r="I37" s="292">
        <f>IFERROR(IFERROR(I16/ASSUMPTIONS!$B$15,0)*ASSUMPTIONS!$B$41/1000,0)</f>
        <v/>
      </c>
      <c r="J37" s="292">
        <f>IFERROR(IFERROR(J16/ASSUMPTIONS!$B$15,0)*ASSUMPTIONS!$B$41/1000,0)</f>
        <v/>
      </c>
      <c r="K37" s="292">
        <f>IFERROR(IFERROR(K16/ASSUMPTIONS!$B$15,0)*ASSUMPTIONS!$B$41/1000,0)</f>
        <v/>
      </c>
      <c r="L37" s="292">
        <f>IFERROR(IFERROR(L16/ASSUMPTIONS!$B$15,0)*ASSUMPTIONS!$B$41/1000,0)</f>
        <v/>
      </c>
      <c r="M37" s="292">
        <f>IFERROR(IFERROR(M16/ASSUMPTIONS!$B$15,0)*ASSUMPTIONS!$B$41/1000,0)</f>
        <v/>
      </c>
      <c r="N37" s="289">
        <f>SUM(B37:M37)</f>
        <v/>
      </c>
      <c r="O37" s="292">
        <f>IFERROR(IFERROR(O16/ASSUMPTIONS!$C$15,0)*ASSUMPTIONS!$C$41/1000,0)</f>
        <v/>
      </c>
      <c r="P37" s="292">
        <f>IFERROR(IFERROR(P16/ASSUMPTIONS!$C$15,0)*ASSUMPTIONS!$C$41/1000,0)</f>
        <v/>
      </c>
      <c r="Q37" s="292">
        <f>IFERROR(IFERROR(Q16/ASSUMPTIONS!$C$15,0)*ASSUMPTIONS!$C$41/1000,0)</f>
        <v/>
      </c>
      <c r="R37" s="292">
        <f>IFERROR(IFERROR(R16/ASSUMPTIONS!$C$15,0)*ASSUMPTIONS!$C$41/1000,0)</f>
        <v/>
      </c>
      <c r="S37" s="292">
        <f>IFERROR(IFERROR(S16/ASSUMPTIONS!$C$15,0)*ASSUMPTIONS!$C$41/1000,0)</f>
        <v/>
      </c>
      <c r="T37" s="292">
        <f>IFERROR(IFERROR(T16/ASSUMPTIONS!$C$15,0)*ASSUMPTIONS!$C$41/1000,0)</f>
        <v/>
      </c>
      <c r="U37" s="292">
        <f>IFERROR(IFERROR(U16/ASSUMPTIONS!$C$15,0)*ASSUMPTIONS!$C$41/1000,0)</f>
        <v/>
      </c>
      <c r="V37" s="292">
        <f>IFERROR(IFERROR(V16/ASSUMPTIONS!$C$15,0)*ASSUMPTIONS!$C$41/1000,0)</f>
        <v/>
      </c>
      <c r="W37" s="292">
        <f>IFERROR(IFERROR(W16/ASSUMPTIONS!$C$15,0)*ASSUMPTIONS!$C$41/1000,0)</f>
        <v/>
      </c>
      <c r="X37" s="292">
        <f>IFERROR(IFERROR(X16/ASSUMPTIONS!$C$15,0)*ASSUMPTIONS!$C$41/1000,0)</f>
        <v/>
      </c>
      <c r="Y37" s="292">
        <f>IFERROR(IFERROR(Y16/ASSUMPTIONS!$C$15,0)*ASSUMPTIONS!$C$41/1000,0)</f>
        <v/>
      </c>
      <c r="Z37" s="292">
        <f>IFERROR(IFERROR(Z16/ASSUMPTIONS!$C$15,0)*ASSUMPTIONS!$C$41/1000,0)</f>
        <v/>
      </c>
      <c r="AA37" s="289">
        <f>SUM(O37:Z37)</f>
        <v/>
      </c>
      <c r="AB37" s="292">
        <f>IFERROR(IFERROR(AB16/ASSUMPTIONS!$D$15,0)*ASSUMPTIONS!$D$41/1000,0)</f>
        <v/>
      </c>
      <c r="AC37" s="292">
        <f>IFERROR(IFERROR(AC16/ASSUMPTIONS!$D$15,0)*ASSUMPTIONS!$D$41/1000,0)</f>
        <v/>
      </c>
      <c r="AD37" s="292">
        <f>IFERROR(IFERROR(AD16/ASSUMPTIONS!$D$15,0)*ASSUMPTIONS!$D$41/1000,0)</f>
        <v/>
      </c>
      <c r="AE37" s="292">
        <f>IFERROR(IFERROR(AE16/ASSUMPTIONS!$D$15,0)*ASSUMPTIONS!$D$41/1000,0)</f>
        <v/>
      </c>
      <c r="AF37" s="292">
        <f>IFERROR(IFERROR(AF16/ASSUMPTIONS!$D$15,0)*ASSUMPTIONS!$D$41/1000,0)</f>
        <v/>
      </c>
      <c r="AG37" s="292">
        <f>IFERROR(IFERROR(AG16/ASSUMPTIONS!$D$15,0)*ASSUMPTIONS!$D$41/1000,0)</f>
        <v/>
      </c>
      <c r="AH37" s="292">
        <f>IFERROR(IFERROR(AH16/ASSUMPTIONS!$D$15,0)*ASSUMPTIONS!$D$41/1000,0)</f>
        <v/>
      </c>
      <c r="AI37" s="292">
        <f>IFERROR(IFERROR(AI16/ASSUMPTIONS!$D$15,0)*ASSUMPTIONS!$D$41/1000,0)</f>
        <v/>
      </c>
      <c r="AJ37" s="292">
        <f>IFERROR(IFERROR(AJ16/ASSUMPTIONS!$D$15,0)*ASSUMPTIONS!$D$41/1000,0)</f>
        <v/>
      </c>
      <c r="AK37" s="292">
        <f>IFERROR(IFERROR(AK16/ASSUMPTIONS!$D$15,0)*ASSUMPTIONS!$D$41/1000,0)</f>
        <v/>
      </c>
      <c r="AL37" s="292">
        <f>IFERROR(IFERROR(AL16/ASSUMPTIONS!$D$15,0)*ASSUMPTIONS!$D$41/1000,0)</f>
        <v/>
      </c>
      <c r="AM37" s="292">
        <f>IFERROR(IFERROR(AM16/ASSUMPTIONS!$D$15,0)*ASSUMPTIONS!$D$41/1000,0)</f>
        <v/>
      </c>
      <c r="AN37" s="289">
        <f>SUM(AB37:AM37)</f>
        <v/>
      </c>
      <c r="AO37" s="292">
        <f>IFERROR(IFERROR(AO16/ASSUMPTIONS!$E$15,0)*ASSUMPTIONS!$E$41/1000,0)</f>
        <v/>
      </c>
      <c r="AP37" s="292">
        <f>IFERROR(IFERROR(AP16/ASSUMPTIONS!$E$15,0)*ASSUMPTIONS!$E$41/1000,0)</f>
        <v/>
      </c>
      <c r="AQ37" s="292">
        <f>IFERROR(IFERROR(AQ16/ASSUMPTIONS!$E$15,0)*ASSUMPTIONS!$E$41/1000,0)</f>
        <v/>
      </c>
      <c r="AR37" s="292">
        <f>IFERROR(IFERROR(AR16/ASSUMPTIONS!$E$15,0)*ASSUMPTIONS!$E$41/1000,0)</f>
        <v/>
      </c>
      <c r="AS37" s="292">
        <f>IFERROR(IFERROR(AS16/ASSUMPTIONS!$E$15,0)*ASSUMPTIONS!$E$41/1000,0)</f>
        <v/>
      </c>
      <c r="AT37" s="292">
        <f>IFERROR(IFERROR(AT16/ASSUMPTIONS!$E$15,0)*ASSUMPTIONS!$E$41/1000,0)</f>
        <v/>
      </c>
      <c r="AU37" s="292">
        <f>IFERROR(IFERROR(AU16/ASSUMPTIONS!$E$15,0)*ASSUMPTIONS!$E$41/1000,0)</f>
        <v/>
      </c>
      <c r="AV37" s="292">
        <f>IFERROR(IFERROR(AV16/ASSUMPTIONS!$E$15,0)*ASSUMPTIONS!$E$41/1000,0)</f>
        <v/>
      </c>
      <c r="AW37" s="292">
        <f>IFERROR(IFERROR(AW16/ASSUMPTIONS!$E$15,0)*ASSUMPTIONS!$E$41/1000,0)</f>
        <v/>
      </c>
      <c r="AX37" s="292">
        <f>IFERROR(IFERROR(AX16/ASSUMPTIONS!$E$15,0)*ASSUMPTIONS!$E$41/1000,0)</f>
        <v/>
      </c>
      <c r="AY37" s="292">
        <f>IFERROR(IFERROR(AY16/ASSUMPTIONS!$E$15,0)*ASSUMPTIONS!$E$41/1000,0)</f>
        <v/>
      </c>
      <c r="AZ37" s="292">
        <f>IFERROR(IFERROR(AZ16/ASSUMPTIONS!$E$15,0)*ASSUMPTIONS!$E$41/1000,0)</f>
        <v/>
      </c>
      <c r="BA37" s="290">
        <f>SUM(AO37:AZ37)</f>
        <v/>
      </c>
      <c r="BB37" s="292">
        <f>IFERROR(IFERROR(BB16/ASSUMPTIONS!$F$15,0)*ASSUMPTIONS!$F$41/1000,0)</f>
        <v/>
      </c>
      <c r="BC37" s="292">
        <f>IFERROR(IFERROR(BC16/ASSUMPTIONS!$F$15,0)*ASSUMPTIONS!$F$41/1000,0)</f>
        <v/>
      </c>
      <c r="BD37" s="292">
        <f>IFERROR(IFERROR(BD16/ASSUMPTIONS!$F$15,0)*ASSUMPTIONS!$F$41/1000,0)</f>
        <v/>
      </c>
      <c r="BE37" s="292">
        <f>IFERROR(IFERROR(BE16/ASSUMPTIONS!$F$15,0)*ASSUMPTIONS!$F$41/1000,0)</f>
        <v/>
      </c>
      <c r="BF37" s="292">
        <f>IFERROR(IFERROR(BF16/ASSUMPTIONS!$F$15,0)*ASSUMPTIONS!$F$41/1000,0)</f>
        <v/>
      </c>
      <c r="BG37" s="292">
        <f>IFERROR(IFERROR(BG16/ASSUMPTIONS!$F$15,0)*ASSUMPTIONS!$F$41/1000,0)</f>
        <v/>
      </c>
      <c r="BH37" s="292">
        <f>IFERROR(IFERROR(BH16/ASSUMPTIONS!$F$15,0)*ASSUMPTIONS!$F$41/1000,0)</f>
        <v/>
      </c>
      <c r="BI37" s="292">
        <f>IFERROR(IFERROR(BI16/ASSUMPTIONS!$F$15,0)*ASSUMPTIONS!$F$41/1000,0)</f>
        <v/>
      </c>
      <c r="BJ37" s="292">
        <f>IFERROR(IFERROR(BJ16/ASSUMPTIONS!$F$15,0)*ASSUMPTIONS!$F$41/1000,0)</f>
        <v/>
      </c>
      <c r="BK37" s="292">
        <f>IFERROR(IFERROR(BK16/ASSUMPTIONS!$F$15,0)*ASSUMPTIONS!$F$41/1000,0)</f>
        <v/>
      </c>
      <c r="BL37" s="292">
        <f>IFERROR(IFERROR(BL16/ASSUMPTIONS!$F$15,0)*ASSUMPTIONS!$F$41/1000,0)</f>
        <v/>
      </c>
      <c r="BM37" s="292">
        <f>IFERROR(IFERROR(BM16/ASSUMPTIONS!$F$15,0)*ASSUMPTIONS!$F$41/1000,0)</f>
        <v/>
      </c>
      <c r="BN37" s="290">
        <f>SUM(BB37:BM37)</f>
        <v/>
      </c>
    </row>
    <row r="38" ht="18" customHeight="1" s="218">
      <c r="A38" s="293" t="inlineStr">
        <is>
          <t xml:space="preserve">  Customer Support &amp; Operations</t>
        </is>
      </c>
      <c r="B38" s="292">
        <f>IFERROR((B9+B13)/100*ASSUMPTIONS!$B$42,0)</f>
        <v/>
      </c>
      <c r="C38" s="292">
        <f>IFERROR((C9+C13)/100*ASSUMPTIONS!$B$42,0)</f>
        <v/>
      </c>
      <c r="D38" s="292">
        <f>IFERROR((D9+D13)/100*ASSUMPTIONS!$B$42,0)</f>
        <v/>
      </c>
      <c r="E38" s="292">
        <f>IFERROR((E9+E13)/100*ASSUMPTIONS!$B$42,0)</f>
        <v/>
      </c>
      <c r="F38" s="292">
        <f>IFERROR((F9+F13)/100*ASSUMPTIONS!$B$42,0)</f>
        <v/>
      </c>
      <c r="G38" s="292">
        <f>IFERROR((G9+G13)/100*ASSUMPTIONS!$B$42,0)</f>
        <v/>
      </c>
      <c r="H38" s="292">
        <f>IFERROR((H9+H13)/100*ASSUMPTIONS!$B$42,0)</f>
        <v/>
      </c>
      <c r="I38" s="292">
        <f>IFERROR((I9+I13)/100*ASSUMPTIONS!$B$42,0)</f>
        <v/>
      </c>
      <c r="J38" s="292">
        <f>IFERROR((J9+J13)/100*ASSUMPTIONS!$B$42,0)</f>
        <v/>
      </c>
      <c r="K38" s="292">
        <f>IFERROR((K9+K13)/100*ASSUMPTIONS!$B$42,0)</f>
        <v/>
      </c>
      <c r="L38" s="292">
        <f>IFERROR((L9+L13)/100*ASSUMPTIONS!$B$42,0)</f>
        <v/>
      </c>
      <c r="M38" s="292">
        <f>IFERROR((M9+M13)/100*ASSUMPTIONS!$B$42,0)</f>
        <v/>
      </c>
      <c r="N38" s="289">
        <f>SUM(B38:M38)</f>
        <v/>
      </c>
      <c r="O38" s="292">
        <f>IFERROR((O9+O13)/100*ASSUMPTIONS!$C$42,0)</f>
        <v/>
      </c>
      <c r="P38" s="292">
        <f>IFERROR((P9+P13)/100*ASSUMPTIONS!$C$42,0)</f>
        <v/>
      </c>
      <c r="Q38" s="292">
        <f>IFERROR((Q9+Q13)/100*ASSUMPTIONS!$C$42,0)</f>
        <v/>
      </c>
      <c r="R38" s="292">
        <f>IFERROR((R9+R13)/100*ASSUMPTIONS!$C$42,0)</f>
        <v/>
      </c>
      <c r="S38" s="292">
        <f>IFERROR((S9+S13)/100*ASSUMPTIONS!$C$42,0)</f>
        <v/>
      </c>
      <c r="T38" s="292">
        <f>IFERROR((T9+T13)/100*ASSUMPTIONS!$C$42,0)</f>
        <v/>
      </c>
      <c r="U38" s="292">
        <f>IFERROR((U9+U13)/100*ASSUMPTIONS!$C$42,0)</f>
        <v/>
      </c>
      <c r="V38" s="292">
        <f>IFERROR((V9+V13)/100*ASSUMPTIONS!$C$42,0)</f>
        <v/>
      </c>
      <c r="W38" s="292">
        <f>IFERROR((W9+W13)/100*ASSUMPTIONS!$C$42,0)</f>
        <v/>
      </c>
      <c r="X38" s="292">
        <f>IFERROR((X9+X13)/100*ASSUMPTIONS!$C$42,0)</f>
        <v/>
      </c>
      <c r="Y38" s="292">
        <f>IFERROR((Y9+Y13)/100*ASSUMPTIONS!$C$42,0)</f>
        <v/>
      </c>
      <c r="Z38" s="292">
        <f>IFERROR((Z9+Z13)/100*ASSUMPTIONS!$C$42,0)</f>
        <v/>
      </c>
      <c r="AA38" s="289">
        <f>SUM(O38:Z38)</f>
        <v/>
      </c>
      <c r="AB38" s="292">
        <f>IFERROR((AB9+AB13)/100*ASSUMPTIONS!$D$42,0)</f>
        <v/>
      </c>
      <c r="AC38" s="292">
        <f>IFERROR((AC9+AC13)/100*ASSUMPTIONS!$D$42,0)</f>
        <v/>
      </c>
      <c r="AD38" s="292">
        <f>IFERROR((AD9+AD13)/100*ASSUMPTIONS!$D$42,0)</f>
        <v/>
      </c>
      <c r="AE38" s="292">
        <f>IFERROR((AE9+AE13)/100*ASSUMPTIONS!$D$42,0)</f>
        <v/>
      </c>
      <c r="AF38" s="292">
        <f>IFERROR((AF9+AF13)/100*ASSUMPTIONS!$D$42,0)</f>
        <v/>
      </c>
      <c r="AG38" s="292">
        <f>IFERROR((AG9+AG13)/100*ASSUMPTIONS!$D$42,0)</f>
        <v/>
      </c>
      <c r="AH38" s="292">
        <f>IFERROR((AH9+AH13)/100*ASSUMPTIONS!$D$42,0)</f>
        <v/>
      </c>
      <c r="AI38" s="292">
        <f>IFERROR((AI9+AI13)/100*ASSUMPTIONS!$D$42,0)</f>
        <v/>
      </c>
      <c r="AJ38" s="292">
        <f>IFERROR((AJ9+AJ13)/100*ASSUMPTIONS!$D$42,0)</f>
        <v/>
      </c>
      <c r="AK38" s="292">
        <f>IFERROR((AK9+AK13)/100*ASSUMPTIONS!$D$42,0)</f>
        <v/>
      </c>
      <c r="AL38" s="292">
        <f>IFERROR((AL9+AL13)/100*ASSUMPTIONS!$D$42,0)</f>
        <v/>
      </c>
      <c r="AM38" s="292">
        <f>IFERROR((AM9+AM13)/100*ASSUMPTIONS!$D$42,0)</f>
        <v/>
      </c>
      <c r="AN38" s="289">
        <f>SUM(AB38:AM38)</f>
        <v/>
      </c>
      <c r="AO38" s="292">
        <f>IFERROR((AO9+AO13)/100*ASSUMPTIONS!$E$42,0)</f>
        <v/>
      </c>
      <c r="AP38" s="292">
        <f>IFERROR((AP9+AP13)/100*ASSUMPTIONS!$E$42,0)</f>
        <v/>
      </c>
      <c r="AQ38" s="292">
        <f>IFERROR((AQ9+AQ13)/100*ASSUMPTIONS!$E$42,0)</f>
        <v/>
      </c>
      <c r="AR38" s="292">
        <f>IFERROR((AR9+AR13)/100*ASSUMPTIONS!$E$42,0)</f>
        <v/>
      </c>
      <c r="AS38" s="292">
        <f>IFERROR((AS9+AS13)/100*ASSUMPTIONS!$E$42,0)</f>
        <v/>
      </c>
      <c r="AT38" s="292">
        <f>IFERROR((AT9+AT13)/100*ASSUMPTIONS!$E$42,0)</f>
        <v/>
      </c>
      <c r="AU38" s="292">
        <f>IFERROR((AU9+AU13)/100*ASSUMPTIONS!$E$42,0)</f>
        <v/>
      </c>
      <c r="AV38" s="292">
        <f>IFERROR((AV9+AV13)/100*ASSUMPTIONS!$E$42,0)</f>
        <v/>
      </c>
      <c r="AW38" s="292">
        <f>IFERROR((AW9+AW13)/100*ASSUMPTIONS!$E$42,0)</f>
        <v/>
      </c>
      <c r="AX38" s="292">
        <f>IFERROR((AX9+AX13)/100*ASSUMPTIONS!$E$42,0)</f>
        <v/>
      </c>
      <c r="AY38" s="292">
        <f>IFERROR((AY9+AY13)/100*ASSUMPTIONS!$E$42,0)</f>
        <v/>
      </c>
      <c r="AZ38" s="292">
        <f>IFERROR((AZ9+AZ13)/100*ASSUMPTIONS!$E$42,0)</f>
        <v/>
      </c>
      <c r="BA38" s="290">
        <f>SUM(AO38:AZ38)</f>
        <v/>
      </c>
      <c r="BB38" s="292">
        <f>IFERROR((BB9+BB13)/100*ASSUMPTIONS!$F$42,0)</f>
        <v/>
      </c>
      <c r="BC38" s="292">
        <f>IFERROR((BC9+BC13)/100*ASSUMPTIONS!$F$42,0)</f>
        <v/>
      </c>
      <c r="BD38" s="292">
        <f>IFERROR((BD9+BD13)/100*ASSUMPTIONS!$F$42,0)</f>
        <v/>
      </c>
      <c r="BE38" s="292">
        <f>IFERROR((BE9+BE13)/100*ASSUMPTIONS!$F$42,0)</f>
        <v/>
      </c>
      <c r="BF38" s="292">
        <f>IFERROR((BF9+BF13)/100*ASSUMPTIONS!$F$42,0)</f>
        <v/>
      </c>
      <c r="BG38" s="292">
        <f>IFERROR((BG9+BG13)/100*ASSUMPTIONS!$F$42,0)</f>
        <v/>
      </c>
      <c r="BH38" s="292">
        <f>IFERROR((BH9+BH13)/100*ASSUMPTIONS!$F$42,0)</f>
        <v/>
      </c>
      <c r="BI38" s="292">
        <f>IFERROR((BI9+BI13)/100*ASSUMPTIONS!$F$42,0)</f>
        <v/>
      </c>
      <c r="BJ38" s="292">
        <f>IFERROR((BJ9+BJ13)/100*ASSUMPTIONS!$F$42,0)</f>
        <v/>
      </c>
      <c r="BK38" s="292">
        <f>IFERROR((BK9+BK13)/100*ASSUMPTIONS!$F$42,0)</f>
        <v/>
      </c>
      <c r="BL38" s="292">
        <f>IFERROR((BL9+BL13)/100*ASSUMPTIONS!$F$42,0)</f>
        <v/>
      </c>
      <c r="BM38" s="292">
        <f>IFERROR((BM9+BM13)/100*ASSUMPTIONS!$F$42,0)</f>
        <v/>
      </c>
      <c r="BN38" s="290">
        <f>SUM(BB38:BM38)</f>
        <v/>
      </c>
    </row>
    <row r="39" ht="18" customHeight="1" s="218">
      <c r="A39" s="291" t="inlineStr">
        <is>
          <t xml:space="preserve">  Fraud &amp; Risk (% of GMV)</t>
        </is>
      </c>
      <c r="B39" s="292">
        <f>IFERROR(B16*ASSUMPTIONS!$B$43,0)</f>
        <v/>
      </c>
      <c r="C39" s="292">
        <f>IFERROR(C16*ASSUMPTIONS!$B$43,0)</f>
        <v/>
      </c>
      <c r="D39" s="292">
        <f>IFERROR(D16*ASSUMPTIONS!$B$43,0)</f>
        <v/>
      </c>
      <c r="E39" s="292">
        <f>IFERROR(E16*ASSUMPTIONS!$B$43,0)</f>
        <v/>
      </c>
      <c r="F39" s="292">
        <f>IFERROR(F16*ASSUMPTIONS!$B$43,0)</f>
        <v/>
      </c>
      <c r="G39" s="292">
        <f>IFERROR(G16*ASSUMPTIONS!$B$43,0)</f>
        <v/>
      </c>
      <c r="H39" s="292">
        <f>IFERROR(H16*ASSUMPTIONS!$B$43,0)</f>
        <v/>
      </c>
      <c r="I39" s="292">
        <f>IFERROR(I16*ASSUMPTIONS!$B$43,0)</f>
        <v/>
      </c>
      <c r="J39" s="292">
        <f>IFERROR(J16*ASSUMPTIONS!$B$43,0)</f>
        <v/>
      </c>
      <c r="K39" s="292">
        <f>IFERROR(K16*ASSUMPTIONS!$B$43,0)</f>
        <v/>
      </c>
      <c r="L39" s="292">
        <f>IFERROR(L16*ASSUMPTIONS!$B$43,0)</f>
        <v/>
      </c>
      <c r="M39" s="292">
        <f>IFERROR(M16*ASSUMPTIONS!$B$43,0)</f>
        <v/>
      </c>
      <c r="N39" s="289">
        <f>SUM(B39:M39)</f>
        <v/>
      </c>
      <c r="O39" s="292">
        <f>IFERROR(O16*ASSUMPTIONS!$C$43,0)</f>
        <v/>
      </c>
      <c r="P39" s="292">
        <f>IFERROR(P16*ASSUMPTIONS!$C$43,0)</f>
        <v/>
      </c>
      <c r="Q39" s="292">
        <f>IFERROR(Q16*ASSUMPTIONS!$C$43,0)</f>
        <v/>
      </c>
      <c r="R39" s="292">
        <f>IFERROR(R16*ASSUMPTIONS!$C$43,0)</f>
        <v/>
      </c>
      <c r="S39" s="292">
        <f>IFERROR(S16*ASSUMPTIONS!$C$43,0)</f>
        <v/>
      </c>
      <c r="T39" s="292">
        <f>IFERROR(T16*ASSUMPTIONS!$C$43,0)</f>
        <v/>
      </c>
      <c r="U39" s="292">
        <f>IFERROR(U16*ASSUMPTIONS!$C$43,0)</f>
        <v/>
      </c>
      <c r="V39" s="292">
        <f>IFERROR(V16*ASSUMPTIONS!$C$43,0)</f>
        <v/>
      </c>
      <c r="W39" s="292">
        <f>IFERROR(W16*ASSUMPTIONS!$C$43,0)</f>
        <v/>
      </c>
      <c r="X39" s="292">
        <f>IFERROR(X16*ASSUMPTIONS!$C$43,0)</f>
        <v/>
      </c>
      <c r="Y39" s="292">
        <f>IFERROR(Y16*ASSUMPTIONS!$C$43,0)</f>
        <v/>
      </c>
      <c r="Z39" s="292">
        <f>IFERROR(Z16*ASSUMPTIONS!$C$43,0)</f>
        <v/>
      </c>
      <c r="AA39" s="289">
        <f>SUM(O39:Z39)</f>
        <v/>
      </c>
      <c r="AB39" s="292">
        <f>IFERROR(AB16*ASSUMPTIONS!$D$43,0)</f>
        <v/>
      </c>
      <c r="AC39" s="292">
        <f>IFERROR(AC16*ASSUMPTIONS!$D$43,0)</f>
        <v/>
      </c>
      <c r="AD39" s="292">
        <f>IFERROR(AD16*ASSUMPTIONS!$D$43,0)</f>
        <v/>
      </c>
      <c r="AE39" s="292">
        <f>IFERROR(AE16*ASSUMPTIONS!$D$43,0)</f>
        <v/>
      </c>
      <c r="AF39" s="292">
        <f>IFERROR(AF16*ASSUMPTIONS!$D$43,0)</f>
        <v/>
      </c>
      <c r="AG39" s="292">
        <f>IFERROR(AG16*ASSUMPTIONS!$D$43,0)</f>
        <v/>
      </c>
      <c r="AH39" s="292">
        <f>IFERROR(AH16*ASSUMPTIONS!$D$43,0)</f>
        <v/>
      </c>
      <c r="AI39" s="292">
        <f>IFERROR(AI16*ASSUMPTIONS!$D$43,0)</f>
        <v/>
      </c>
      <c r="AJ39" s="292">
        <f>IFERROR(AJ16*ASSUMPTIONS!$D$43,0)</f>
        <v/>
      </c>
      <c r="AK39" s="292">
        <f>IFERROR(AK16*ASSUMPTIONS!$D$43,0)</f>
        <v/>
      </c>
      <c r="AL39" s="292">
        <f>IFERROR(AL16*ASSUMPTIONS!$D$43,0)</f>
        <v/>
      </c>
      <c r="AM39" s="292">
        <f>IFERROR(AM16*ASSUMPTIONS!$D$43,0)</f>
        <v/>
      </c>
      <c r="AN39" s="289">
        <f>SUM(AB39:AM39)</f>
        <v/>
      </c>
      <c r="AO39" s="292">
        <f>IFERROR(AO16*ASSUMPTIONS!$E$43,0)</f>
        <v/>
      </c>
      <c r="AP39" s="292">
        <f>IFERROR(AP16*ASSUMPTIONS!$E$43,0)</f>
        <v/>
      </c>
      <c r="AQ39" s="292">
        <f>IFERROR(AQ16*ASSUMPTIONS!$E$43,0)</f>
        <v/>
      </c>
      <c r="AR39" s="292">
        <f>IFERROR(AR16*ASSUMPTIONS!$E$43,0)</f>
        <v/>
      </c>
      <c r="AS39" s="292">
        <f>IFERROR(AS16*ASSUMPTIONS!$E$43,0)</f>
        <v/>
      </c>
      <c r="AT39" s="292">
        <f>IFERROR(AT16*ASSUMPTIONS!$E$43,0)</f>
        <v/>
      </c>
      <c r="AU39" s="292">
        <f>IFERROR(AU16*ASSUMPTIONS!$E$43,0)</f>
        <v/>
      </c>
      <c r="AV39" s="292">
        <f>IFERROR(AV16*ASSUMPTIONS!$E$43,0)</f>
        <v/>
      </c>
      <c r="AW39" s="292">
        <f>IFERROR(AW16*ASSUMPTIONS!$E$43,0)</f>
        <v/>
      </c>
      <c r="AX39" s="292">
        <f>IFERROR(AX16*ASSUMPTIONS!$E$43,0)</f>
        <v/>
      </c>
      <c r="AY39" s="292">
        <f>IFERROR(AY16*ASSUMPTIONS!$E$43,0)</f>
        <v/>
      </c>
      <c r="AZ39" s="292">
        <f>IFERROR(AZ16*ASSUMPTIONS!$E$43,0)</f>
        <v/>
      </c>
      <c r="BA39" s="290">
        <f>SUM(AO39:AZ39)</f>
        <v/>
      </c>
      <c r="BB39" s="292">
        <f>IFERROR(BB16*ASSUMPTIONS!$F$43,0)</f>
        <v/>
      </c>
      <c r="BC39" s="292">
        <f>IFERROR(BC16*ASSUMPTIONS!$F$43,0)</f>
        <v/>
      </c>
      <c r="BD39" s="292">
        <f>IFERROR(BD16*ASSUMPTIONS!$F$43,0)</f>
        <v/>
      </c>
      <c r="BE39" s="292">
        <f>IFERROR(BE16*ASSUMPTIONS!$F$43,0)</f>
        <v/>
      </c>
      <c r="BF39" s="292">
        <f>IFERROR(BF16*ASSUMPTIONS!$F$43,0)</f>
        <v/>
      </c>
      <c r="BG39" s="292">
        <f>IFERROR(BG16*ASSUMPTIONS!$F$43,0)</f>
        <v/>
      </c>
      <c r="BH39" s="292">
        <f>IFERROR(BH16*ASSUMPTIONS!$F$43,0)</f>
        <v/>
      </c>
      <c r="BI39" s="292">
        <f>IFERROR(BI16*ASSUMPTIONS!$F$43,0)</f>
        <v/>
      </c>
      <c r="BJ39" s="292">
        <f>IFERROR(BJ16*ASSUMPTIONS!$F$43,0)</f>
        <v/>
      </c>
      <c r="BK39" s="292">
        <f>IFERROR(BK16*ASSUMPTIONS!$F$43,0)</f>
        <v/>
      </c>
      <c r="BL39" s="292">
        <f>IFERROR(BL16*ASSUMPTIONS!$F$43,0)</f>
        <v/>
      </c>
      <c r="BM39" s="292">
        <f>IFERROR(BM16*ASSUMPTIONS!$F$43,0)</f>
        <v/>
      </c>
      <c r="BN39" s="290">
        <f>SUM(BB39:BM39)</f>
        <v/>
      </c>
    </row>
    <row r="40" ht="18" customHeight="1" s="218">
      <c r="A40" s="294" t="inlineStr">
        <is>
          <t>TOTAL COGS (£)</t>
        </is>
      </c>
      <c r="B40" s="295">
        <f>IFERROR(B35+B36+B37+B38+B39,0)</f>
        <v/>
      </c>
      <c r="C40" s="295">
        <f>IFERROR(C35+C36+C37+C38+C39,0)</f>
        <v/>
      </c>
      <c r="D40" s="295">
        <f>IFERROR(D35+D36+D37+D38+D39,0)</f>
        <v/>
      </c>
      <c r="E40" s="295">
        <f>IFERROR(E35+E36+E37+E38+E39,0)</f>
        <v/>
      </c>
      <c r="F40" s="295">
        <f>IFERROR(F35+F36+F37+F38+F39,0)</f>
        <v/>
      </c>
      <c r="G40" s="295">
        <f>IFERROR(G35+G36+G37+G38+G39,0)</f>
        <v/>
      </c>
      <c r="H40" s="295">
        <f>IFERROR(H35+H36+H37+H38+H39,0)</f>
        <v/>
      </c>
      <c r="I40" s="295">
        <f>IFERROR(I35+I36+I37+I38+I39,0)</f>
        <v/>
      </c>
      <c r="J40" s="295">
        <f>IFERROR(J35+J36+J37+J38+J39,0)</f>
        <v/>
      </c>
      <c r="K40" s="295">
        <f>IFERROR(K35+K36+K37+K38+K39,0)</f>
        <v/>
      </c>
      <c r="L40" s="295">
        <f>IFERROR(L35+L36+L37+L38+L39,0)</f>
        <v/>
      </c>
      <c r="M40" s="295">
        <f>IFERROR(M35+M36+M37+M38+M39,0)</f>
        <v/>
      </c>
      <c r="N40" s="295">
        <f>SUM(B40:M40)</f>
        <v/>
      </c>
      <c r="O40" s="295">
        <f>IFERROR(O35+O36+O37+O38+O39,0)</f>
        <v/>
      </c>
      <c r="P40" s="295">
        <f>IFERROR(P35+P36+P37+P38+P39,0)</f>
        <v/>
      </c>
      <c r="Q40" s="295">
        <f>IFERROR(Q35+Q36+Q37+Q38+Q39,0)</f>
        <v/>
      </c>
      <c r="R40" s="295">
        <f>IFERROR(R35+R36+R37+R38+R39,0)</f>
        <v/>
      </c>
      <c r="S40" s="295">
        <f>IFERROR(S35+S36+S37+S38+S39,0)</f>
        <v/>
      </c>
      <c r="T40" s="295">
        <f>IFERROR(T35+T36+T37+T38+T39,0)</f>
        <v/>
      </c>
      <c r="U40" s="295">
        <f>IFERROR(U35+U36+U37+U38+U39,0)</f>
        <v/>
      </c>
      <c r="V40" s="295">
        <f>IFERROR(V35+V36+V37+V38+V39,0)</f>
        <v/>
      </c>
      <c r="W40" s="295">
        <f>IFERROR(W35+W36+W37+W38+W39,0)</f>
        <v/>
      </c>
      <c r="X40" s="295">
        <f>IFERROR(X35+X36+X37+X38+X39,0)</f>
        <v/>
      </c>
      <c r="Y40" s="295">
        <f>IFERROR(Y35+Y36+Y37+Y38+Y39,0)</f>
        <v/>
      </c>
      <c r="Z40" s="295">
        <f>IFERROR(Z35+Z36+Z37+Z38+Z39,0)</f>
        <v/>
      </c>
      <c r="AA40" s="295">
        <f>SUM(O40:Z40)</f>
        <v/>
      </c>
      <c r="AB40" s="295">
        <f>IFERROR(AB35+AB36+AB37+AB38+AB39,0)</f>
        <v/>
      </c>
      <c r="AC40" s="295">
        <f>IFERROR(AC35+AC36+AC37+AC38+AC39,0)</f>
        <v/>
      </c>
      <c r="AD40" s="295">
        <f>IFERROR(AD35+AD36+AD37+AD38+AD39,0)</f>
        <v/>
      </c>
      <c r="AE40" s="295">
        <f>IFERROR(AE35+AE36+AE37+AE38+AE39,0)</f>
        <v/>
      </c>
      <c r="AF40" s="295">
        <f>IFERROR(AF35+AF36+AF37+AF38+AF39,0)</f>
        <v/>
      </c>
      <c r="AG40" s="295">
        <f>IFERROR(AG35+AG36+AG37+AG38+AG39,0)</f>
        <v/>
      </c>
      <c r="AH40" s="295">
        <f>IFERROR(AH35+AH36+AH37+AH38+AH39,0)</f>
        <v/>
      </c>
      <c r="AI40" s="295">
        <f>IFERROR(AI35+AI36+AI37+AI38+AI39,0)</f>
        <v/>
      </c>
      <c r="AJ40" s="295">
        <f>IFERROR(AJ35+AJ36+AJ37+AJ38+AJ39,0)</f>
        <v/>
      </c>
      <c r="AK40" s="295">
        <f>IFERROR(AK35+AK36+AK37+AK38+AK39,0)</f>
        <v/>
      </c>
      <c r="AL40" s="295">
        <f>IFERROR(AL35+AL36+AL37+AL38+AL39,0)</f>
        <v/>
      </c>
      <c r="AM40" s="295">
        <f>IFERROR(AM35+AM36+AM37+AM38+AM39,0)</f>
        <v/>
      </c>
      <c r="AN40" s="295">
        <f>SUM(AB40:AM40)</f>
        <v/>
      </c>
      <c r="AO40" s="295">
        <f>IFERROR(AO35+AO36+AO37+AO38+AO39,0)</f>
        <v/>
      </c>
      <c r="AP40" s="295">
        <f>IFERROR(AP35+AP36+AP37+AP38+AP39,0)</f>
        <v/>
      </c>
      <c r="AQ40" s="295">
        <f>IFERROR(AQ35+AQ36+AQ37+AQ38+AQ39,0)</f>
        <v/>
      </c>
      <c r="AR40" s="295">
        <f>IFERROR(AR35+AR36+AR37+AR38+AR39,0)</f>
        <v/>
      </c>
      <c r="AS40" s="295">
        <f>IFERROR(AS35+AS36+AS37+AS38+AS39,0)</f>
        <v/>
      </c>
      <c r="AT40" s="295">
        <f>IFERROR(AT35+AT36+AT37+AT38+AT39,0)</f>
        <v/>
      </c>
      <c r="AU40" s="295">
        <f>IFERROR(AU35+AU36+AU37+AU38+AU39,0)</f>
        <v/>
      </c>
      <c r="AV40" s="295">
        <f>IFERROR(AV35+AV36+AV37+AV38+AV39,0)</f>
        <v/>
      </c>
      <c r="AW40" s="295">
        <f>IFERROR(AW35+AW36+AW37+AW38+AW39,0)</f>
        <v/>
      </c>
      <c r="AX40" s="295">
        <f>IFERROR(AX35+AX36+AX37+AX38+AX39,0)</f>
        <v/>
      </c>
      <c r="AY40" s="295">
        <f>IFERROR(AY35+AY36+AY37+AY38+AY39,0)</f>
        <v/>
      </c>
      <c r="AZ40" s="295">
        <f>IFERROR(AZ35+AZ36+AZ37+AZ38+AZ39,0)</f>
        <v/>
      </c>
      <c r="BA40" s="296">
        <f>SUM(AO40:AZ40)</f>
        <v/>
      </c>
      <c r="BB40" s="295">
        <f>IFERROR(BB35+BB36+BB37+BB38+BB39,0)</f>
        <v/>
      </c>
      <c r="BC40" s="295">
        <f>IFERROR(BC35+BC36+BC37+BC38+BC39,0)</f>
        <v/>
      </c>
      <c r="BD40" s="295">
        <f>IFERROR(BD35+BD36+BD37+BD38+BD39,0)</f>
        <v/>
      </c>
      <c r="BE40" s="295">
        <f>IFERROR(BE35+BE36+BE37+BE38+BE39,0)</f>
        <v/>
      </c>
      <c r="BF40" s="295">
        <f>IFERROR(BF35+BF36+BF37+BF38+BF39,0)</f>
        <v/>
      </c>
      <c r="BG40" s="295">
        <f>IFERROR(BG35+BG36+BG37+BG38+BG39,0)</f>
        <v/>
      </c>
      <c r="BH40" s="295">
        <f>IFERROR(BH35+BH36+BH37+BH38+BH39,0)</f>
        <v/>
      </c>
      <c r="BI40" s="295">
        <f>IFERROR(BI35+BI36+BI37+BI38+BI39,0)</f>
        <v/>
      </c>
      <c r="BJ40" s="295">
        <f>IFERROR(BJ35+BJ36+BJ37+BJ38+BJ39,0)</f>
        <v/>
      </c>
      <c r="BK40" s="295">
        <f>IFERROR(BK35+BK36+BK37+BK38+BK39,0)</f>
        <v/>
      </c>
      <c r="BL40" s="295">
        <f>IFERROR(BL35+BL36+BL37+BL38+BL39,0)</f>
        <v/>
      </c>
      <c r="BM40" s="295">
        <f>IFERROR(BM35+BM36+BM37+BM38+BM39,0)</f>
        <v/>
      </c>
      <c r="BN40" s="296">
        <f>SUM(BB40:BM40)</f>
        <v/>
      </c>
    </row>
    <row r="41" ht="6" customHeight="1" s="218">
      <c r="A41" s="297" t="n"/>
      <c r="B41" s="297" t="n"/>
      <c r="C41" s="297" t="n"/>
      <c r="D41" s="297" t="n"/>
      <c r="E41" s="297" t="n"/>
      <c r="F41" s="297" t="n"/>
      <c r="G41" s="297" t="n"/>
      <c r="H41" s="297" t="n"/>
      <c r="I41" s="297" t="n"/>
      <c r="J41" s="297" t="n"/>
      <c r="K41" s="297" t="n"/>
      <c r="L41" s="297" t="n"/>
      <c r="M41" s="297" t="n"/>
      <c r="N41" s="297" t="n"/>
      <c r="O41" s="297" t="n"/>
      <c r="P41" s="297" t="n"/>
      <c r="Q41" s="297" t="n"/>
      <c r="R41" s="297" t="n"/>
      <c r="S41" s="297" t="n"/>
      <c r="T41" s="297" t="n"/>
      <c r="U41" s="297" t="n"/>
      <c r="V41" s="297" t="n"/>
      <c r="W41" s="297" t="n"/>
      <c r="X41" s="297" t="n"/>
      <c r="Y41" s="297" t="n"/>
      <c r="Z41" s="297" t="n"/>
      <c r="AA41" s="297" t="n"/>
      <c r="AB41" s="297" t="n"/>
      <c r="AC41" s="297" t="n"/>
      <c r="AD41" s="297" t="n"/>
      <c r="AE41" s="297" t="n"/>
      <c r="AF41" s="297" t="n"/>
      <c r="AG41" s="297" t="n"/>
      <c r="AH41" s="297" t="n"/>
      <c r="AI41" s="297" t="n"/>
      <c r="AJ41" s="297" t="n"/>
      <c r="AK41" s="297" t="n"/>
      <c r="AL41" s="297" t="n"/>
      <c r="AM41" s="297" t="n"/>
      <c r="AN41" s="297" t="n"/>
      <c r="AO41" s="297" t="n"/>
      <c r="AP41" s="297" t="n"/>
      <c r="AQ41" s="297" t="n"/>
      <c r="AR41" s="297" t="n"/>
      <c r="AS41" s="297" t="n"/>
      <c r="AT41" s="297" t="n"/>
      <c r="AU41" s="297" t="n"/>
      <c r="AV41" s="297" t="n"/>
      <c r="AW41" s="297" t="n"/>
      <c r="AX41" s="297" t="n"/>
      <c r="AY41" s="297" t="n"/>
      <c r="AZ41" s="297" t="n"/>
      <c r="BA41" s="298" t="n"/>
      <c r="BB41" s="297" t="n"/>
      <c r="BC41" s="297" t="n"/>
      <c r="BD41" s="297" t="n"/>
      <c r="BE41" s="297" t="n"/>
      <c r="BF41" s="297" t="n"/>
      <c r="BG41" s="297" t="n"/>
      <c r="BH41" s="297" t="n"/>
      <c r="BI41" s="297" t="n"/>
      <c r="BJ41" s="297" t="n"/>
      <c r="BK41" s="297" t="n"/>
      <c r="BL41" s="297" t="n"/>
      <c r="BM41" s="297" t="n"/>
      <c r="BN41" s="298" t="n"/>
    </row>
    <row r="42" ht="18" customHeight="1" s="218">
      <c r="A42" s="294" t="inlineStr">
        <is>
          <t>GROSS PROFIT (£)</t>
        </is>
      </c>
      <c r="B42" s="295">
        <f>IFERROR(B31-B40,0)</f>
        <v/>
      </c>
      <c r="C42" s="295">
        <f>IFERROR(C31-C40,0)</f>
        <v/>
      </c>
      <c r="D42" s="295">
        <f>IFERROR(D31-D40,0)</f>
        <v/>
      </c>
      <c r="E42" s="295">
        <f>IFERROR(E31-E40,0)</f>
        <v/>
      </c>
      <c r="F42" s="295">
        <f>IFERROR(F31-F40,0)</f>
        <v/>
      </c>
      <c r="G42" s="295">
        <f>IFERROR(G31-G40,0)</f>
        <v/>
      </c>
      <c r="H42" s="295">
        <f>IFERROR(H31-H40,0)</f>
        <v/>
      </c>
      <c r="I42" s="295">
        <f>IFERROR(I31-I40,0)</f>
        <v/>
      </c>
      <c r="J42" s="295">
        <f>IFERROR(J31-J40,0)</f>
        <v/>
      </c>
      <c r="K42" s="295">
        <f>IFERROR(K31-K40,0)</f>
        <v/>
      </c>
      <c r="L42" s="295">
        <f>IFERROR(L31-L40,0)</f>
        <v/>
      </c>
      <c r="M42" s="295">
        <f>IFERROR(M31-M40,0)</f>
        <v/>
      </c>
      <c r="N42" s="295">
        <f>SUM(B42:M42)</f>
        <v/>
      </c>
      <c r="O42" s="295">
        <f>IFERROR(O31-O40,0)</f>
        <v/>
      </c>
      <c r="P42" s="295">
        <f>IFERROR(P31-P40,0)</f>
        <v/>
      </c>
      <c r="Q42" s="295">
        <f>IFERROR(Q31-Q40,0)</f>
        <v/>
      </c>
      <c r="R42" s="295">
        <f>IFERROR(R31-R40,0)</f>
        <v/>
      </c>
      <c r="S42" s="295">
        <f>IFERROR(S31-S40,0)</f>
        <v/>
      </c>
      <c r="T42" s="295">
        <f>IFERROR(T31-T40,0)</f>
        <v/>
      </c>
      <c r="U42" s="295">
        <f>IFERROR(U31-U40,0)</f>
        <v/>
      </c>
      <c r="V42" s="295">
        <f>IFERROR(V31-V40,0)</f>
        <v/>
      </c>
      <c r="W42" s="295">
        <f>IFERROR(W31-W40,0)</f>
        <v/>
      </c>
      <c r="X42" s="295">
        <f>IFERROR(X31-X40,0)</f>
        <v/>
      </c>
      <c r="Y42" s="295">
        <f>IFERROR(Y31-Y40,0)</f>
        <v/>
      </c>
      <c r="Z42" s="295">
        <f>IFERROR(Z31-Z40,0)</f>
        <v/>
      </c>
      <c r="AA42" s="295">
        <f>SUM(O42:Z42)</f>
        <v/>
      </c>
      <c r="AB42" s="295">
        <f>IFERROR(AB31-AB40,0)</f>
        <v/>
      </c>
      <c r="AC42" s="295">
        <f>IFERROR(AC31-AC40,0)</f>
        <v/>
      </c>
      <c r="AD42" s="295">
        <f>IFERROR(AD31-AD40,0)</f>
        <v/>
      </c>
      <c r="AE42" s="295">
        <f>IFERROR(AE31-AE40,0)</f>
        <v/>
      </c>
      <c r="AF42" s="295">
        <f>IFERROR(AF31-AF40,0)</f>
        <v/>
      </c>
      <c r="AG42" s="295">
        <f>IFERROR(AG31-AG40,0)</f>
        <v/>
      </c>
      <c r="AH42" s="295">
        <f>IFERROR(AH31-AH40,0)</f>
        <v/>
      </c>
      <c r="AI42" s="295">
        <f>IFERROR(AI31-AI40,0)</f>
        <v/>
      </c>
      <c r="AJ42" s="295">
        <f>IFERROR(AJ31-AJ40,0)</f>
        <v/>
      </c>
      <c r="AK42" s="295">
        <f>IFERROR(AK31-AK40,0)</f>
        <v/>
      </c>
      <c r="AL42" s="295">
        <f>IFERROR(AL31-AL40,0)</f>
        <v/>
      </c>
      <c r="AM42" s="295">
        <f>IFERROR(AM31-AM40,0)</f>
        <v/>
      </c>
      <c r="AN42" s="295">
        <f>SUM(AB42:AM42)</f>
        <v/>
      </c>
      <c r="AO42" s="295">
        <f>IFERROR(AO31-AO40,0)</f>
        <v/>
      </c>
      <c r="AP42" s="295">
        <f>IFERROR(AP31-AP40,0)</f>
        <v/>
      </c>
      <c r="AQ42" s="295">
        <f>IFERROR(AQ31-AQ40,0)</f>
        <v/>
      </c>
      <c r="AR42" s="295">
        <f>IFERROR(AR31-AR40,0)</f>
        <v/>
      </c>
      <c r="AS42" s="295">
        <f>IFERROR(AS31-AS40,0)</f>
        <v/>
      </c>
      <c r="AT42" s="295">
        <f>IFERROR(AT31-AT40,0)</f>
        <v/>
      </c>
      <c r="AU42" s="295">
        <f>IFERROR(AU31-AU40,0)</f>
        <v/>
      </c>
      <c r="AV42" s="295">
        <f>IFERROR(AV31-AV40,0)</f>
        <v/>
      </c>
      <c r="AW42" s="295">
        <f>IFERROR(AW31-AW40,0)</f>
        <v/>
      </c>
      <c r="AX42" s="295">
        <f>IFERROR(AX31-AX40,0)</f>
        <v/>
      </c>
      <c r="AY42" s="295">
        <f>IFERROR(AY31-AY40,0)</f>
        <v/>
      </c>
      <c r="AZ42" s="295">
        <f>IFERROR(AZ31-AZ40,0)</f>
        <v/>
      </c>
      <c r="BA42" s="296">
        <f>SUM(AO42:AZ42)</f>
        <v/>
      </c>
      <c r="BB42" s="295">
        <f>IFERROR(BB31-BB40,0)</f>
        <v/>
      </c>
      <c r="BC42" s="295">
        <f>IFERROR(BC31-BC40,0)</f>
        <v/>
      </c>
      <c r="BD42" s="295">
        <f>IFERROR(BD31-BD40,0)</f>
        <v/>
      </c>
      <c r="BE42" s="295">
        <f>IFERROR(BE31-BE40,0)</f>
        <v/>
      </c>
      <c r="BF42" s="295">
        <f>IFERROR(BF31-BF40,0)</f>
        <v/>
      </c>
      <c r="BG42" s="295">
        <f>IFERROR(BG31-BG40,0)</f>
        <v/>
      </c>
      <c r="BH42" s="295">
        <f>IFERROR(BH31-BH40,0)</f>
        <v/>
      </c>
      <c r="BI42" s="295">
        <f>IFERROR(BI31-BI40,0)</f>
        <v/>
      </c>
      <c r="BJ42" s="295">
        <f>IFERROR(BJ31-BJ40,0)</f>
        <v/>
      </c>
      <c r="BK42" s="295">
        <f>IFERROR(BK31-BK40,0)</f>
        <v/>
      </c>
      <c r="BL42" s="295">
        <f>IFERROR(BL31-BL40,0)</f>
        <v/>
      </c>
      <c r="BM42" s="295">
        <f>IFERROR(BM31-BM40,0)</f>
        <v/>
      </c>
      <c r="BN42" s="296">
        <f>SUM(BB42:BM42)</f>
        <v/>
      </c>
    </row>
    <row r="43" ht="18" customHeight="1" s="218">
      <c r="A43" s="282" t="inlineStr">
        <is>
          <t>Gross Margin %</t>
        </is>
      </c>
      <c r="B43" s="309">
        <f>IFERROR(B42/B31,0)</f>
        <v/>
      </c>
      <c r="C43" s="309">
        <f>IFERROR(C42/C31,0)</f>
        <v/>
      </c>
      <c r="D43" s="309">
        <f>IFERROR(D42/D31,0)</f>
        <v/>
      </c>
      <c r="E43" s="309">
        <f>IFERROR(E42/E31,0)</f>
        <v/>
      </c>
      <c r="F43" s="309">
        <f>IFERROR(F42/F31,0)</f>
        <v/>
      </c>
      <c r="G43" s="309">
        <f>IFERROR(G42/G31,0)</f>
        <v/>
      </c>
      <c r="H43" s="309">
        <f>IFERROR(H42/H31,0)</f>
        <v/>
      </c>
      <c r="I43" s="309">
        <f>IFERROR(I42/I31,0)</f>
        <v/>
      </c>
      <c r="J43" s="309">
        <f>IFERROR(J42/J31,0)</f>
        <v/>
      </c>
      <c r="K43" s="309">
        <f>IFERROR(K42/K31,0)</f>
        <v/>
      </c>
      <c r="L43" s="309">
        <f>IFERROR(L42/L31,0)</f>
        <v/>
      </c>
      <c r="M43" s="309">
        <f>IFERROR(M42/M31,0)</f>
        <v/>
      </c>
      <c r="N43" s="310">
        <f>M43</f>
        <v/>
      </c>
      <c r="O43" s="309">
        <f>IFERROR(O42/O31,0)</f>
        <v/>
      </c>
      <c r="P43" s="309">
        <f>IFERROR(P42/P31,0)</f>
        <v/>
      </c>
      <c r="Q43" s="309">
        <f>IFERROR(Q42/Q31,0)</f>
        <v/>
      </c>
      <c r="R43" s="309">
        <f>IFERROR(R42/R31,0)</f>
        <v/>
      </c>
      <c r="S43" s="309">
        <f>IFERROR(S42/S31,0)</f>
        <v/>
      </c>
      <c r="T43" s="309">
        <f>IFERROR(T42/T31,0)</f>
        <v/>
      </c>
      <c r="U43" s="309">
        <f>IFERROR(U42/U31,0)</f>
        <v/>
      </c>
      <c r="V43" s="309">
        <f>IFERROR(V42/V31,0)</f>
        <v/>
      </c>
      <c r="W43" s="309">
        <f>IFERROR(W42/W31,0)</f>
        <v/>
      </c>
      <c r="X43" s="309">
        <f>IFERROR(X42/X31,0)</f>
        <v/>
      </c>
      <c r="Y43" s="309">
        <f>IFERROR(Y42/Y31,0)</f>
        <v/>
      </c>
      <c r="Z43" s="309">
        <f>IFERROR(Z42/Z31,0)</f>
        <v/>
      </c>
      <c r="AA43" s="310">
        <f>Z43</f>
        <v/>
      </c>
      <c r="AB43" s="309">
        <f>IFERROR(AB42/AB31,0)</f>
        <v/>
      </c>
      <c r="AC43" s="309">
        <f>IFERROR(AC42/AC31,0)</f>
        <v/>
      </c>
      <c r="AD43" s="309">
        <f>IFERROR(AD42/AD31,0)</f>
        <v/>
      </c>
      <c r="AE43" s="309">
        <f>IFERROR(AE42/AE31,0)</f>
        <v/>
      </c>
      <c r="AF43" s="309">
        <f>IFERROR(AF42/AF31,0)</f>
        <v/>
      </c>
      <c r="AG43" s="309">
        <f>IFERROR(AG42/AG31,0)</f>
        <v/>
      </c>
      <c r="AH43" s="309">
        <f>IFERROR(AH42/AH31,0)</f>
        <v/>
      </c>
      <c r="AI43" s="309">
        <f>IFERROR(AI42/AI31,0)</f>
        <v/>
      </c>
      <c r="AJ43" s="309">
        <f>IFERROR(AJ42/AJ31,0)</f>
        <v/>
      </c>
      <c r="AK43" s="309">
        <f>IFERROR(AK42/AK31,0)</f>
        <v/>
      </c>
      <c r="AL43" s="309">
        <f>IFERROR(AL42/AL31,0)</f>
        <v/>
      </c>
      <c r="AM43" s="309">
        <f>IFERROR(AM42/AM31,0)</f>
        <v/>
      </c>
      <c r="AN43" s="310">
        <f>AM43</f>
        <v/>
      </c>
      <c r="AO43" s="309">
        <f>IFERROR(AO42/AO31,0)</f>
        <v/>
      </c>
      <c r="AP43" s="309">
        <f>IFERROR(AP42/AP31,0)</f>
        <v/>
      </c>
      <c r="AQ43" s="309">
        <f>IFERROR(AQ42/AQ31,0)</f>
        <v/>
      </c>
      <c r="AR43" s="309">
        <f>IFERROR(AR42/AR31,0)</f>
        <v/>
      </c>
      <c r="AS43" s="309">
        <f>IFERROR(AS42/AS31,0)</f>
        <v/>
      </c>
      <c r="AT43" s="309">
        <f>IFERROR(AT42/AT31,0)</f>
        <v/>
      </c>
      <c r="AU43" s="309">
        <f>IFERROR(AU42/AU31,0)</f>
        <v/>
      </c>
      <c r="AV43" s="309">
        <f>IFERROR(AV42/AV31,0)</f>
        <v/>
      </c>
      <c r="AW43" s="309">
        <f>IFERROR(AW42/AW31,0)</f>
        <v/>
      </c>
      <c r="AX43" s="309">
        <f>IFERROR(AX42/AX31,0)</f>
        <v/>
      </c>
      <c r="AY43" s="309">
        <f>IFERROR(AY42/AY31,0)</f>
        <v/>
      </c>
      <c r="AZ43" s="309">
        <f>IFERROR(AZ42/AZ31,0)</f>
        <v/>
      </c>
      <c r="BA43" s="307">
        <f>AZ43</f>
        <v/>
      </c>
      <c r="BB43" s="309">
        <f>IFERROR(BB42/BB31,0)</f>
        <v/>
      </c>
      <c r="BC43" s="309">
        <f>IFERROR(BC42/BC31,0)</f>
        <v/>
      </c>
      <c r="BD43" s="309">
        <f>IFERROR(BD42/BD31,0)</f>
        <v/>
      </c>
      <c r="BE43" s="309">
        <f>IFERROR(BE42/BE31,0)</f>
        <v/>
      </c>
      <c r="BF43" s="309">
        <f>IFERROR(BF42/BF31,0)</f>
        <v/>
      </c>
      <c r="BG43" s="309">
        <f>IFERROR(BG42/BG31,0)</f>
        <v/>
      </c>
      <c r="BH43" s="309">
        <f>IFERROR(BH42/BH31,0)</f>
        <v/>
      </c>
      <c r="BI43" s="309">
        <f>IFERROR(BI42/BI31,0)</f>
        <v/>
      </c>
      <c r="BJ43" s="309">
        <f>IFERROR(BJ42/BJ31,0)</f>
        <v/>
      </c>
      <c r="BK43" s="309">
        <f>IFERROR(BK42/BK31,0)</f>
        <v/>
      </c>
      <c r="BL43" s="309">
        <f>IFERROR(BL42/BL31,0)</f>
        <v/>
      </c>
      <c r="BM43" s="309">
        <f>IFERROR(BM42/BM31,0)</f>
        <v/>
      </c>
      <c r="BN43" s="307">
        <f>BM43</f>
        <v/>
      </c>
    </row>
    <row r="44" ht="15.75" customHeight="1" s="218"/>
    <row r="45" ht="15.75" customHeight="1" s="218"/>
    <row r="46" ht="15.75" customHeight="1" s="218"/>
    <row r="47" ht="15.75" customHeight="1" s="218"/>
    <row r="48" ht="15.75" customHeight="1" s="218"/>
    <row r="49" ht="15.75" customHeight="1" s="218"/>
    <row r="50" ht="15.75" customHeight="1" s="218"/>
    <row r="51" ht="15.75" customHeight="1" s="218"/>
    <row r="52" ht="15.75" customHeight="1" s="218"/>
    <row r="53" ht="15.75" customHeight="1" s="218"/>
    <row r="54" ht="15.75" customHeight="1" s="218"/>
    <row r="55" ht="15.75" customHeight="1" s="218"/>
    <row r="56" ht="15.75" customHeight="1" s="218"/>
    <row r="57" ht="15.75" customHeight="1" s="218"/>
    <row r="58" ht="15.75" customHeight="1" s="218"/>
    <row r="59" ht="15.75" customHeight="1" s="218"/>
    <row r="60" ht="15.75" customHeight="1" s="218"/>
    <row r="61" ht="15.75" customHeight="1" s="218"/>
    <row r="62" ht="15.75" customHeight="1" s="218"/>
    <row r="63" ht="15.75" customHeight="1" s="218"/>
    <row r="64" ht="15.75" customHeight="1" s="218"/>
    <row r="65" ht="15.75" customHeight="1" s="218"/>
    <row r="66" ht="15.75" customHeight="1" s="218"/>
    <row r="67" ht="15.75" customHeight="1" s="218"/>
    <row r="68" ht="15.75" customHeight="1" s="218"/>
    <row r="69" ht="15.75" customHeight="1" s="218"/>
    <row r="70" ht="15.75" customHeight="1" s="218"/>
    <row r="71" ht="15.75" customHeight="1" s="218"/>
    <row r="72" ht="15.75" customHeight="1" s="218"/>
    <row r="73" ht="15.75" customHeight="1" s="218"/>
    <row r="74" ht="15.75" customHeight="1" s="218"/>
    <row r="75" ht="15.75" customHeight="1" s="218"/>
    <row r="76" ht="15.75" customHeight="1" s="218"/>
    <row r="77" ht="15.75" customHeight="1" s="218"/>
    <row r="78" ht="15.75" customHeight="1" s="218"/>
    <row r="79" ht="15.75" customHeight="1" s="218"/>
    <row r="80" ht="15.75" customHeight="1" s="218"/>
    <row r="81" ht="15.75" customHeight="1" s="218"/>
    <row r="82" ht="15.75" customHeight="1" s="218"/>
    <row r="83" ht="15.75" customHeight="1" s="218"/>
    <row r="84" ht="15.75" customHeight="1" s="218"/>
    <row r="85" ht="15.75" customHeight="1" s="218"/>
    <row r="86" ht="15.75" customHeight="1" s="218"/>
    <row r="87" ht="15.75" customHeight="1" s="218"/>
    <row r="88" ht="15.75" customHeight="1" s="218"/>
    <row r="89" ht="15.75" customHeight="1" s="218"/>
    <row r="90" ht="15.75" customHeight="1" s="218"/>
    <row r="91" ht="15.75" customHeight="1" s="218"/>
    <row r="92" ht="15.75" customHeight="1" s="218"/>
    <row r="93" ht="15.75" customHeight="1" s="218"/>
    <row r="94" ht="15.75" customHeight="1" s="218"/>
    <row r="95" ht="15.75" customHeight="1" s="218"/>
    <row r="96" ht="15.75" customHeight="1" s="218"/>
    <row r="97" ht="15.75" customHeight="1" s="218"/>
    <row r="98" ht="15.75" customHeight="1" s="218"/>
    <row r="99" ht="15.75" customHeight="1" s="218"/>
    <row r="100" ht="15.75" customHeight="1" s="218"/>
    <row r="101" ht="15.75" customHeight="1" s="218"/>
    <row r="102" ht="15.75" customHeight="1" s="218"/>
    <row r="103" ht="15.75" customHeight="1" s="218"/>
    <row r="104" ht="15.75" customHeight="1" s="218"/>
    <row r="105" ht="15.75" customHeight="1" s="218"/>
    <row r="106" ht="15.75" customHeight="1" s="218"/>
    <row r="107" ht="15.75" customHeight="1" s="218"/>
    <row r="108" ht="15.75" customHeight="1" s="218"/>
    <row r="109" ht="15.75" customHeight="1" s="218"/>
    <row r="110" ht="15.75" customHeight="1" s="218"/>
    <row r="111" ht="15.75" customHeight="1" s="218"/>
    <row r="112" ht="15.75" customHeight="1" s="218"/>
    <row r="113" ht="15.75" customHeight="1" s="218"/>
    <row r="114" ht="15.75" customHeight="1" s="218"/>
    <row r="115" ht="15.75" customHeight="1" s="218"/>
    <row r="116" ht="15.75" customHeight="1" s="218"/>
    <row r="117" ht="15.75" customHeight="1" s="218"/>
    <row r="118" ht="15.75" customHeight="1" s="218"/>
    <row r="119" ht="15.75" customHeight="1" s="218"/>
    <row r="120" ht="15.75" customHeight="1" s="218"/>
    <row r="121" ht="15.75" customHeight="1" s="218"/>
    <row r="122" ht="15.75" customHeight="1" s="218"/>
    <row r="123" ht="15.75" customHeight="1" s="218"/>
    <row r="124" ht="15.75" customHeight="1" s="218"/>
    <row r="125" ht="15.75" customHeight="1" s="218"/>
    <row r="126" ht="15.75" customHeight="1" s="218"/>
    <row r="127" ht="15.75" customHeight="1" s="218"/>
    <row r="128" ht="15.75" customHeight="1" s="218"/>
    <row r="129" ht="15.75" customHeight="1" s="218"/>
    <row r="130" ht="15.75" customHeight="1" s="218"/>
    <row r="131" ht="15.75" customHeight="1" s="218"/>
    <row r="132" ht="15.75" customHeight="1" s="218"/>
    <row r="133" ht="15.75" customHeight="1" s="218"/>
    <row r="134" ht="15.75" customHeight="1" s="218"/>
    <row r="135" ht="15.75" customHeight="1" s="218"/>
    <row r="136" ht="15.75" customHeight="1" s="218"/>
    <row r="137" ht="15.75" customHeight="1" s="218"/>
    <row r="138" ht="15.75" customHeight="1" s="218"/>
    <row r="139" ht="15.75" customHeight="1" s="218"/>
    <row r="140" ht="15.75" customHeight="1" s="218"/>
    <row r="141" ht="15.75" customHeight="1" s="218"/>
    <row r="142" ht="15.75" customHeight="1" s="218"/>
    <row r="143" ht="15.75" customHeight="1" s="218"/>
    <row r="144" ht="15.75" customHeight="1" s="218"/>
    <row r="145" ht="15.75" customHeight="1" s="218"/>
    <row r="146" ht="15.75" customHeight="1" s="218"/>
    <row r="147" ht="15.75" customHeight="1" s="218"/>
    <row r="148" ht="15.75" customHeight="1" s="218"/>
    <row r="149" ht="15.75" customHeight="1" s="218"/>
    <row r="150" ht="15.75" customHeight="1" s="218"/>
    <row r="151" ht="15.75" customHeight="1" s="218"/>
    <row r="152" ht="15.75" customHeight="1" s="218"/>
    <row r="153" ht="15.75" customHeight="1" s="218"/>
    <row r="154" ht="15.75" customHeight="1" s="218"/>
    <row r="155" ht="15.75" customHeight="1" s="218"/>
    <row r="156" ht="15.75" customHeight="1" s="218"/>
    <row r="157" ht="15.75" customHeight="1" s="218"/>
    <row r="158" ht="15.75" customHeight="1" s="218"/>
    <row r="159" ht="15.75" customHeight="1" s="218"/>
    <row r="160" ht="15.75" customHeight="1" s="218"/>
    <row r="161" ht="15.75" customHeight="1" s="218"/>
    <row r="162" ht="15.75" customHeight="1" s="218"/>
    <row r="163" ht="15.75" customHeight="1" s="218"/>
    <row r="164" ht="15.75" customHeight="1" s="218"/>
    <row r="165" ht="15.75" customHeight="1" s="218"/>
    <row r="166" ht="15.75" customHeight="1" s="218"/>
    <row r="167" ht="15.75" customHeight="1" s="218"/>
    <row r="168" ht="15.75" customHeight="1" s="218"/>
    <row r="169" ht="15.75" customHeight="1" s="218"/>
    <row r="170" ht="15.75" customHeight="1" s="218"/>
    <row r="171" ht="15.75" customHeight="1" s="218"/>
    <row r="172" ht="15.75" customHeight="1" s="218"/>
    <row r="173" ht="15.75" customHeight="1" s="218"/>
    <row r="174" ht="15.75" customHeight="1" s="218"/>
    <row r="175" ht="15.75" customHeight="1" s="218"/>
    <row r="176" ht="15.75" customHeight="1" s="218"/>
    <row r="177" ht="15.75" customHeight="1" s="218"/>
    <row r="178" ht="15.75" customHeight="1" s="218"/>
    <row r="179" ht="15.75" customHeight="1" s="218"/>
    <row r="180" ht="15.75" customHeight="1" s="218"/>
    <row r="181" ht="15.75" customHeight="1" s="218"/>
    <row r="182" ht="15.75" customHeight="1" s="218"/>
    <row r="183" ht="15.75" customHeight="1" s="218"/>
    <row r="184" ht="15.75" customHeight="1" s="218"/>
    <row r="185" ht="15.75" customHeight="1" s="218"/>
    <row r="186" ht="15.75" customHeight="1" s="218"/>
    <row r="187" ht="15.75" customHeight="1" s="218"/>
    <row r="188" ht="15.75" customHeight="1" s="218"/>
    <row r="189" ht="15.75" customHeight="1" s="218"/>
    <row r="190" ht="15.75" customHeight="1" s="218"/>
    <row r="191" ht="15.75" customHeight="1" s="218"/>
    <row r="192" ht="15.75" customHeight="1" s="218"/>
    <row r="193" ht="15.75" customHeight="1" s="218"/>
    <row r="194" ht="15.75" customHeight="1" s="218"/>
    <row r="195" ht="15.75" customHeight="1" s="218"/>
    <row r="196" ht="15.75" customHeight="1" s="218"/>
    <row r="197" ht="15.75" customHeight="1" s="218"/>
    <row r="198" ht="15.75" customHeight="1" s="218"/>
    <row r="199" ht="15.75" customHeight="1" s="218"/>
    <row r="200" ht="15.75" customHeight="1" s="218"/>
    <row r="201" ht="15.75" customHeight="1" s="218"/>
    <row r="202" ht="15.75" customHeight="1" s="218"/>
    <row r="203" ht="15.75" customHeight="1" s="218"/>
    <row r="204" ht="15.75" customHeight="1" s="218"/>
    <row r="205" ht="15.75" customHeight="1" s="218"/>
    <row r="206" ht="15.75" customHeight="1" s="218"/>
    <row r="207" ht="15.75" customHeight="1" s="218"/>
    <row r="208" ht="15.75" customHeight="1" s="218"/>
    <row r="209" ht="15.75" customHeight="1" s="218"/>
    <row r="210" ht="15.75" customHeight="1" s="218"/>
    <row r="211" ht="15.75" customHeight="1" s="218"/>
    <row r="212" ht="15.75" customHeight="1" s="218"/>
    <row r="213" ht="15.75" customHeight="1" s="218"/>
    <row r="214" ht="15.75" customHeight="1" s="218"/>
    <row r="215" ht="15.75" customHeight="1" s="218"/>
    <row r="216" ht="15.75" customHeight="1" s="218"/>
    <row r="217" ht="15.75" customHeight="1" s="218"/>
    <row r="218" ht="15.75" customHeight="1" s="218"/>
    <row r="219" ht="15.75" customHeight="1" s="218"/>
    <row r="220" ht="15.75" customHeight="1" s="218"/>
    <row r="221" ht="15.75" customHeight="1" s="218"/>
    <row r="222" ht="15.75" customHeight="1" s="218"/>
    <row r="223" ht="15.75" customHeight="1" s="218"/>
    <row r="224" ht="15.75" customHeight="1" s="218"/>
    <row r="225" ht="15.75" customHeight="1" s="218"/>
    <row r="226" ht="15.75" customHeight="1" s="218"/>
    <row r="227" ht="15.75" customHeight="1" s="218"/>
    <row r="228" ht="15.75" customHeight="1" s="218"/>
    <row r="229" ht="15.75" customHeight="1" s="218"/>
    <row r="230" ht="15.75" customHeight="1" s="218"/>
    <row r="231" ht="15.75" customHeight="1" s="218"/>
    <row r="232" ht="15.75" customHeight="1" s="218"/>
    <row r="233" ht="15.75" customHeight="1" s="218"/>
    <row r="234" ht="15.75" customHeight="1" s="218"/>
    <row r="235" ht="15.75" customHeight="1" s="218"/>
    <row r="236" ht="15.75" customHeight="1" s="218"/>
    <row r="237" ht="15.75" customHeight="1" s="218"/>
    <row r="238" ht="15.75" customHeight="1" s="218"/>
    <row r="239" ht="15.75" customHeight="1" s="218"/>
    <row r="240" ht="15.75" customHeight="1" s="218"/>
    <row r="241" ht="15.75" customHeight="1" s="218"/>
    <row r="242" ht="15.75" customHeight="1" s="218"/>
    <row r="243" ht="15.75" customHeight="1" s="218"/>
    <row r="244" ht="15.75" customHeight="1" s="218"/>
    <row r="245" ht="15.75" customHeight="1" s="218"/>
    <row r="246" ht="15.75" customHeight="1" s="218"/>
    <row r="247" ht="15.75" customHeight="1" s="218"/>
    <row r="248" ht="15.75" customHeight="1" s="218"/>
    <row r="249" ht="15.75" customHeight="1" s="218"/>
    <row r="250" ht="15.75" customHeight="1" s="218"/>
    <row r="251" ht="15.75" customHeight="1" s="218"/>
    <row r="252" ht="15.75" customHeight="1" s="218"/>
    <row r="253" ht="15.75" customHeight="1" s="218"/>
    <row r="254" ht="15.75" customHeight="1" s="218"/>
    <row r="255" ht="15.75" customHeight="1" s="218"/>
    <row r="256" ht="15.75" customHeight="1" s="218"/>
    <row r="257" ht="15.75" customHeight="1" s="218"/>
    <row r="258" ht="15.75" customHeight="1" s="218"/>
    <row r="259" ht="15.75" customHeight="1" s="218"/>
    <row r="260" ht="15.75" customHeight="1" s="218"/>
    <row r="261" ht="15.75" customHeight="1" s="218"/>
    <row r="262" ht="15.75" customHeight="1" s="218"/>
    <row r="263" ht="15.75" customHeight="1" s="218"/>
    <row r="264" ht="15.75" customHeight="1" s="218"/>
    <row r="265" ht="15.75" customHeight="1" s="218"/>
    <row r="266" ht="15.75" customHeight="1" s="218"/>
    <row r="267" ht="15.75" customHeight="1" s="218"/>
    <row r="268" ht="15.75" customHeight="1" s="218"/>
    <row r="269" ht="15.75" customHeight="1" s="218"/>
    <row r="270" ht="15.75" customHeight="1" s="218"/>
    <row r="271" ht="15.75" customHeight="1" s="218"/>
    <row r="272" ht="15.75" customHeight="1" s="218"/>
    <row r="273" ht="15.75" customHeight="1" s="218"/>
    <row r="274" ht="15.75" customHeight="1" s="218"/>
    <row r="275" ht="15.75" customHeight="1" s="218"/>
    <row r="276" ht="15.75" customHeight="1" s="218"/>
    <row r="277" ht="15.75" customHeight="1" s="218"/>
    <row r="278" ht="15.75" customHeight="1" s="218"/>
    <row r="279" ht="15.75" customHeight="1" s="218"/>
    <row r="280" ht="15.75" customHeight="1" s="218"/>
    <row r="281" ht="15.75" customHeight="1" s="218"/>
    <row r="282" ht="15.75" customHeight="1" s="218"/>
    <row r="283" ht="15.75" customHeight="1" s="218"/>
    <row r="284" ht="15.75" customHeight="1" s="218"/>
    <row r="285" ht="15.75" customHeight="1" s="218"/>
    <row r="286" ht="15.75" customHeight="1" s="218"/>
    <row r="287" ht="15.75" customHeight="1" s="218"/>
    <row r="288" ht="15.75" customHeight="1" s="218"/>
    <row r="289" ht="15.75" customHeight="1" s="218"/>
    <row r="290" ht="15.75" customHeight="1" s="218"/>
    <row r="291" ht="15.75" customHeight="1" s="218"/>
    <row r="292" ht="15.75" customHeight="1" s="218"/>
    <row r="293" ht="15.75" customHeight="1" s="218"/>
    <row r="294" ht="15.75" customHeight="1" s="218"/>
    <row r="295" ht="15.75" customHeight="1" s="218"/>
    <row r="296" ht="15.75" customHeight="1" s="218"/>
    <row r="297" ht="15.75" customHeight="1" s="218"/>
    <row r="298" ht="15.75" customHeight="1" s="218"/>
    <row r="299" ht="15.75" customHeight="1" s="218"/>
    <row r="300" ht="15.75" customHeight="1" s="218"/>
    <row r="301" ht="15.75" customHeight="1" s="218"/>
    <row r="302" ht="15.75" customHeight="1" s="218"/>
    <row r="303" ht="15.75" customHeight="1" s="218"/>
    <row r="304" ht="15.75" customHeight="1" s="218"/>
    <row r="305" ht="15.75" customHeight="1" s="218"/>
    <row r="306" ht="15.75" customHeight="1" s="218"/>
    <row r="307" ht="15.75" customHeight="1" s="218"/>
    <row r="308" ht="15.75" customHeight="1" s="218"/>
    <row r="309" ht="15.75" customHeight="1" s="218"/>
    <row r="310" ht="15.75" customHeight="1" s="218"/>
    <row r="311" ht="15.75" customHeight="1" s="218"/>
    <row r="312" ht="15.75" customHeight="1" s="218"/>
    <row r="313" ht="15.75" customHeight="1" s="218"/>
    <row r="314" ht="15.75" customHeight="1" s="218"/>
    <row r="315" ht="15.75" customHeight="1" s="218"/>
    <row r="316" ht="15.75" customHeight="1" s="218"/>
    <row r="317" ht="15.75" customHeight="1" s="218"/>
    <row r="318" ht="15.75" customHeight="1" s="218"/>
    <row r="319" ht="15.75" customHeight="1" s="218"/>
    <row r="320" ht="15.75" customHeight="1" s="218"/>
    <row r="321" ht="15.75" customHeight="1" s="218"/>
    <row r="322" ht="15.75" customHeight="1" s="218"/>
    <row r="323" ht="15.75" customHeight="1" s="218"/>
    <row r="324" ht="15.75" customHeight="1" s="218"/>
    <row r="325" ht="15.75" customHeight="1" s="218"/>
    <row r="326" ht="15.75" customHeight="1" s="218"/>
    <row r="327" ht="15.75" customHeight="1" s="218"/>
    <row r="328" ht="15.75" customHeight="1" s="218"/>
    <row r="329" ht="15.75" customHeight="1" s="218"/>
    <row r="330" ht="15.75" customHeight="1" s="218"/>
    <row r="331" ht="15.75" customHeight="1" s="218"/>
    <row r="332" ht="15.75" customHeight="1" s="218"/>
    <row r="333" ht="15.75" customHeight="1" s="218"/>
    <row r="334" ht="15.75" customHeight="1" s="218"/>
    <row r="335" ht="15.75" customHeight="1" s="218"/>
    <row r="336" ht="15.75" customHeight="1" s="218"/>
    <row r="337" ht="15.75" customHeight="1" s="218"/>
    <row r="338" ht="15.75" customHeight="1" s="218"/>
    <row r="339" ht="15.75" customHeight="1" s="218"/>
    <row r="340" ht="15.75" customHeight="1" s="218"/>
    <row r="341" ht="15.75" customHeight="1" s="218"/>
    <row r="342" ht="15.75" customHeight="1" s="218"/>
    <row r="343" ht="15.75" customHeight="1" s="218"/>
    <row r="344" ht="15.75" customHeight="1" s="218"/>
    <row r="345" ht="15.75" customHeight="1" s="218"/>
    <row r="346" ht="15.75" customHeight="1" s="218"/>
    <row r="347" ht="15.75" customHeight="1" s="218"/>
    <row r="348" ht="15.75" customHeight="1" s="218"/>
    <row r="349" ht="15.75" customHeight="1" s="218"/>
    <row r="350" ht="15.75" customHeight="1" s="218"/>
    <row r="351" ht="15.75" customHeight="1" s="218"/>
    <row r="352" ht="15.75" customHeight="1" s="218"/>
    <row r="353" ht="15.75" customHeight="1" s="218"/>
    <row r="354" ht="15.75" customHeight="1" s="218"/>
    <row r="355" ht="15.75" customHeight="1" s="218"/>
    <row r="356" ht="15.75" customHeight="1" s="218"/>
    <row r="357" ht="15.75" customHeight="1" s="218"/>
    <row r="358" ht="15.75" customHeight="1" s="218"/>
    <row r="359" ht="15.75" customHeight="1" s="218"/>
    <row r="360" ht="15.75" customHeight="1" s="218"/>
    <row r="361" ht="15.75" customHeight="1" s="218"/>
    <row r="362" ht="15.75" customHeight="1" s="218"/>
    <row r="363" ht="15.75" customHeight="1" s="218"/>
    <row r="364" ht="15.75" customHeight="1" s="218"/>
    <row r="365" ht="15.75" customHeight="1" s="218"/>
    <row r="366" ht="15.75" customHeight="1" s="218"/>
    <row r="367" ht="15.75" customHeight="1" s="218"/>
    <row r="368" ht="15.75" customHeight="1" s="218"/>
    <row r="369" ht="15.75" customHeight="1" s="218"/>
    <row r="370" ht="15.75" customHeight="1" s="218"/>
    <row r="371" ht="15.75" customHeight="1" s="218"/>
    <row r="372" ht="15.75" customHeight="1" s="218"/>
    <row r="373" ht="15.75" customHeight="1" s="218"/>
    <row r="374" ht="15.75" customHeight="1" s="218"/>
    <row r="375" ht="15.75" customHeight="1" s="218"/>
    <row r="376" ht="15.75" customHeight="1" s="218"/>
    <row r="377" ht="15.75" customHeight="1" s="218"/>
    <row r="378" ht="15.75" customHeight="1" s="218"/>
    <row r="379" ht="15.75" customHeight="1" s="218"/>
    <row r="380" ht="15.75" customHeight="1" s="218"/>
    <row r="381" ht="15.75" customHeight="1" s="218"/>
    <row r="382" ht="15.75" customHeight="1" s="218"/>
    <row r="383" ht="15.75" customHeight="1" s="218"/>
    <row r="384" ht="15.75" customHeight="1" s="218"/>
    <row r="385" ht="15.75" customHeight="1" s="218"/>
    <row r="386" ht="15.75" customHeight="1" s="218"/>
    <row r="387" ht="15.75" customHeight="1" s="218"/>
    <row r="388" ht="15.75" customHeight="1" s="218"/>
    <row r="389" ht="15.75" customHeight="1" s="218"/>
    <row r="390" ht="15.75" customHeight="1" s="218"/>
    <row r="391" ht="15.75" customHeight="1" s="218"/>
    <row r="392" ht="15.75" customHeight="1" s="218"/>
    <row r="393" ht="15.75" customHeight="1" s="218"/>
    <row r="394" ht="15.75" customHeight="1" s="218"/>
    <row r="395" ht="15.75" customHeight="1" s="218"/>
    <row r="396" ht="15.75" customHeight="1" s="218"/>
    <row r="397" ht="15.75" customHeight="1" s="218"/>
    <row r="398" ht="15.75" customHeight="1" s="218"/>
    <row r="399" ht="15.75" customHeight="1" s="218"/>
    <row r="400" ht="15.75" customHeight="1" s="218"/>
    <row r="401" ht="15.75" customHeight="1" s="218"/>
    <row r="402" ht="15.75" customHeight="1" s="218"/>
    <row r="403" ht="15.75" customHeight="1" s="218"/>
    <row r="404" ht="15.75" customHeight="1" s="218"/>
    <row r="405" ht="15.75" customHeight="1" s="218"/>
    <row r="406" ht="15.75" customHeight="1" s="218"/>
    <row r="407" ht="15.75" customHeight="1" s="218"/>
    <row r="408" ht="15.75" customHeight="1" s="218"/>
    <row r="409" ht="15.75" customHeight="1" s="218"/>
    <row r="410" ht="15.75" customHeight="1" s="218"/>
    <row r="411" ht="15.75" customHeight="1" s="218"/>
    <row r="412" ht="15.75" customHeight="1" s="218"/>
    <row r="413" ht="15.75" customHeight="1" s="218"/>
    <row r="414" ht="15.75" customHeight="1" s="218"/>
    <row r="415" ht="15.75" customHeight="1" s="218"/>
    <row r="416" ht="15.75" customHeight="1" s="218"/>
    <row r="417" ht="15.75" customHeight="1" s="218"/>
    <row r="418" ht="15.75" customHeight="1" s="218"/>
    <row r="419" ht="15.75" customHeight="1" s="218"/>
    <row r="420" ht="15.75" customHeight="1" s="218"/>
    <row r="421" ht="15.75" customHeight="1" s="218"/>
    <row r="422" ht="15.75" customHeight="1" s="218"/>
    <row r="423" ht="15.75" customHeight="1" s="218"/>
    <row r="424" ht="15.75" customHeight="1" s="218"/>
    <row r="425" ht="15.75" customHeight="1" s="218"/>
    <row r="426" ht="15.75" customHeight="1" s="218"/>
    <row r="427" ht="15.75" customHeight="1" s="218"/>
    <row r="428" ht="15.75" customHeight="1" s="218"/>
    <row r="429" ht="15.75" customHeight="1" s="218"/>
    <row r="430" ht="15.75" customHeight="1" s="218"/>
    <row r="431" ht="15.75" customHeight="1" s="218"/>
    <row r="432" ht="15.75" customHeight="1" s="218"/>
    <row r="433" ht="15.75" customHeight="1" s="218"/>
    <row r="434" ht="15.75" customHeight="1" s="218"/>
    <row r="435" ht="15.75" customHeight="1" s="218"/>
    <row r="436" ht="15.75" customHeight="1" s="218"/>
    <row r="437" ht="15.75" customHeight="1" s="218"/>
    <row r="438" ht="15.75" customHeight="1" s="218"/>
    <row r="439" ht="15.75" customHeight="1" s="218"/>
    <row r="440" ht="15.75" customHeight="1" s="218"/>
    <row r="441" ht="15.75" customHeight="1" s="218"/>
    <row r="442" ht="15.75" customHeight="1" s="218"/>
    <row r="443" ht="15.75" customHeight="1" s="218"/>
    <row r="444" ht="15.75" customHeight="1" s="218"/>
    <row r="445" ht="15.75" customHeight="1" s="218"/>
    <row r="446" ht="15.75" customHeight="1" s="218"/>
    <row r="447" ht="15.75" customHeight="1" s="218"/>
    <row r="448" ht="15.75" customHeight="1" s="218"/>
    <row r="449" ht="15.75" customHeight="1" s="218"/>
    <row r="450" ht="15.75" customHeight="1" s="218"/>
    <row r="451" ht="15.75" customHeight="1" s="218"/>
    <row r="452" ht="15.75" customHeight="1" s="218"/>
    <row r="453" ht="15.75" customHeight="1" s="218"/>
    <row r="454" ht="15.75" customHeight="1" s="218"/>
    <row r="455" ht="15.75" customHeight="1" s="218"/>
    <row r="456" ht="15.75" customHeight="1" s="218"/>
    <row r="457" ht="15.75" customHeight="1" s="218"/>
    <row r="458" ht="15.75" customHeight="1" s="218"/>
    <row r="459" ht="15.75" customHeight="1" s="218"/>
    <row r="460" ht="15.75" customHeight="1" s="218"/>
    <row r="461" ht="15.75" customHeight="1" s="218"/>
    <row r="462" ht="15.75" customHeight="1" s="218"/>
    <row r="463" ht="15.75" customHeight="1" s="218"/>
    <row r="464" ht="15.75" customHeight="1" s="218"/>
    <row r="465" ht="15.75" customHeight="1" s="218"/>
    <row r="466" ht="15.75" customHeight="1" s="218"/>
    <row r="467" ht="15.75" customHeight="1" s="218"/>
    <row r="468" ht="15.75" customHeight="1" s="218"/>
    <row r="469" ht="15.75" customHeight="1" s="218"/>
    <row r="470" ht="15.75" customHeight="1" s="218"/>
    <row r="471" ht="15.75" customHeight="1" s="218"/>
    <row r="472" ht="15.75" customHeight="1" s="218"/>
    <row r="473" ht="15.75" customHeight="1" s="218"/>
    <row r="474" ht="15.75" customHeight="1" s="218"/>
    <row r="475" ht="15.75" customHeight="1" s="218"/>
    <row r="476" ht="15.75" customHeight="1" s="218"/>
    <row r="477" ht="15.75" customHeight="1" s="218"/>
    <row r="478" ht="15.75" customHeight="1" s="218"/>
    <row r="479" ht="15.75" customHeight="1" s="218"/>
    <row r="480" ht="15.75" customHeight="1" s="218"/>
    <row r="481" ht="15.75" customHeight="1" s="218"/>
    <row r="482" ht="15.75" customHeight="1" s="218"/>
    <row r="483" ht="15.75" customHeight="1" s="218"/>
    <row r="484" ht="15.75" customHeight="1" s="218"/>
    <row r="485" ht="15.75" customHeight="1" s="218"/>
    <row r="486" ht="15.75" customHeight="1" s="218"/>
    <row r="487" ht="15.75" customHeight="1" s="218"/>
    <row r="488" ht="15.75" customHeight="1" s="218"/>
    <row r="489" ht="15.75" customHeight="1" s="218"/>
    <row r="490" ht="15.75" customHeight="1" s="218"/>
    <row r="491" ht="15.75" customHeight="1" s="218"/>
    <row r="492" ht="15.75" customHeight="1" s="218"/>
    <row r="493" ht="15.75" customHeight="1" s="218"/>
    <row r="494" ht="15.75" customHeight="1" s="218"/>
    <row r="495" ht="15.75" customHeight="1" s="218"/>
    <row r="496" ht="15.75" customHeight="1" s="218"/>
    <row r="497" ht="15.75" customHeight="1" s="218"/>
    <row r="498" ht="15.75" customHeight="1" s="218"/>
    <row r="499" ht="15.75" customHeight="1" s="218"/>
    <row r="500" ht="15.75" customHeight="1" s="218"/>
    <row r="501" ht="15.75" customHeight="1" s="218"/>
    <row r="502" ht="15.75" customHeight="1" s="218"/>
    <row r="503" ht="15.75" customHeight="1" s="218"/>
    <row r="504" ht="15.75" customHeight="1" s="218"/>
    <row r="505" ht="15.75" customHeight="1" s="218"/>
    <row r="506" ht="15.75" customHeight="1" s="218"/>
    <row r="507" ht="15.75" customHeight="1" s="218"/>
    <row r="508" ht="15.75" customHeight="1" s="218"/>
    <row r="509" ht="15.75" customHeight="1" s="218"/>
    <row r="510" ht="15.75" customHeight="1" s="218"/>
    <row r="511" ht="15.75" customHeight="1" s="218"/>
    <row r="512" ht="15.75" customHeight="1" s="218"/>
    <row r="513" ht="15.75" customHeight="1" s="218"/>
    <row r="514" ht="15.75" customHeight="1" s="218"/>
    <row r="515" ht="15.75" customHeight="1" s="218"/>
    <row r="516" ht="15.75" customHeight="1" s="218"/>
    <row r="517" ht="15.75" customHeight="1" s="218"/>
    <row r="518" ht="15.75" customHeight="1" s="218"/>
    <row r="519" ht="15.75" customHeight="1" s="218"/>
    <row r="520" ht="15.75" customHeight="1" s="218"/>
    <row r="521" ht="15.75" customHeight="1" s="218"/>
    <row r="522" ht="15.75" customHeight="1" s="218"/>
    <row r="523" ht="15.75" customHeight="1" s="218"/>
    <row r="524" ht="15.75" customHeight="1" s="218"/>
    <row r="525" ht="15.75" customHeight="1" s="218"/>
    <row r="526" ht="15.75" customHeight="1" s="218"/>
    <row r="527" ht="15.75" customHeight="1" s="218"/>
    <row r="528" ht="15.75" customHeight="1" s="218"/>
    <row r="529" ht="15.75" customHeight="1" s="218"/>
    <row r="530" ht="15.75" customHeight="1" s="218"/>
    <row r="531" ht="15.75" customHeight="1" s="218"/>
    <row r="532" ht="15.75" customHeight="1" s="218"/>
    <row r="533" ht="15.75" customHeight="1" s="218"/>
    <row r="534" ht="15.75" customHeight="1" s="218"/>
    <row r="535" ht="15.75" customHeight="1" s="218"/>
    <row r="536" ht="15.75" customHeight="1" s="218"/>
    <row r="537" ht="15.75" customHeight="1" s="218"/>
    <row r="538" ht="15.75" customHeight="1" s="218"/>
    <row r="539" ht="15.75" customHeight="1" s="218"/>
    <row r="540" ht="15.75" customHeight="1" s="218"/>
    <row r="541" ht="15.75" customHeight="1" s="218"/>
    <row r="542" ht="15.75" customHeight="1" s="218"/>
    <row r="543" ht="15.75" customHeight="1" s="218"/>
    <row r="544" ht="15.75" customHeight="1" s="218"/>
    <row r="545" ht="15.75" customHeight="1" s="218"/>
    <row r="546" ht="15.75" customHeight="1" s="218"/>
    <row r="547" ht="15.75" customHeight="1" s="218"/>
    <row r="548" ht="15.75" customHeight="1" s="218"/>
    <row r="549" ht="15.75" customHeight="1" s="218"/>
    <row r="550" ht="15.75" customHeight="1" s="218"/>
    <row r="551" ht="15.75" customHeight="1" s="218"/>
    <row r="552" ht="15.75" customHeight="1" s="218"/>
    <row r="553" ht="15.75" customHeight="1" s="218"/>
    <row r="554" ht="15.75" customHeight="1" s="218"/>
    <row r="555" ht="15.75" customHeight="1" s="218"/>
    <row r="556" ht="15.75" customHeight="1" s="218"/>
    <row r="557" ht="15.75" customHeight="1" s="218"/>
    <row r="558" ht="15.75" customHeight="1" s="218"/>
    <row r="559" ht="15.75" customHeight="1" s="218"/>
    <row r="560" ht="15.75" customHeight="1" s="218"/>
    <row r="561" ht="15.75" customHeight="1" s="218"/>
    <row r="562" ht="15.75" customHeight="1" s="218"/>
    <row r="563" ht="15.75" customHeight="1" s="218"/>
    <row r="564" ht="15.75" customHeight="1" s="218"/>
    <row r="565" ht="15.75" customHeight="1" s="218"/>
    <row r="566" ht="15.75" customHeight="1" s="218"/>
    <row r="567" ht="15.75" customHeight="1" s="218"/>
    <row r="568" ht="15.75" customHeight="1" s="218"/>
    <row r="569" ht="15.75" customHeight="1" s="218"/>
    <row r="570" ht="15.75" customHeight="1" s="218"/>
    <row r="571" ht="15.75" customHeight="1" s="218"/>
    <row r="572" ht="15.75" customHeight="1" s="218"/>
    <row r="573" ht="15.75" customHeight="1" s="218"/>
    <row r="574" ht="15.75" customHeight="1" s="218"/>
    <row r="575" ht="15.75" customHeight="1" s="218"/>
    <row r="576" ht="15.75" customHeight="1" s="218"/>
    <row r="577" ht="15.75" customHeight="1" s="218"/>
    <row r="578" ht="15.75" customHeight="1" s="218"/>
    <row r="579" ht="15.75" customHeight="1" s="218"/>
    <row r="580" ht="15.75" customHeight="1" s="218"/>
    <row r="581" ht="15.75" customHeight="1" s="218"/>
    <row r="582" ht="15.75" customHeight="1" s="218"/>
    <row r="583" ht="15.75" customHeight="1" s="218"/>
    <row r="584" ht="15.75" customHeight="1" s="218"/>
    <row r="585" ht="15.75" customHeight="1" s="218"/>
    <row r="586" ht="15.75" customHeight="1" s="218"/>
    <row r="587" ht="15.75" customHeight="1" s="218"/>
    <row r="588" ht="15.75" customHeight="1" s="218"/>
    <row r="589" ht="15.75" customHeight="1" s="218"/>
    <row r="590" ht="15.75" customHeight="1" s="218"/>
    <row r="591" ht="15.75" customHeight="1" s="218"/>
    <row r="592" ht="15.75" customHeight="1" s="218"/>
    <row r="593" ht="15.75" customHeight="1" s="218"/>
    <row r="594" ht="15.75" customHeight="1" s="218"/>
    <row r="595" ht="15.75" customHeight="1" s="218"/>
    <row r="596" ht="15.75" customHeight="1" s="218"/>
    <row r="597" ht="15.75" customHeight="1" s="218"/>
    <row r="598" ht="15.75" customHeight="1" s="218"/>
    <row r="599" ht="15.75" customHeight="1" s="218"/>
    <row r="600" ht="15.75" customHeight="1" s="218"/>
    <row r="601" ht="15.75" customHeight="1" s="218"/>
    <row r="602" ht="15.75" customHeight="1" s="218"/>
    <row r="603" ht="15.75" customHeight="1" s="218"/>
    <row r="604" ht="15.75" customHeight="1" s="218"/>
    <row r="605" ht="15.75" customHeight="1" s="218"/>
    <row r="606" ht="15.75" customHeight="1" s="218"/>
    <row r="607" ht="15.75" customHeight="1" s="218"/>
    <row r="608" ht="15.75" customHeight="1" s="218"/>
    <row r="609" ht="15.75" customHeight="1" s="218"/>
    <row r="610" ht="15.75" customHeight="1" s="218"/>
    <row r="611" ht="15.75" customHeight="1" s="218"/>
    <row r="612" ht="15.75" customHeight="1" s="218"/>
    <row r="613" ht="15.75" customHeight="1" s="218"/>
    <row r="614" ht="15.75" customHeight="1" s="218"/>
    <row r="615" ht="15.75" customHeight="1" s="218"/>
    <row r="616" ht="15.75" customHeight="1" s="218"/>
    <row r="617" ht="15.75" customHeight="1" s="218"/>
    <row r="618" ht="15.75" customHeight="1" s="218"/>
    <row r="619" ht="15.75" customHeight="1" s="218"/>
    <row r="620" ht="15.75" customHeight="1" s="218"/>
    <row r="621" ht="15.75" customHeight="1" s="218"/>
    <row r="622" ht="15.75" customHeight="1" s="218"/>
    <row r="623" ht="15.75" customHeight="1" s="218"/>
    <row r="624" ht="15.75" customHeight="1" s="218"/>
    <row r="625" ht="15.75" customHeight="1" s="218"/>
    <row r="626" ht="15.75" customHeight="1" s="218"/>
    <row r="627" ht="15.75" customHeight="1" s="218"/>
    <row r="628" ht="15.75" customHeight="1" s="218"/>
    <row r="629" ht="15.75" customHeight="1" s="218"/>
    <row r="630" ht="15.75" customHeight="1" s="218"/>
    <row r="631" ht="15.75" customHeight="1" s="218"/>
    <row r="632" ht="15.75" customHeight="1" s="218"/>
    <row r="633" ht="15.75" customHeight="1" s="218"/>
    <row r="634" ht="15.75" customHeight="1" s="218"/>
    <row r="635" ht="15.75" customHeight="1" s="218"/>
    <row r="636" ht="15.75" customHeight="1" s="218"/>
    <row r="637" ht="15.75" customHeight="1" s="218"/>
    <row r="638" ht="15.75" customHeight="1" s="218"/>
    <row r="639" ht="15.75" customHeight="1" s="218"/>
    <row r="640" ht="15.75" customHeight="1" s="218"/>
    <row r="641" ht="15.75" customHeight="1" s="218"/>
    <row r="642" ht="15.75" customHeight="1" s="218"/>
    <row r="643" ht="15.75" customHeight="1" s="218"/>
    <row r="644" ht="15.75" customHeight="1" s="218"/>
    <row r="645" ht="15.75" customHeight="1" s="218"/>
    <row r="646" ht="15.75" customHeight="1" s="218"/>
    <row r="647" ht="15.75" customHeight="1" s="218"/>
    <row r="648" ht="15.75" customHeight="1" s="218"/>
    <row r="649" ht="15.75" customHeight="1" s="218"/>
    <row r="650" ht="15.75" customHeight="1" s="218"/>
    <row r="651" ht="15.75" customHeight="1" s="218"/>
    <row r="652" ht="15.75" customHeight="1" s="218"/>
    <row r="653" ht="15.75" customHeight="1" s="218"/>
    <row r="654" ht="15.75" customHeight="1" s="218"/>
    <row r="655" ht="15.75" customHeight="1" s="218"/>
    <row r="656" ht="15.75" customHeight="1" s="218"/>
    <row r="657" ht="15.75" customHeight="1" s="218"/>
    <row r="658" ht="15.75" customHeight="1" s="218"/>
    <row r="659" ht="15.75" customHeight="1" s="218"/>
    <row r="660" ht="15.75" customHeight="1" s="218"/>
    <row r="661" ht="15.75" customHeight="1" s="218"/>
    <row r="662" ht="15.75" customHeight="1" s="218"/>
    <row r="663" ht="15.75" customHeight="1" s="218"/>
    <row r="664" ht="15.75" customHeight="1" s="218"/>
    <row r="665" ht="15.75" customHeight="1" s="218"/>
    <row r="666" ht="15.75" customHeight="1" s="218"/>
    <row r="667" ht="15.75" customHeight="1" s="218"/>
    <row r="668" ht="15.75" customHeight="1" s="218"/>
    <row r="669" ht="15.75" customHeight="1" s="218"/>
    <row r="670" ht="15.75" customHeight="1" s="218"/>
    <row r="671" ht="15.75" customHeight="1" s="218"/>
    <row r="672" ht="15.75" customHeight="1" s="218"/>
    <row r="673" ht="15.75" customHeight="1" s="218"/>
    <row r="674" ht="15.75" customHeight="1" s="218"/>
    <row r="675" ht="15.75" customHeight="1" s="218"/>
    <row r="676" ht="15.75" customHeight="1" s="218"/>
    <row r="677" ht="15.75" customHeight="1" s="218"/>
    <row r="678" ht="15.75" customHeight="1" s="218"/>
    <row r="679" ht="15.75" customHeight="1" s="218"/>
    <row r="680" ht="15.75" customHeight="1" s="218"/>
    <row r="681" ht="15.75" customHeight="1" s="218"/>
    <row r="682" ht="15.75" customHeight="1" s="218"/>
    <row r="683" ht="15.75" customHeight="1" s="218"/>
    <row r="684" ht="15.75" customHeight="1" s="218"/>
    <row r="685" ht="15.75" customHeight="1" s="218"/>
    <row r="686" ht="15.75" customHeight="1" s="218"/>
    <row r="687" ht="15.75" customHeight="1" s="218"/>
    <row r="688" ht="15.75" customHeight="1" s="218"/>
    <row r="689" ht="15.75" customHeight="1" s="218"/>
    <row r="690" ht="15.75" customHeight="1" s="218"/>
    <row r="691" ht="15.75" customHeight="1" s="218"/>
    <row r="692" ht="15.75" customHeight="1" s="218"/>
    <row r="693" ht="15.75" customHeight="1" s="218"/>
    <row r="694" ht="15.75" customHeight="1" s="218"/>
    <row r="695" ht="15.75" customHeight="1" s="218"/>
    <row r="696" ht="15.75" customHeight="1" s="218"/>
    <row r="697" ht="15.75" customHeight="1" s="218"/>
    <row r="698" ht="15.75" customHeight="1" s="218"/>
    <row r="699" ht="15.75" customHeight="1" s="218"/>
    <row r="700" ht="15.75" customHeight="1" s="218"/>
    <row r="701" ht="15.75" customHeight="1" s="218"/>
    <row r="702" ht="15.75" customHeight="1" s="218"/>
    <row r="703" ht="15.75" customHeight="1" s="218"/>
    <row r="704" ht="15.75" customHeight="1" s="218"/>
    <row r="705" ht="15.75" customHeight="1" s="218"/>
    <row r="706" ht="15.75" customHeight="1" s="218"/>
    <row r="707" ht="15.75" customHeight="1" s="218"/>
    <row r="708" ht="15.75" customHeight="1" s="218"/>
    <row r="709" ht="15.75" customHeight="1" s="218"/>
    <row r="710" ht="15.75" customHeight="1" s="218"/>
    <row r="711" ht="15.75" customHeight="1" s="218"/>
    <row r="712" ht="15.75" customHeight="1" s="218"/>
    <row r="713" ht="15.75" customHeight="1" s="218"/>
    <row r="714" ht="15.75" customHeight="1" s="218"/>
    <row r="715" ht="15.75" customHeight="1" s="218"/>
    <row r="716" ht="15.75" customHeight="1" s="218"/>
    <row r="717" ht="15.75" customHeight="1" s="218"/>
    <row r="718" ht="15.75" customHeight="1" s="218"/>
    <row r="719" ht="15.75" customHeight="1" s="218"/>
    <row r="720" ht="15.75" customHeight="1" s="218"/>
    <row r="721" ht="15.75" customHeight="1" s="218"/>
    <row r="722" ht="15.75" customHeight="1" s="218"/>
    <row r="723" ht="15.75" customHeight="1" s="218"/>
    <row r="724" ht="15.75" customHeight="1" s="218"/>
    <row r="725" ht="15.75" customHeight="1" s="218"/>
    <row r="726" ht="15.75" customHeight="1" s="218"/>
    <row r="727" ht="15.75" customHeight="1" s="218"/>
    <row r="728" ht="15.75" customHeight="1" s="218"/>
    <row r="729" ht="15.75" customHeight="1" s="218"/>
    <row r="730" ht="15.75" customHeight="1" s="218"/>
    <row r="731" ht="15.75" customHeight="1" s="218"/>
    <row r="732" ht="15.75" customHeight="1" s="218"/>
    <row r="733" ht="15.75" customHeight="1" s="218"/>
    <row r="734" ht="15.75" customHeight="1" s="218"/>
    <row r="735" ht="15.75" customHeight="1" s="218"/>
    <row r="736" ht="15.75" customHeight="1" s="218"/>
    <row r="737" ht="15.75" customHeight="1" s="218"/>
    <row r="738" ht="15.75" customHeight="1" s="218"/>
    <row r="739" ht="15.75" customHeight="1" s="218"/>
    <row r="740" ht="15.75" customHeight="1" s="218"/>
    <row r="741" ht="15.75" customHeight="1" s="218"/>
    <row r="742" ht="15.75" customHeight="1" s="218"/>
    <row r="743" ht="15.75" customHeight="1" s="218"/>
    <row r="744" ht="15.75" customHeight="1" s="218"/>
    <row r="745" ht="15.75" customHeight="1" s="218"/>
    <row r="746" ht="15.75" customHeight="1" s="218"/>
    <row r="747" ht="15.75" customHeight="1" s="218"/>
    <row r="748" ht="15.75" customHeight="1" s="218"/>
    <row r="749" ht="15.75" customHeight="1" s="218"/>
    <row r="750" ht="15.75" customHeight="1" s="218"/>
    <row r="751" ht="15.75" customHeight="1" s="218"/>
    <row r="752" ht="15.75" customHeight="1" s="218"/>
    <row r="753" ht="15.75" customHeight="1" s="218"/>
    <row r="754" ht="15.75" customHeight="1" s="218"/>
    <row r="755" ht="15.75" customHeight="1" s="218"/>
    <row r="756" ht="15.75" customHeight="1" s="218"/>
    <row r="757" ht="15.75" customHeight="1" s="218"/>
    <row r="758" ht="15.75" customHeight="1" s="218"/>
    <row r="759" ht="15.75" customHeight="1" s="218"/>
    <row r="760" ht="15.75" customHeight="1" s="218"/>
    <row r="761" ht="15.75" customHeight="1" s="218"/>
    <row r="762" ht="15.75" customHeight="1" s="218"/>
    <row r="763" ht="15.75" customHeight="1" s="218"/>
    <row r="764" ht="15.75" customHeight="1" s="218"/>
    <row r="765" ht="15.75" customHeight="1" s="218"/>
    <row r="766" ht="15.75" customHeight="1" s="218"/>
    <row r="767" ht="15.75" customHeight="1" s="218"/>
    <row r="768" ht="15.75" customHeight="1" s="218"/>
    <row r="769" ht="15.75" customHeight="1" s="218"/>
    <row r="770" ht="15.75" customHeight="1" s="218"/>
    <row r="771" ht="15.75" customHeight="1" s="218"/>
    <row r="772" ht="15.75" customHeight="1" s="218"/>
    <row r="773" ht="15.75" customHeight="1" s="218"/>
    <row r="774" ht="15.75" customHeight="1" s="218"/>
    <row r="775" ht="15.75" customHeight="1" s="218"/>
    <row r="776" ht="15.75" customHeight="1" s="218"/>
    <row r="777" ht="15.75" customHeight="1" s="218"/>
    <row r="778" ht="15.75" customHeight="1" s="218"/>
    <row r="779" ht="15.75" customHeight="1" s="218"/>
    <row r="780" ht="15.75" customHeight="1" s="218"/>
    <row r="781" ht="15.75" customHeight="1" s="218"/>
    <row r="782" ht="15.75" customHeight="1" s="218"/>
    <row r="783" ht="15.75" customHeight="1" s="218"/>
    <row r="784" ht="15.75" customHeight="1" s="218"/>
    <row r="785" ht="15.75" customHeight="1" s="218"/>
    <row r="786" ht="15.75" customHeight="1" s="218"/>
    <row r="787" ht="15.75" customHeight="1" s="218"/>
    <row r="788" ht="15.75" customHeight="1" s="218"/>
    <row r="789" ht="15.75" customHeight="1" s="218"/>
    <row r="790" ht="15.75" customHeight="1" s="218"/>
    <row r="791" ht="15.75" customHeight="1" s="218"/>
    <row r="792" ht="15.75" customHeight="1" s="218"/>
    <row r="793" ht="15.75" customHeight="1" s="218"/>
    <row r="794" ht="15.75" customHeight="1" s="218"/>
    <row r="795" ht="15.75" customHeight="1" s="218"/>
    <row r="796" ht="15.75" customHeight="1" s="218"/>
    <row r="797" ht="15.75" customHeight="1" s="218"/>
    <row r="798" ht="15.75" customHeight="1" s="218"/>
    <row r="799" ht="15.75" customHeight="1" s="218"/>
    <row r="800" ht="15.75" customHeight="1" s="218"/>
    <row r="801" ht="15.75" customHeight="1" s="218"/>
    <row r="802" ht="15.75" customHeight="1" s="218"/>
    <row r="803" ht="15.75" customHeight="1" s="218"/>
    <row r="804" ht="15.75" customHeight="1" s="218"/>
    <row r="805" ht="15.75" customHeight="1" s="218"/>
    <row r="806" ht="15.75" customHeight="1" s="218"/>
    <row r="807" ht="15.75" customHeight="1" s="218"/>
    <row r="808" ht="15.75" customHeight="1" s="218"/>
    <row r="809" ht="15.75" customHeight="1" s="218"/>
    <row r="810" ht="15.75" customHeight="1" s="218"/>
    <row r="811" ht="15.75" customHeight="1" s="218"/>
    <row r="812" ht="15.75" customHeight="1" s="218"/>
    <row r="813" ht="15.75" customHeight="1" s="218"/>
    <row r="814" ht="15.75" customHeight="1" s="218"/>
    <row r="815" ht="15.75" customHeight="1" s="218"/>
    <row r="816" ht="15.75" customHeight="1" s="218"/>
    <row r="817" ht="15.75" customHeight="1" s="218"/>
    <row r="818" ht="15.75" customHeight="1" s="218"/>
    <row r="819" ht="15.75" customHeight="1" s="218"/>
    <row r="820" ht="15.75" customHeight="1" s="218"/>
    <row r="821" ht="15.75" customHeight="1" s="218"/>
    <row r="822" ht="15.75" customHeight="1" s="218"/>
    <row r="823" ht="15.75" customHeight="1" s="218"/>
    <row r="824" ht="15.75" customHeight="1" s="218"/>
    <row r="825" ht="15.75" customHeight="1" s="218"/>
    <row r="826" ht="15.75" customHeight="1" s="218"/>
    <row r="827" ht="15.75" customHeight="1" s="218"/>
    <row r="828" ht="15.75" customHeight="1" s="218"/>
    <row r="829" ht="15.75" customHeight="1" s="218"/>
    <row r="830" ht="15.75" customHeight="1" s="218"/>
    <row r="831" ht="15.75" customHeight="1" s="218"/>
    <row r="832" ht="15.75" customHeight="1" s="218"/>
    <row r="833" ht="15.75" customHeight="1" s="218"/>
    <row r="834" ht="15.75" customHeight="1" s="218"/>
    <row r="835" ht="15.75" customHeight="1" s="218"/>
    <row r="836" ht="15.75" customHeight="1" s="218"/>
    <row r="837" ht="15.75" customHeight="1" s="218"/>
    <row r="838" ht="15.75" customHeight="1" s="218"/>
    <row r="839" ht="15.75" customHeight="1" s="218"/>
    <row r="840" ht="15.75" customHeight="1" s="218"/>
    <row r="841" ht="15.75" customHeight="1" s="218"/>
    <row r="842" ht="15.75" customHeight="1" s="218"/>
    <row r="843" ht="15.75" customHeight="1" s="218"/>
    <row r="844" ht="15.75" customHeight="1" s="218"/>
    <row r="845" ht="15.75" customHeight="1" s="218"/>
    <row r="846" ht="15.75" customHeight="1" s="218"/>
    <row r="847" ht="15.75" customHeight="1" s="218"/>
    <row r="848" ht="15.75" customHeight="1" s="218"/>
    <row r="849" ht="15.75" customHeight="1" s="218"/>
    <row r="850" ht="15.75" customHeight="1" s="218"/>
    <row r="851" ht="15.75" customHeight="1" s="218"/>
    <row r="852" ht="15.75" customHeight="1" s="218"/>
    <row r="853" ht="15.75" customHeight="1" s="218"/>
    <row r="854" ht="15.75" customHeight="1" s="218"/>
    <row r="855" ht="15.75" customHeight="1" s="218"/>
    <row r="856" ht="15.75" customHeight="1" s="218"/>
    <row r="857" ht="15.75" customHeight="1" s="218"/>
    <row r="858" ht="15.75" customHeight="1" s="218"/>
    <row r="859" ht="15.75" customHeight="1" s="218"/>
    <row r="860" ht="15.75" customHeight="1" s="218"/>
    <row r="861" ht="15.75" customHeight="1" s="218"/>
    <row r="862" ht="15.75" customHeight="1" s="218"/>
    <row r="863" ht="15.75" customHeight="1" s="218"/>
    <row r="864" ht="15.75" customHeight="1" s="218"/>
    <row r="865" ht="15.75" customHeight="1" s="218"/>
    <row r="866" ht="15.75" customHeight="1" s="218"/>
    <row r="867" ht="15.75" customHeight="1" s="218"/>
    <row r="868" ht="15.75" customHeight="1" s="218"/>
    <row r="869" ht="15.75" customHeight="1" s="218"/>
    <row r="870" ht="15.75" customHeight="1" s="218"/>
    <row r="871" ht="15.75" customHeight="1" s="218"/>
    <row r="872" ht="15.75" customHeight="1" s="218"/>
    <row r="873" ht="15.75" customHeight="1" s="218"/>
    <row r="874" ht="15.75" customHeight="1" s="218"/>
    <row r="875" ht="15.75" customHeight="1" s="218"/>
    <row r="876" ht="15.75" customHeight="1" s="218"/>
    <row r="877" ht="15.75" customHeight="1" s="218"/>
    <row r="878" ht="15.75" customHeight="1" s="218"/>
    <row r="879" ht="15.75" customHeight="1" s="218"/>
    <row r="880" ht="15.75" customHeight="1" s="218"/>
    <row r="881" ht="15.75" customHeight="1" s="218"/>
    <row r="882" ht="15.75" customHeight="1" s="218"/>
    <row r="883" ht="15.75" customHeight="1" s="218"/>
    <row r="884" ht="15.75" customHeight="1" s="218"/>
    <row r="885" ht="15.75" customHeight="1" s="218"/>
    <row r="886" ht="15.75" customHeight="1" s="218"/>
    <row r="887" ht="15.75" customHeight="1" s="218"/>
    <row r="888" ht="15.75" customHeight="1" s="218"/>
    <row r="889" ht="15.75" customHeight="1" s="218"/>
    <row r="890" ht="15.75" customHeight="1" s="218"/>
    <row r="891" ht="15.75" customHeight="1" s="218"/>
    <row r="892" ht="15.75" customHeight="1" s="218"/>
    <row r="893" ht="15.75" customHeight="1" s="218"/>
    <row r="894" ht="15.75" customHeight="1" s="218"/>
    <row r="895" ht="15.75" customHeight="1" s="218"/>
    <row r="896" ht="15.75" customHeight="1" s="218"/>
    <row r="897" ht="15.75" customHeight="1" s="218"/>
    <row r="898" ht="15.75" customHeight="1" s="218"/>
    <row r="899" ht="15.75" customHeight="1" s="218"/>
    <row r="900" ht="15.75" customHeight="1" s="218"/>
    <row r="901" ht="15.75" customHeight="1" s="218"/>
    <row r="902" ht="15.75" customHeight="1" s="218"/>
    <row r="903" ht="15.75" customHeight="1" s="218"/>
    <row r="904" ht="15.75" customHeight="1" s="218"/>
    <row r="905" ht="15.75" customHeight="1" s="218"/>
    <row r="906" ht="15.75" customHeight="1" s="218"/>
    <row r="907" ht="15.75" customHeight="1" s="218"/>
    <row r="908" ht="15.75" customHeight="1" s="218"/>
    <row r="909" ht="15.75" customHeight="1" s="218"/>
    <row r="910" ht="15.75" customHeight="1" s="218"/>
    <row r="911" ht="15.75" customHeight="1" s="218"/>
    <row r="912" ht="15.75" customHeight="1" s="218"/>
    <row r="913" ht="15.75" customHeight="1" s="218"/>
    <row r="914" ht="15.75" customHeight="1" s="218"/>
    <row r="915" ht="15.75" customHeight="1" s="218"/>
    <row r="916" ht="15.75" customHeight="1" s="218"/>
    <row r="917" ht="15.75" customHeight="1" s="218"/>
    <row r="918" ht="15.75" customHeight="1" s="218"/>
    <row r="919" ht="15.75" customHeight="1" s="218"/>
    <row r="920" ht="15.75" customHeight="1" s="218"/>
    <row r="921" ht="15.75" customHeight="1" s="218"/>
    <row r="922" ht="15.75" customHeight="1" s="218"/>
    <row r="923" ht="15.75" customHeight="1" s="218"/>
    <row r="924" ht="15.75" customHeight="1" s="218"/>
    <row r="925" ht="15.75" customHeight="1" s="218"/>
    <row r="926" ht="15.75" customHeight="1" s="218"/>
    <row r="927" ht="15.75" customHeight="1" s="218"/>
    <row r="928" ht="15.75" customHeight="1" s="218"/>
    <row r="929" ht="15.75" customHeight="1" s="218"/>
    <row r="930" ht="15.75" customHeight="1" s="218"/>
    <row r="931" ht="15.75" customHeight="1" s="218"/>
    <row r="932" ht="15.75" customHeight="1" s="218"/>
    <row r="933" ht="15.75" customHeight="1" s="218"/>
    <row r="934" ht="15.75" customHeight="1" s="218"/>
    <row r="935" ht="15.75" customHeight="1" s="218"/>
    <row r="936" ht="15.75" customHeight="1" s="218"/>
    <row r="937" ht="15.75" customHeight="1" s="218"/>
    <row r="938" ht="15.75" customHeight="1" s="218"/>
    <row r="939" ht="15.75" customHeight="1" s="218"/>
    <row r="940" ht="15.75" customHeight="1" s="218"/>
    <row r="941" ht="15.75" customHeight="1" s="218"/>
    <row r="942" ht="15.75" customHeight="1" s="218"/>
    <row r="943" ht="15.75" customHeight="1" s="218"/>
    <row r="944" ht="15.75" customHeight="1" s="218"/>
    <row r="945" ht="15.75" customHeight="1" s="218"/>
    <row r="946" ht="15.75" customHeight="1" s="218"/>
    <row r="947" ht="15.75" customHeight="1" s="218"/>
    <row r="948" ht="15.75" customHeight="1" s="218"/>
    <row r="949" ht="15.75" customHeight="1" s="218"/>
    <row r="950" ht="15.75" customHeight="1" s="218"/>
    <row r="951" ht="15.75" customHeight="1" s="218"/>
    <row r="952" ht="15.75" customHeight="1" s="218"/>
    <row r="953" ht="15.75" customHeight="1" s="218"/>
    <row r="954" ht="15.75" customHeight="1" s="218"/>
    <row r="955" ht="15.75" customHeight="1" s="218"/>
    <row r="956" ht="15.75" customHeight="1" s="218"/>
    <row r="957" ht="15.75" customHeight="1" s="218"/>
    <row r="958" ht="15.75" customHeight="1" s="218"/>
    <row r="959" ht="15.75" customHeight="1" s="218"/>
    <row r="960" ht="15.75" customHeight="1" s="218"/>
    <row r="961" ht="15.75" customHeight="1" s="218"/>
    <row r="962" ht="15.75" customHeight="1" s="218"/>
    <row r="963" ht="15.75" customHeight="1" s="218"/>
    <row r="964" ht="15.75" customHeight="1" s="218"/>
    <row r="965" ht="15.75" customHeight="1" s="218"/>
    <row r="966" ht="15.75" customHeight="1" s="218"/>
    <row r="967" ht="15.75" customHeight="1" s="218"/>
    <row r="968" ht="15.75" customHeight="1" s="218"/>
    <row r="969" ht="15.75" customHeight="1" s="218"/>
    <row r="970" ht="15.75" customHeight="1" s="218"/>
    <row r="971" ht="15.75" customHeight="1" s="218"/>
    <row r="972" ht="15.75" customHeight="1" s="218"/>
    <row r="973" ht="15.75" customHeight="1" s="218"/>
    <row r="974" ht="15.75" customHeight="1" s="218"/>
    <row r="975" ht="15.75" customHeight="1" s="218"/>
    <row r="976" ht="15.75" customHeight="1" s="218"/>
    <row r="977" ht="15.75" customHeight="1" s="218"/>
    <row r="978" ht="15.75" customHeight="1" s="218"/>
    <row r="979" ht="15.75" customHeight="1" s="218"/>
    <row r="980" ht="15.75" customHeight="1" s="218"/>
    <row r="981" ht="15.75" customHeight="1" s="218"/>
    <row r="982" ht="15.75" customHeight="1" s="218"/>
    <row r="983" ht="15.75" customHeight="1" s="218"/>
    <row r="984" ht="15.75" customHeight="1" s="218"/>
    <row r="985" ht="15.75" customHeight="1" s="218"/>
    <row r="986" ht="15.75" customHeight="1" s="218"/>
    <row r="987" ht="15.75" customHeight="1" s="218"/>
    <row r="988" ht="15.75" customHeight="1" s="218"/>
    <row r="989" ht="15.75" customHeight="1" s="218"/>
    <row r="990" ht="15.75" customHeight="1" s="218"/>
    <row r="991" ht="15.75" customHeight="1" s="218"/>
    <row r="992" ht="15.75" customHeight="1" s="218"/>
    <row r="993" ht="15.75" customHeight="1" s="218"/>
    <row r="994" ht="15.75" customHeight="1" s="218"/>
    <row r="995" ht="15.75" customHeight="1" s="218"/>
    <row r="996" ht="15.75" customHeight="1" s="218"/>
    <row r="997" ht="15.75" customHeight="1" s="218"/>
    <row r="998" ht="15.75" customHeight="1" s="218"/>
    <row r="999" ht="15.75" customHeight="1" s="218"/>
    <row r="1000" ht="15.75" customHeight="1" s="218"/>
  </sheetData>
  <mergeCells count="9">
    <mergeCell ref="BB4:BM4"/>
    <mergeCell ref="A34:BN34"/>
    <mergeCell ref="A21:BN21"/>
    <mergeCell ref="A2:BN2"/>
    <mergeCell ref="A15:BN15"/>
    <mergeCell ref="A28:BN28"/>
    <mergeCell ref="AO4:AZ4"/>
    <mergeCell ref="A1:BN1"/>
    <mergeCell ref="A6:BN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tabColor rgb="FF7030A0"/>
    <outlinePr summaryBelow="1" summaryRight="1"/>
    <pageSetUpPr fitToPage="0"/>
  </sheetPr>
  <dimension ref="A1:BN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B6" activeCellId="0" sqref="B6"/>
    </sheetView>
  </sheetViews>
  <sheetFormatPr baseColWidth="8" defaultColWidth="14.43359375" defaultRowHeight="15" customHeight="1" zeroHeight="0" outlineLevelRow="0"/>
  <cols>
    <col width="34" customWidth="1" style="217" min="1" max="1"/>
    <col width="9.57" customWidth="1" style="217" min="2" max="13"/>
    <col width="11" customWidth="1" style="217" min="14" max="14"/>
    <col width="9.57" customWidth="1" style="217" min="15" max="26"/>
    <col width="11" customWidth="1" style="217" min="27" max="27"/>
    <col width="9.57" customWidth="1" style="217" min="28" max="39"/>
    <col width="11" customWidth="1" style="217" min="40" max="40"/>
    <col width="9.57" customWidth="1" style="217" min="41" max="41"/>
    <col width="13" customWidth="1" style="217" min="42" max="52"/>
    <col width="11" customWidth="1" style="217" min="53" max="53"/>
    <col width="9.57" customWidth="1" style="217" min="54" max="54"/>
    <col width="13" customWidth="1" style="217" min="55" max="65"/>
    <col width="11" customWidth="1" style="217" min="66" max="66"/>
  </cols>
  <sheetData>
    <row r="1" ht="39.75" customHeight="1" s="218">
      <c r="A1" s="264" t="inlineStr">
        <is>
          <t>HEADCOUNT — Staff Costs by Department</t>
        </is>
      </c>
    </row>
    <row r="2" ht="18" customHeight="1" s="218">
      <c r="A2" s="265" t="inlineStr">
        <is>
          <t>All values auto-calculated from Assumptions Section 6. Edit roles, start months, and salaries there.</t>
        </is>
      </c>
    </row>
    <row r="3" ht="18" customHeight="1" s="218">
      <c r="A3" s="221" t="n"/>
      <c r="B3" s="221" t="n"/>
      <c r="C3" s="221" t="n"/>
      <c r="D3" s="221" t="n"/>
      <c r="E3" s="221" t="n"/>
      <c r="F3" s="221" t="n"/>
      <c r="G3" s="221" t="n"/>
      <c r="H3" s="221" t="n"/>
      <c r="I3" s="221" t="n"/>
      <c r="J3" s="221" t="n"/>
      <c r="K3" s="221" t="n"/>
      <c r="L3" s="221" t="n"/>
      <c r="M3" s="221" t="n"/>
      <c r="N3" s="221" t="n"/>
      <c r="O3" s="221" t="n"/>
      <c r="P3" s="221" t="n"/>
      <c r="Q3" s="221" t="n"/>
      <c r="R3" s="221" t="n"/>
      <c r="S3" s="221" t="n"/>
      <c r="T3" s="221" t="n"/>
      <c r="U3" s="221" t="n"/>
      <c r="V3" s="221" t="n"/>
      <c r="W3" s="221" t="n"/>
      <c r="X3" s="221" t="n"/>
      <c r="Y3" s="221" t="n"/>
      <c r="Z3" s="221" t="n"/>
      <c r="AA3" s="221" t="n"/>
      <c r="AB3" s="221" t="n"/>
      <c r="AC3" s="221" t="n"/>
      <c r="AD3" s="221" t="n"/>
      <c r="AE3" s="221" t="n"/>
      <c r="AF3" s="221" t="n"/>
      <c r="AG3" s="221" t="n"/>
      <c r="AH3" s="221" t="n"/>
      <c r="AI3" s="221" t="n"/>
      <c r="AJ3" s="221" t="n"/>
      <c r="AK3" s="221" t="n"/>
      <c r="AL3" s="221" t="n"/>
      <c r="AM3" s="221" t="n"/>
      <c r="AN3" s="221" t="n"/>
    </row>
    <row r="4" ht="18" customHeight="1" s="218">
      <c r="A4" s="266" t="n"/>
      <c r="B4" s="233" t="inlineStr">
        <is>
          <t xml:space="preserve">  YEAR 1</t>
        </is>
      </c>
      <c r="N4" s="267" t="inlineStr">
        <is>
          <t>Y1</t>
        </is>
      </c>
      <c r="O4" s="268" t="inlineStr">
        <is>
          <t xml:space="preserve">  YEAR 2</t>
        </is>
      </c>
      <c r="AA4" s="269" t="inlineStr">
        <is>
          <t>Y2</t>
        </is>
      </c>
      <c r="AB4" s="270" t="inlineStr">
        <is>
          <t xml:space="preserve">  YEAR 3</t>
        </is>
      </c>
      <c r="AN4" s="271" t="inlineStr">
        <is>
          <t>Y3</t>
        </is>
      </c>
      <c r="AO4" s="272" t="inlineStr">
        <is>
          <t xml:space="preserve">  YEAR 4</t>
        </is>
      </c>
      <c r="BA4" s="273" t="inlineStr">
        <is>
          <t>Y4</t>
        </is>
      </c>
      <c r="BB4" s="272" t="inlineStr">
        <is>
          <t xml:space="preserve">  YEAR 5</t>
        </is>
      </c>
      <c r="BN4" s="273" t="inlineStr">
        <is>
          <t>Y5</t>
        </is>
      </c>
    </row>
    <row r="5" ht="21.75" customHeight="1" s="218">
      <c r="A5" s="266" t="n"/>
      <c r="B5" s="274" t="inlineStr">
        <is>
          <t>Jan</t>
        </is>
      </c>
      <c r="C5" s="274" t="inlineStr">
        <is>
          <t>Feb</t>
        </is>
      </c>
      <c r="D5" s="274" t="inlineStr">
        <is>
          <t>Mar</t>
        </is>
      </c>
      <c r="E5" s="274" t="inlineStr">
        <is>
          <t>Apr</t>
        </is>
      </c>
      <c r="F5" s="274" t="inlineStr">
        <is>
          <t>May</t>
        </is>
      </c>
      <c r="G5" s="274" t="inlineStr">
        <is>
          <t>Jun</t>
        </is>
      </c>
      <c r="H5" s="274" t="inlineStr">
        <is>
          <t>Jul</t>
        </is>
      </c>
      <c r="I5" s="274" t="inlineStr">
        <is>
          <t>Aug</t>
        </is>
      </c>
      <c r="J5" s="274" t="inlineStr">
        <is>
          <t>Sep</t>
        </is>
      </c>
      <c r="K5" s="274" t="inlineStr">
        <is>
          <t>Oct</t>
        </is>
      </c>
      <c r="L5" s="274" t="inlineStr">
        <is>
          <t>Nov</t>
        </is>
      </c>
      <c r="M5" s="274" t="inlineStr">
        <is>
          <t>Dec</t>
        </is>
      </c>
      <c r="N5" s="274" t="inlineStr">
        <is>
          <t>Y1 Total</t>
        </is>
      </c>
      <c r="O5" s="258" t="inlineStr">
        <is>
          <t>Jan</t>
        </is>
      </c>
      <c r="P5" s="258" t="inlineStr">
        <is>
          <t>Feb</t>
        </is>
      </c>
      <c r="Q5" s="258" t="inlineStr">
        <is>
          <t>Mar</t>
        </is>
      </c>
      <c r="R5" s="258" t="inlineStr">
        <is>
          <t>Apr</t>
        </is>
      </c>
      <c r="S5" s="258" t="inlineStr">
        <is>
          <t>May</t>
        </is>
      </c>
      <c r="T5" s="258" t="inlineStr">
        <is>
          <t>Jun</t>
        </is>
      </c>
      <c r="U5" s="258" t="inlineStr">
        <is>
          <t>Jul</t>
        </is>
      </c>
      <c r="V5" s="258" t="inlineStr">
        <is>
          <t>Aug</t>
        </is>
      </c>
      <c r="W5" s="258" t="inlineStr">
        <is>
          <t>Sep</t>
        </is>
      </c>
      <c r="X5" s="258" t="inlineStr">
        <is>
          <t>Oct</t>
        </is>
      </c>
      <c r="Y5" s="258" t="inlineStr">
        <is>
          <t>Nov</t>
        </is>
      </c>
      <c r="Z5" s="258" t="inlineStr">
        <is>
          <t>Dec</t>
        </is>
      </c>
      <c r="AA5" s="258" t="inlineStr">
        <is>
          <t>Y2 Total</t>
        </is>
      </c>
      <c r="AB5" s="275" t="inlineStr">
        <is>
          <t>Jan</t>
        </is>
      </c>
      <c r="AC5" s="275" t="inlineStr">
        <is>
          <t>Feb</t>
        </is>
      </c>
      <c r="AD5" s="275" t="inlineStr">
        <is>
          <t>Mar</t>
        </is>
      </c>
      <c r="AE5" s="275" t="inlineStr">
        <is>
          <t>Apr</t>
        </is>
      </c>
      <c r="AF5" s="275" t="inlineStr">
        <is>
          <t>May</t>
        </is>
      </c>
      <c r="AG5" s="275" t="inlineStr">
        <is>
          <t>Jun</t>
        </is>
      </c>
      <c r="AH5" s="275" t="inlineStr">
        <is>
          <t>Jul</t>
        </is>
      </c>
      <c r="AI5" s="275" t="inlineStr">
        <is>
          <t>Aug</t>
        </is>
      </c>
      <c r="AJ5" s="275" t="inlineStr">
        <is>
          <t>Sep</t>
        </is>
      </c>
      <c r="AK5" s="275" t="inlineStr">
        <is>
          <t>Oct</t>
        </is>
      </c>
      <c r="AL5" s="275" t="inlineStr">
        <is>
          <t>Nov</t>
        </is>
      </c>
      <c r="AM5" s="275" t="inlineStr">
        <is>
          <t>Dec</t>
        </is>
      </c>
      <c r="AN5" s="275" t="inlineStr">
        <is>
          <t>Y3 Total</t>
        </is>
      </c>
      <c r="AO5" s="275" t="inlineStr">
        <is>
          <t>Jan</t>
        </is>
      </c>
      <c r="AP5" s="275" t="inlineStr">
        <is>
          <t>Feb</t>
        </is>
      </c>
      <c r="AQ5" s="275" t="inlineStr">
        <is>
          <t>Mar</t>
        </is>
      </c>
      <c r="AR5" s="275" t="inlineStr">
        <is>
          <t>Apr</t>
        </is>
      </c>
      <c r="AS5" s="275" t="inlineStr">
        <is>
          <t>May</t>
        </is>
      </c>
      <c r="AT5" s="275" t="inlineStr">
        <is>
          <t>Jun</t>
        </is>
      </c>
      <c r="AU5" s="275" t="inlineStr">
        <is>
          <t>Jul</t>
        </is>
      </c>
      <c r="AV5" s="275" t="inlineStr">
        <is>
          <t>Aug</t>
        </is>
      </c>
      <c r="AW5" s="275" t="inlineStr">
        <is>
          <t>Sep</t>
        </is>
      </c>
      <c r="AX5" s="275" t="inlineStr">
        <is>
          <t>Oct</t>
        </is>
      </c>
      <c r="AY5" s="275" t="inlineStr">
        <is>
          <t>Nov</t>
        </is>
      </c>
      <c r="AZ5" s="275" t="inlineStr">
        <is>
          <t>Dec</t>
        </is>
      </c>
      <c r="BA5" s="275" t="inlineStr">
        <is>
          <t>Y4 Total</t>
        </is>
      </c>
      <c r="BB5" s="275" t="inlineStr">
        <is>
          <t>Jan</t>
        </is>
      </c>
      <c r="BC5" s="275" t="inlineStr">
        <is>
          <t>Feb</t>
        </is>
      </c>
      <c r="BD5" s="275" t="inlineStr">
        <is>
          <t>Mar</t>
        </is>
      </c>
      <c r="BE5" s="275" t="inlineStr">
        <is>
          <t>Apr</t>
        </is>
      </c>
      <c r="BF5" s="275" t="inlineStr">
        <is>
          <t>May</t>
        </is>
      </c>
      <c r="BG5" s="275" t="inlineStr">
        <is>
          <t>Jun</t>
        </is>
      </c>
      <c r="BH5" s="275" t="inlineStr">
        <is>
          <t>Jul</t>
        </is>
      </c>
      <c r="BI5" s="275" t="inlineStr">
        <is>
          <t>Aug</t>
        </is>
      </c>
      <c r="BJ5" s="275" t="inlineStr">
        <is>
          <t>Sep</t>
        </is>
      </c>
      <c r="BK5" s="275" t="inlineStr">
        <is>
          <t>Oct</t>
        </is>
      </c>
      <c r="BL5" s="275" t="inlineStr">
        <is>
          <t>Nov</t>
        </is>
      </c>
      <c r="BM5" s="275" t="inlineStr">
        <is>
          <t>Dec</t>
        </is>
      </c>
      <c r="BN5" s="275" t="inlineStr">
        <is>
          <t>Y5 Total</t>
        </is>
      </c>
    </row>
    <row r="6" ht="6" customHeight="1" s="218">
      <c r="A6" s="221" t="n"/>
      <c r="B6" s="221" t="n"/>
      <c r="C6" s="221" t="n"/>
      <c r="D6" s="221" t="n"/>
      <c r="E6" s="221" t="n"/>
      <c r="F6" s="221" t="n"/>
      <c r="G6" s="221" t="n"/>
      <c r="H6" s="221" t="n"/>
      <c r="I6" s="221" t="n"/>
      <c r="J6" s="221" t="n"/>
      <c r="K6" s="221" t="n"/>
      <c r="L6" s="221" t="n"/>
      <c r="M6" s="221" t="n"/>
      <c r="N6" s="221" t="n"/>
      <c r="O6" s="221" t="n"/>
      <c r="P6" s="221" t="n"/>
      <c r="Q6" s="221" t="n"/>
      <c r="R6" s="221" t="n"/>
      <c r="S6" s="221" t="n"/>
      <c r="T6" s="221" t="n"/>
      <c r="U6" s="221" t="n"/>
      <c r="V6" s="221" t="n"/>
      <c r="W6" s="221" t="n"/>
      <c r="X6" s="221" t="n"/>
      <c r="Y6" s="221" t="n"/>
      <c r="Z6" s="221" t="n"/>
      <c r="AA6" s="221" t="n"/>
      <c r="AB6" s="221" t="n"/>
      <c r="AC6" s="221" t="n"/>
      <c r="AD6" s="221" t="n"/>
      <c r="AE6" s="221" t="n"/>
      <c r="AF6" s="221" t="n"/>
      <c r="AG6" s="221" t="n"/>
      <c r="AH6" s="221" t="n"/>
      <c r="AI6" s="221" t="n"/>
      <c r="AJ6" s="221" t="n"/>
      <c r="AK6" s="221" t="n"/>
      <c r="AL6" s="221" t="n"/>
      <c r="AM6" s="221" t="n"/>
      <c r="AN6" s="221" t="n"/>
      <c r="AO6" s="221" t="n"/>
      <c r="AP6" s="221" t="n"/>
      <c r="AQ6" s="221" t="n"/>
      <c r="AR6" s="221" t="n"/>
      <c r="AS6" s="221" t="n"/>
      <c r="AT6" s="221" t="n"/>
      <c r="AU6" s="221" t="n"/>
      <c r="AV6" s="221" t="n"/>
      <c r="AW6" s="221" t="n"/>
      <c r="AX6" s="221" t="n"/>
      <c r="AY6" s="221" t="n"/>
      <c r="AZ6" s="221" t="n"/>
      <c r="BA6" s="285" t="n"/>
      <c r="BB6" s="221" t="n"/>
      <c r="BC6" s="221" t="n"/>
      <c r="BD6" s="221" t="n"/>
      <c r="BE6" s="221" t="n"/>
      <c r="BF6" s="221" t="n"/>
      <c r="BG6" s="221" t="n"/>
      <c r="BH6" s="221" t="n"/>
      <c r="BI6" s="221" t="n"/>
      <c r="BJ6" s="221" t="n"/>
      <c r="BK6" s="221" t="n"/>
      <c r="BL6" s="221" t="n"/>
      <c r="BM6" s="221" t="n"/>
      <c r="BN6" s="285" t="n"/>
    </row>
    <row r="7" ht="19.5" customHeight="1" s="218">
      <c r="A7" s="311" t="inlineStr">
        <is>
          <t>ENGINEERING</t>
        </is>
      </c>
    </row>
    <row r="8" ht="19.5" customHeight="1" s="218">
      <c r="A8" s="312">
        <f>IFERROR(ASSUMPTIONS!B47,"(empty)")</f>
        <v/>
      </c>
      <c r="B8" s="313">
        <f>IFERROR(IF(1&gt;=ASSUMPTIONS!$C$47,ASSUMPTIONS!$D$47*(1+ASSUMPTIONS!$B$66),0),0)</f>
        <v/>
      </c>
      <c r="C8" s="313">
        <f>IFERROR(IF(2&gt;=ASSUMPTIONS!$C$47,ASSUMPTIONS!$D$47*(1+ASSUMPTIONS!$B$66),0),0)</f>
        <v/>
      </c>
      <c r="D8" s="313">
        <f>IFERROR(IF(3&gt;=ASSUMPTIONS!$C$47,ASSUMPTIONS!$D$47*(1+ASSUMPTIONS!$B$66),0),0)</f>
        <v/>
      </c>
      <c r="E8" s="313">
        <f>IFERROR(IF(4&gt;=ASSUMPTIONS!$C$47,ASSUMPTIONS!$D$47*(1+ASSUMPTIONS!$B$66),0),0)</f>
        <v/>
      </c>
      <c r="F8" s="313">
        <f>IFERROR(IF(5&gt;=ASSUMPTIONS!$C$47,ASSUMPTIONS!$D$47*(1+ASSUMPTIONS!$B$66),0),0)</f>
        <v/>
      </c>
      <c r="G8" s="313">
        <f>IFERROR(IF(6&gt;=ASSUMPTIONS!$C$47,ASSUMPTIONS!$D$47*(1+ASSUMPTIONS!$B$66),0),0)</f>
        <v/>
      </c>
      <c r="H8" s="313">
        <f>IFERROR(IF(7&gt;=ASSUMPTIONS!$C$47,ASSUMPTIONS!$D$47*(1+ASSUMPTIONS!$B$66),0),0)</f>
        <v/>
      </c>
      <c r="I8" s="313">
        <f>IFERROR(IF(8&gt;=ASSUMPTIONS!$C$47,ASSUMPTIONS!$D$47*(1+ASSUMPTIONS!$B$66),0),0)</f>
        <v/>
      </c>
      <c r="J8" s="313">
        <f>IFERROR(IF(9&gt;=ASSUMPTIONS!$C$47,ASSUMPTIONS!$D$47*(1+ASSUMPTIONS!$B$66),0),0)</f>
        <v/>
      </c>
      <c r="K8" s="313">
        <f>IFERROR(IF(10&gt;=ASSUMPTIONS!$C$47,ASSUMPTIONS!$D$47*(1+ASSUMPTIONS!$B$66),0),0)</f>
        <v/>
      </c>
      <c r="L8" s="313">
        <f>IFERROR(IF(11&gt;=ASSUMPTIONS!$C$47,ASSUMPTIONS!$D$47*(1+ASSUMPTIONS!$B$66),0),0)</f>
        <v/>
      </c>
      <c r="M8" s="313">
        <f>IFERROR(IF(12&gt;=ASSUMPTIONS!$C$47,ASSUMPTIONS!$D$47*(1+ASSUMPTIONS!$B$66),0),0)</f>
        <v/>
      </c>
      <c r="N8" s="314">
        <f>SUM(B8:M8)</f>
        <v/>
      </c>
      <c r="O8" s="313">
        <f>IFERROR(IF(13&gt;=ASSUMPTIONS!$C$47,ASSUMPTIONS!$D$47*(1+ASSUMPTIONS!$B$66),0),0)</f>
        <v/>
      </c>
      <c r="P8" s="313">
        <f>IFERROR(IF(14&gt;=ASSUMPTIONS!$C$47,ASSUMPTIONS!$D$47*(1+ASSUMPTIONS!$B$66),0),0)</f>
        <v/>
      </c>
      <c r="Q8" s="313">
        <f>IFERROR(IF(15&gt;=ASSUMPTIONS!$C$47,ASSUMPTIONS!$D$47*(1+ASSUMPTIONS!$B$66),0),0)</f>
        <v/>
      </c>
      <c r="R8" s="313">
        <f>IFERROR(IF(16&gt;=ASSUMPTIONS!$C$47,ASSUMPTIONS!$D$47*(1+ASSUMPTIONS!$B$66),0),0)</f>
        <v/>
      </c>
      <c r="S8" s="313">
        <f>IFERROR(IF(17&gt;=ASSUMPTIONS!$C$47,ASSUMPTIONS!$D$47*(1+ASSUMPTIONS!$B$66),0),0)</f>
        <v/>
      </c>
      <c r="T8" s="313">
        <f>IFERROR(IF(18&gt;=ASSUMPTIONS!$C$47,ASSUMPTIONS!$D$47*(1+ASSUMPTIONS!$B$66),0),0)</f>
        <v/>
      </c>
      <c r="U8" s="313">
        <f>IFERROR(IF(19&gt;=ASSUMPTIONS!$C$47,ASSUMPTIONS!$D$47*(1+ASSUMPTIONS!$B$66),0),0)</f>
        <v/>
      </c>
      <c r="V8" s="313">
        <f>IFERROR(IF(20&gt;=ASSUMPTIONS!$C$47,ASSUMPTIONS!$D$47*(1+ASSUMPTIONS!$B$66),0),0)</f>
        <v/>
      </c>
      <c r="W8" s="313">
        <f>IFERROR(IF(21&gt;=ASSUMPTIONS!$C$47,ASSUMPTIONS!$D$47*(1+ASSUMPTIONS!$B$66),0),0)</f>
        <v/>
      </c>
      <c r="X8" s="313">
        <f>IFERROR(IF(22&gt;=ASSUMPTIONS!$C$47,ASSUMPTIONS!$D$47*(1+ASSUMPTIONS!$B$66),0),0)</f>
        <v/>
      </c>
      <c r="Y8" s="313">
        <f>IFERROR(IF(23&gt;=ASSUMPTIONS!$C$47,ASSUMPTIONS!$D$47*(1+ASSUMPTIONS!$B$66),0),0)</f>
        <v/>
      </c>
      <c r="Z8" s="313">
        <f>IFERROR(IF(24&gt;=ASSUMPTIONS!$C$47,ASSUMPTIONS!$D$47*(1+ASSUMPTIONS!$B$66),0),0)</f>
        <v/>
      </c>
      <c r="AA8" s="314">
        <f>SUM(O8:Z8)</f>
        <v/>
      </c>
      <c r="AB8" s="313">
        <f>IFERROR(IF(25&gt;=ASSUMPTIONS!$C$47,ASSUMPTIONS!$D$47*(1+ASSUMPTIONS!$B$66),0),0)</f>
        <v/>
      </c>
      <c r="AC8" s="313">
        <f>IFERROR(IF(26&gt;=ASSUMPTIONS!$C$47,ASSUMPTIONS!$D$47*(1+ASSUMPTIONS!$B$66),0),0)</f>
        <v/>
      </c>
      <c r="AD8" s="313">
        <f>IFERROR(IF(27&gt;=ASSUMPTIONS!$C$47,ASSUMPTIONS!$D$47*(1+ASSUMPTIONS!$B$66),0),0)</f>
        <v/>
      </c>
      <c r="AE8" s="313">
        <f>IFERROR(IF(28&gt;=ASSUMPTIONS!$C$47,ASSUMPTIONS!$D$47*(1+ASSUMPTIONS!$B$66),0),0)</f>
        <v/>
      </c>
      <c r="AF8" s="313">
        <f>IFERROR(IF(29&gt;=ASSUMPTIONS!$C$47,ASSUMPTIONS!$D$47*(1+ASSUMPTIONS!$B$66),0),0)</f>
        <v/>
      </c>
      <c r="AG8" s="313">
        <f>IFERROR(IF(30&gt;=ASSUMPTIONS!$C$47,ASSUMPTIONS!$D$47*(1+ASSUMPTIONS!$B$66),0),0)</f>
        <v/>
      </c>
      <c r="AH8" s="313">
        <f>IFERROR(IF(31&gt;=ASSUMPTIONS!$C$47,ASSUMPTIONS!$D$47*(1+ASSUMPTIONS!$B$66),0),0)</f>
        <v/>
      </c>
      <c r="AI8" s="313">
        <f>IFERROR(IF(32&gt;=ASSUMPTIONS!$C$47,ASSUMPTIONS!$D$47*(1+ASSUMPTIONS!$B$66),0),0)</f>
        <v/>
      </c>
      <c r="AJ8" s="313">
        <f>IFERROR(IF(33&gt;=ASSUMPTIONS!$C$47,ASSUMPTIONS!$D$47*(1+ASSUMPTIONS!$B$66),0),0)</f>
        <v/>
      </c>
      <c r="AK8" s="313">
        <f>IFERROR(IF(34&gt;=ASSUMPTIONS!$C$47,ASSUMPTIONS!$D$47*(1+ASSUMPTIONS!$B$66),0),0)</f>
        <v/>
      </c>
      <c r="AL8" s="313">
        <f>IFERROR(IF(35&gt;=ASSUMPTIONS!$C$47,ASSUMPTIONS!$D$47*(1+ASSUMPTIONS!$B$66),0),0)</f>
        <v/>
      </c>
      <c r="AM8" s="313">
        <f>IFERROR(IF(36&gt;=ASSUMPTIONS!$C$47,ASSUMPTIONS!$D$47*(1+ASSUMPTIONS!$B$66),0),0)</f>
        <v/>
      </c>
      <c r="AN8" s="314">
        <f>SUM(AB8:AM8)</f>
        <v/>
      </c>
      <c r="AO8" s="313">
        <f>IFERROR(IF(37&gt;=ASSUMPTIONS!$C$47,ASSUMPTIONS!$D$47*(1+ASSUMPTIONS!$B$66),0),0)</f>
        <v/>
      </c>
      <c r="AP8" s="313">
        <f>IFERROR(IF(38&gt;=ASSUMPTIONS!$C$47,ASSUMPTIONS!$D$47*(1+ASSUMPTIONS!$B$66),0),0)</f>
        <v/>
      </c>
      <c r="AQ8" s="313">
        <f>IFERROR(IF(39&gt;=ASSUMPTIONS!$C$47,ASSUMPTIONS!$D$47*(1+ASSUMPTIONS!$B$66),0),0)</f>
        <v/>
      </c>
      <c r="AR8" s="313">
        <f>IFERROR(IF(40&gt;=ASSUMPTIONS!$C$47,ASSUMPTIONS!$D$47*(1+ASSUMPTIONS!$B$66),0),0)</f>
        <v/>
      </c>
      <c r="AS8" s="313">
        <f>IFERROR(IF(41&gt;=ASSUMPTIONS!$C$47,ASSUMPTIONS!$D$47*(1+ASSUMPTIONS!$B$66),0),0)</f>
        <v/>
      </c>
      <c r="AT8" s="313">
        <f>IFERROR(IF(42&gt;=ASSUMPTIONS!$C$47,ASSUMPTIONS!$D$47*(1+ASSUMPTIONS!$B$66),0),0)</f>
        <v/>
      </c>
      <c r="AU8" s="313">
        <f>IFERROR(IF(43&gt;=ASSUMPTIONS!$C$47,ASSUMPTIONS!$D$47*(1+ASSUMPTIONS!$B$66),0),0)</f>
        <v/>
      </c>
      <c r="AV8" s="313">
        <f>IFERROR(IF(44&gt;=ASSUMPTIONS!$C$47,ASSUMPTIONS!$D$47*(1+ASSUMPTIONS!$B$66),0),0)</f>
        <v/>
      </c>
      <c r="AW8" s="313">
        <f>IFERROR(IF(45&gt;=ASSUMPTIONS!$C$47,ASSUMPTIONS!$D$47*(1+ASSUMPTIONS!$B$66),0),0)</f>
        <v/>
      </c>
      <c r="AX8" s="313">
        <f>IFERROR(IF(46&gt;=ASSUMPTIONS!$C$47,ASSUMPTIONS!$D$47*(1+ASSUMPTIONS!$B$66),0),0)</f>
        <v/>
      </c>
      <c r="AY8" s="313">
        <f>IFERROR(IF(47&gt;=ASSUMPTIONS!$C$47,ASSUMPTIONS!$D$47*(1+ASSUMPTIONS!$B$66),0),0)</f>
        <v/>
      </c>
      <c r="AZ8" s="313">
        <f>IFERROR(IF(48&gt;=ASSUMPTIONS!$C$47,ASSUMPTIONS!$D$47*(1+ASSUMPTIONS!$B$66),0),0)</f>
        <v/>
      </c>
      <c r="BA8" s="290">
        <f>SUM(AO8:AZ8)</f>
        <v/>
      </c>
      <c r="BB8" s="313">
        <f>IFERROR(IF(49&gt;=ASSUMPTIONS!$C$47,ASSUMPTIONS!$D$47*(1+ASSUMPTIONS!$B$66),0),0)</f>
        <v/>
      </c>
      <c r="BC8" s="313">
        <f>IFERROR(IF(50&gt;=ASSUMPTIONS!$C$47,ASSUMPTIONS!$D$47*(1+ASSUMPTIONS!$B$66),0),0)</f>
        <v/>
      </c>
      <c r="BD8" s="313">
        <f>IFERROR(IF(51&gt;=ASSUMPTIONS!$C$47,ASSUMPTIONS!$D$47*(1+ASSUMPTIONS!$B$66),0),0)</f>
        <v/>
      </c>
      <c r="BE8" s="313">
        <f>IFERROR(IF(52&gt;=ASSUMPTIONS!$C$47,ASSUMPTIONS!$D$47*(1+ASSUMPTIONS!$B$66),0),0)</f>
        <v/>
      </c>
      <c r="BF8" s="313">
        <f>IFERROR(IF(53&gt;=ASSUMPTIONS!$C$47,ASSUMPTIONS!$D$47*(1+ASSUMPTIONS!$B$66),0),0)</f>
        <v/>
      </c>
      <c r="BG8" s="313">
        <f>IFERROR(IF(54&gt;=ASSUMPTIONS!$C$47,ASSUMPTIONS!$D$47*(1+ASSUMPTIONS!$B$66),0),0)</f>
        <v/>
      </c>
      <c r="BH8" s="313">
        <f>IFERROR(IF(55&gt;=ASSUMPTIONS!$C$47,ASSUMPTIONS!$D$47*(1+ASSUMPTIONS!$B$66),0),0)</f>
        <v/>
      </c>
      <c r="BI8" s="313">
        <f>IFERROR(IF(56&gt;=ASSUMPTIONS!$C$47,ASSUMPTIONS!$D$47*(1+ASSUMPTIONS!$B$66),0),0)</f>
        <v/>
      </c>
      <c r="BJ8" s="313">
        <f>IFERROR(IF(57&gt;=ASSUMPTIONS!$C$47,ASSUMPTIONS!$D$47*(1+ASSUMPTIONS!$B$66),0),0)</f>
        <v/>
      </c>
      <c r="BK8" s="313">
        <f>IFERROR(IF(58&gt;=ASSUMPTIONS!$C$47,ASSUMPTIONS!$D$47*(1+ASSUMPTIONS!$B$66),0),0)</f>
        <v/>
      </c>
      <c r="BL8" s="313">
        <f>IFERROR(IF(59&gt;=ASSUMPTIONS!$C$47,ASSUMPTIONS!$D$47*(1+ASSUMPTIONS!$B$66),0),0)</f>
        <v/>
      </c>
      <c r="BM8" s="313">
        <f>IFERROR(IF(60&gt;=ASSUMPTIONS!$C$47,ASSUMPTIONS!$D$47*(1+ASSUMPTIONS!$B$66),0),0)</f>
        <v/>
      </c>
      <c r="BN8" s="290">
        <f>SUM(BB8:BM8)</f>
        <v/>
      </c>
    </row>
    <row r="9" ht="19.5" customHeight="1" s="218">
      <c r="A9" s="312">
        <f>IFERROR(ASSUMPTIONS!B48,"(empty)")</f>
        <v/>
      </c>
      <c r="B9" s="313">
        <f>IFERROR(IF(1&gt;=ASSUMPTIONS!$C$48,ASSUMPTIONS!$D$48*(1+ASSUMPTIONS!$B$66),0),0)</f>
        <v/>
      </c>
      <c r="C9" s="313">
        <f>IFERROR(IF(2&gt;=ASSUMPTIONS!$C$48,ASSUMPTIONS!$D$48*(1+ASSUMPTIONS!$B$66),0),0)</f>
        <v/>
      </c>
      <c r="D9" s="313">
        <f>IFERROR(IF(3&gt;=ASSUMPTIONS!$C$48,ASSUMPTIONS!$D$48*(1+ASSUMPTIONS!$B$66),0),0)</f>
        <v/>
      </c>
      <c r="E9" s="313">
        <f>IFERROR(IF(4&gt;=ASSUMPTIONS!$C$48,ASSUMPTIONS!$D$48*(1+ASSUMPTIONS!$B$66),0),0)</f>
        <v/>
      </c>
      <c r="F9" s="313">
        <f>IFERROR(IF(5&gt;=ASSUMPTIONS!$C$48,ASSUMPTIONS!$D$48*(1+ASSUMPTIONS!$B$66),0),0)</f>
        <v/>
      </c>
      <c r="G9" s="313">
        <f>IFERROR(IF(6&gt;=ASSUMPTIONS!$C$48,ASSUMPTIONS!$D$48*(1+ASSUMPTIONS!$B$66),0),0)</f>
        <v/>
      </c>
      <c r="H9" s="313">
        <f>IFERROR(IF(7&gt;=ASSUMPTIONS!$C$48,ASSUMPTIONS!$D$48*(1+ASSUMPTIONS!$B$66),0),0)</f>
        <v/>
      </c>
      <c r="I9" s="313">
        <f>IFERROR(IF(8&gt;=ASSUMPTIONS!$C$48,ASSUMPTIONS!$D$48*(1+ASSUMPTIONS!$B$66),0),0)</f>
        <v/>
      </c>
      <c r="J9" s="313">
        <f>IFERROR(IF(9&gt;=ASSUMPTIONS!$C$48,ASSUMPTIONS!$D$48*(1+ASSUMPTIONS!$B$66),0),0)</f>
        <v/>
      </c>
      <c r="K9" s="313">
        <f>IFERROR(IF(10&gt;=ASSUMPTIONS!$C$48,ASSUMPTIONS!$D$48*(1+ASSUMPTIONS!$B$66),0),0)</f>
        <v/>
      </c>
      <c r="L9" s="313">
        <f>IFERROR(IF(11&gt;=ASSUMPTIONS!$C$48,ASSUMPTIONS!$D$48*(1+ASSUMPTIONS!$B$66),0),0)</f>
        <v/>
      </c>
      <c r="M9" s="313">
        <f>IFERROR(IF(12&gt;=ASSUMPTIONS!$C$48,ASSUMPTIONS!$D$48*(1+ASSUMPTIONS!$B$66),0),0)</f>
        <v/>
      </c>
      <c r="N9" s="314">
        <f>SUM(B9:M9)</f>
        <v/>
      </c>
      <c r="O9" s="313">
        <f>IFERROR(IF(13&gt;=ASSUMPTIONS!$C$48,ASSUMPTIONS!$D$48*(1+ASSUMPTIONS!$B$66),0),0)</f>
        <v/>
      </c>
      <c r="P9" s="313">
        <f>IFERROR(IF(14&gt;=ASSUMPTIONS!$C$48,ASSUMPTIONS!$D$48*(1+ASSUMPTIONS!$B$66),0),0)</f>
        <v/>
      </c>
      <c r="Q9" s="313">
        <f>IFERROR(IF(15&gt;=ASSUMPTIONS!$C$48,ASSUMPTIONS!$D$48*(1+ASSUMPTIONS!$B$66),0),0)</f>
        <v/>
      </c>
      <c r="R9" s="313">
        <f>IFERROR(IF(16&gt;=ASSUMPTIONS!$C$48,ASSUMPTIONS!$D$48*(1+ASSUMPTIONS!$B$66),0),0)</f>
        <v/>
      </c>
      <c r="S9" s="313">
        <f>IFERROR(IF(17&gt;=ASSUMPTIONS!$C$48,ASSUMPTIONS!$D$48*(1+ASSUMPTIONS!$B$66),0),0)</f>
        <v/>
      </c>
      <c r="T9" s="313">
        <f>IFERROR(IF(18&gt;=ASSUMPTIONS!$C$48,ASSUMPTIONS!$D$48*(1+ASSUMPTIONS!$B$66),0),0)</f>
        <v/>
      </c>
      <c r="U9" s="313">
        <f>IFERROR(IF(19&gt;=ASSUMPTIONS!$C$48,ASSUMPTIONS!$D$48*(1+ASSUMPTIONS!$B$66),0),0)</f>
        <v/>
      </c>
      <c r="V9" s="313">
        <f>IFERROR(IF(20&gt;=ASSUMPTIONS!$C$48,ASSUMPTIONS!$D$48*(1+ASSUMPTIONS!$B$66),0),0)</f>
        <v/>
      </c>
      <c r="W9" s="313">
        <f>IFERROR(IF(21&gt;=ASSUMPTIONS!$C$48,ASSUMPTIONS!$D$48*(1+ASSUMPTIONS!$B$66),0),0)</f>
        <v/>
      </c>
      <c r="X9" s="313">
        <f>IFERROR(IF(22&gt;=ASSUMPTIONS!$C$48,ASSUMPTIONS!$D$48*(1+ASSUMPTIONS!$B$66),0),0)</f>
        <v/>
      </c>
      <c r="Y9" s="313">
        <f>IFERROR(IF(23&gt;=ASSUMPTIONS!$C$48,ASSUMPTIONS!$D$48*(1+ASSUMPTIONS!$B$66),0),0)</f>
        <v/>
      </c>
      <c r="Z9" s="313">
        <f>IFERROR(IF(24&gt;=ASSUMPTIONS!$C$48,ASSUMPTIONS!$D$48*(1+ASSUMPTIONS!$B$66),0),0)</f>
        <v/>
      </c>
      <c r="AA9" s="314">
        <f>SUM(O9:Z9)</f>
        <v/>
      </c>
      <c r="AB9" s="313">
        <f>IFERROR(IF(25&gt;=ASSUMPTIONS!$C$48,ASSUMPTIONS!$D$48*(1+ASSUMPTIONS!$B$66),0),0)</f>
        <v/>
      </c>
      <c r="AC9" s="313">
        <f>IFERROR(IF(26&gt;=ASSUMPTIONS!$C$48,ASSUMPTIONS!$D$48*(1+ASSUMPTIONS!$B$66),0),0)</f>
        <v/>
      </c>
      <c r="AD9" s="313">
        <f>IFERROR(IF(27&gt;=ASSUMPTIONS!$C$48,ASSUMPTIONS!$D$48*(1+ASSUMPTIONS!$B$66),0),0)</f>
        <v/>
      </c>
      <c r="AE9" s="313">
        <f>IFERROR(IF(28&gt;=ASSUMPTIONS!$C$48,ASSUMPTIONS!$D$48*(1+ASSUMPTIONS!$B$66),0),0)</f>
        <v/>
      </c>
      <c r="AF9" s="313">
        <f>IFERROR(IF(29&gt;=ASSUMPTIONS!$C$48,ASSUMPTIONS!$D$48*(1+ASSUMPTIONS!$B$66),0),0)</f>
        <v/>
      </c>
      <c r="AG9" s="313">
        <f>IFERROR(IF(30&gt;=ASSUMPTIONS!$C$48,ASSUMPTIONS!$D$48*(1+ASSUMPTIONS!$B$66),0),0)</f>
        <v/>
      </c>
      <c r="AH9" s="313">
        <f>IFERROR(IF(31&gt;=ASSUMPTIONS!$C$48,ASSUMPTIONS!$D$48*(1+ASSUMPTIONS!$B$66),0),0)</f>
        <v/>
      </c>
      <c r="AI9" s="313">
        <f>IFERROR(IF(32&gt;=ASSUMPTIONS!$C$48,ASSUMPTIONS!$D$48*(1+ASSUMPTIONS!$B$66),0),0)</f>
        <v/>
      </c>
      <c r="AJ9" s="313">
        <f>IFERROR(IF(33&gt;=ASSUMPTIONS!$C$48,ASSUMPTIONS!$D$48*(1+ASSUMPTIONS!$B$66),0),0)</f>
        <v/>
      </c>
      <c r="AK9" s="313">
        <f>IFERROR(IF(34&gt;=ASSUMPTIONS!$C$48,ASSUMPTIONS!$D$48*(1+ASSUMPTIONS!$B$66),0),0)</f>
        <v/>
      </c>
      <c r="AL9" s="313">
        <f>IFERROR(IF(35&gt;=ASSUMPTIONS!$C$48,ASSUMPTIONS!$D$48*(1+ASSUMPTIONS!$B$66),0),0)</f>
        <v/>
      </c>
      <c r="AM9" s="313">
        <f>IFERROR(IF(36&gt;=ASSUMPTIONS!$C$48,ASSUMPTIONS!$D$48*(1+ASSUMPTIONS!$B$66),0),0)</f>
        <v/>
      </c>
      <c r="AN9" s="314">
        <f>SUM(AB9:AM9)</f>
        <v/>
      </c>
      <c r="AO9" s="313">
        <f>IFERROR(IF(37&gt;=ASSUMPTIONS!$C$48,ASSUMPTIONS!$D$48*(1+ASSUMPTIONS!$B$66),0),0)</f>
        <v/>
      </c>
      <c r="AP9" s="313">
        <f>IFERROR(IF(38&gt;=ASSUMPTIONS!$C$48,ASSUMPTIONS!$D$48*(1+ASSUMPTIONS!$B$66),0),0)</f>
        <v/>
      </c>
      <c r="AQ9" s="313">
        <f>IFERROR(IF(39&gt;=ASSUMPTIONS!$C$48,ASSUMPTIONS!$D$48*(1+ASSUMPTIONS!$B$66),0),0)</f>
        <v/>
      </c>
      <c r="AR9" s="313">
        <f>IFERROR(IF(40&gt;=ASSUMPTIONS!$C$48,ASSUMPTIONS!$D$48*(1+ASSUMPTIONS!$B$66),0),0)</f>
        <v/>
      </c>
      <c r="AS9" s="313">
        <f>IFERROR(IF(41&gt;=ASSUMPTIONS!$C$48,ASSUMPTIONS!$D$48*(1+ASSUMPTIONS!$B$66),0),0)</f>
        <v/>
      </c>
      <c r="AT9" s="313">
        <f>IFERROR(IF(42&gt;=ASSUMPTIONS!$C$48,ASSUMPTIONS!$D$48*(1+ASSUMPTIONS!$B$66),0),0)</f>
        <v/>
      </c>
      <c r="AU9" s="313">
        <f>IFERROR(IF(43&gt;=ASSUMPTIONS!$C$48,ASSUMPTIONS!$D$48*(1+ASSUMPTIONS!$B$66),0),0)</f>
        <v/>
      </c>
      <c r="AV9" s="313">
        <f>IFERROR(IF(44&gt;=ASSUMPTIONS!$C$48,ASSUMPTIONS!$D$48*(1+ASSUMPTIONS!$B$66),0),0)</f>
        <v/>
      </c>
      <c r="AW9" s="313">
        <f>IFERROR(IF(45&gt;=ASSUMPTIONS!$C$48,ASSUMPTIONS!$D$48*(1+ASSUMPTIONS!$B$66),0),0)</f>
        <v/>
      </c>
      <c r="AX9" s="313">
        <f>IFERROR(IF(46&gt;=ASSUMPTIONS!$C$48,ASSUMPTIONS!$D$48*(1+ASSUMPTIONS!$B$66),0),0)</f>
        <v/>
      </c>
      <c r="AY9" s="313">
        <f>IFERROR(IF(47&gt;=ASSUMPTIONS!$C$48,ASSUMPTIONS!$D$48*(1+ASSUMPTIONS!$B$66),0),0)</f>
        <v/>
      </c>
      <c r="AZ9" s="313">
        <f>IFERROR(IF(48&gt;=ASSUMPTIONS!$C$48,ASSUMPTIONS!$D$48*(1+ASSUMPTIONS!$B$66),0),0)</f>
        <v/>
      </c>
      <c r="BA9" s="290">
        <f>SUM(AO9:AZ9)</f>
        <v/>
      </c>
      <c r="BB9" s="313">
        <f>IFERROR(IF(49&gt;=ASSUMPTIONS!$C$48,ASSUMPTIONS!$D$48*(1+ASSUMPTIONS!$B$66),0),0)</f>
        <v/>
      </c>
      <c r="BC9" s="313">
        <f>IFERROR(IF(50&gt;=ASSUMPTIONS!$C$48,ASSUMPTIONS!$D$48*(1+ASSUMPTIONS!$B$66),0),0)</f>
        <v/>
      </c>
      <c r="BD9" s="313">
        <f>IFERROR(IF(51&gt;=ASSUMPTIONS!$C$48,ASSUMPTIONS!$D$48*(1+ASSUMPTIONS!$B$66),0),0)</f>
        <v/>
      </c>
      <c r="BE9" s="313">
        <f>IFERROR(IF(52&gt;=ASSUMPTIONS!$C$48,ASSUMPTIONS!$D$48*(1+ASSUMPTIONS!$B$66),0),0)</f>
        <v/>
      </c>
      <c r="BF9" s="313">
        <f>IFERROR(IF(53&gt;=ASSUMPTIONS!$C$48,ASSUMPTIONS!$D$48*(1+ASSUMPTIONS!$B$66),0),0)</f>
        <v/>
      </c>
      <c r="BG9" s="313">
        <f>IFERROR(IF(54&gt;=ASSUMPTIONS!$C$48,ASSUMPTIONS!$D$48*(1+ASSUMPTIONS!$B$66),0),0)</f>
        <v/>
      </c>
      <c r="BH9" s="313">
        <f>IFERROR(IF(55&gt;=ASSUMPTIONS!$C$48,ASSUMPTIONS!$D$48*(1+ASSUMPTIONS!$B$66),0),0)</f>
        <v/>
      </c>
      <c r="BI9" s="313">
        <f>IFERROR(IF(56&gt;=ASSUMPTIONS!$C$48,ASSUMPTIONS!$D$48*(1+ASSUMPTIONS!$B$66),0),0)</f>
        <v/>
      </c>
      <c r="BJ9" s="313">
        <f>IFERROR(IF(57&gt;=ASSUMPTIONS!$C$48,ASSUMPTIONS!$D$48*(1+ASSUMPTIONS!$B$66),0),0)</f>
        <v/>
      </c>
      <c r="BK9" s="313">
        <f>IFERROR(IF(58&gt;=ASSUMPTIONS!$C$48,ASSUMPTIONS!$D$48*(1+ASSUMPTIONS!$B$66),0),0)</f>
        <v/>
      </c>
      <c r="BL9" s="313">
        <f>IFERROR(IF(59&gt;=ASSUMPTIONS!$C$48,ASSUMPTIONS!$D$48*(1+ASSUMPTIONS!$B$66),0),0)</f>
        <v/>
      </c>
      <c r="BM9" s="313">
        <f>IFERROR(IF(60&gt;=ASSUMPTIONS!$C$48,ASSUMPTIONS!$D$48*(1+ASSUMPTIONS!$B$66),0),0)</f>
        <v/>
      </c>
      <c r="BN9" s="290">
        <f>SUM(BB9:BM9)</f>
        <v/>
      </c>
    </row>
    <row r="10" ht="19.5" customHeight="1" s="218">
      <c r="A10" s="312">
        <f>IFERROR(ASSUMPTIONS!B49,"(empty)")</f>
        <v/>
      </c>
      <c r="B10" s="313">
        <f>IFERROR(IF(1&gt;=ASSUMPTIONS!$C$49,ASSUMPTIONS!$D$49*(1+ASSUMPTIONS!$B$66),0),0)</f>
        <v/>
      </c>
      <c r="C10" s="313">
        <f>IFERROR(IF(2&gt;=ASSUMPTIONS!$C$49,ASSUMPTIONS!$D$49*(1+ASSUMPTIONS!$B$66),0),0)</f>
        <v/>
      </c>
      <c r="D10" s="313">
        <f>IFERROR(IF(3&gt;=ASSUMPTIONS!$C$49,ASSUMPTIONS!$D$49*(1+ASSUMPTIONS!$B$66),0),0)</f>
        <v/>
      </c>
      <c r="E10" s="313">
        <f>IFERROR(IF(4&gt;=ASSUMPTIONS!$C$49,ASSUMPTIONS!$D$49*(1+ASSUMPTIONS!$B$66),0),0)</f>
        <v/>
      </c>
      <c r="F10" s="313">
        <f>IFERROR(IF(5&gt;=ASSUMPTIONS!$C$49,ASSUMPTIONS!$D$49*(1+ASSUMPTIONS!$B$66),0),0)</f>
        <v/>
      </c>
      <c r="G10" s="313">
        <f>IFERROR(IF(6&gt;=ASSUMPTIONS!$C$49,ASSUMPTIONS!$D$49*(1+ASSUMPTIONS!$B$66),0),0)</f>
        <v/>
      </c>
      <c r="H10" s="313">
        <f>IFERROR(IF(7&gt;=ASSUMPTIONS!$C$49,ASSUMPTIONS!$D$49*(1+ASSUMPTIONS!$B$66),0),0)</f>
        <v/>
      </c>
      <c r="I10" s="313">
        <f>IFERROR(IF(8&gt;=ASSUMPTIONS!$C$49,ASSUMPTIONS!$D$49*(1+ASSUMPTIONS!$B$66),0),0)</f>
        <v/>
      </c>
      <c r="J10" s="313">
        <f>IFERROR(IF(9&gt;=ASSUMPTIONS!$C$49,ASSUMPTIONS!$D$49*(1+ASSUMPTIONS!$B$66),0),0)</f>
        <v/>
      </c>
      <c r="K10" s="313">
        <f>IFERROR(IF(10&gt;=ASSUMPTIONS!$C$49,ASSUMPTIONS!$D$49*(1+ASSUMPTIONS!$B$66),0),0)</f>
        <v/>
      </c>
      <c r="L10" s="313">
        <f>IFERROR(IF(11&gt;=ASSUMPTIONS!$C$49,ASSUMPTIONS!$D$49*(1+ASSUMPTIONS!$B$66),0),0)</f>
        <v/>
      </c>
      <c r="M10" s="313">
        <f>IFERROR(IF(12&gt;=ASSUMPTIONS!$C$49,ASSUMPTIONS!$D$49*(1+ASSUMPTIONS!$B$66),0),0)</f>
        <v/>
      </c>
      <c r="N10" s="314">
        <f>SUM(B10:M10)</f>
        <v/>
      </c>
      <c r="O10" s="313">
        <f>IFERROR(IF(13&gt;=ASSUMPTIONS!$C$49,ASSUMPTIONS!$D$49*(1+ASSUMPTIONS!$B$66),0),0)</f>
        <v/>
      </c>
      <c r="P10" s="313">
        <f>IFERROR(IF(14&gt;=ASSUMPTIONS!$C$49,ASSUMPTIONS!$D$49*(1+ASSUMPTIONS!$B$66),0),0)</f>
        <v/>
      </c>
      <c r="Q10" s="313">
        <f>IFERROR(IF(15&gt;=ASSUMPTIONS!$C$49,ASSUMPTIONS!$D$49*(1+ASSUMPTIONS!$B$66),0),0)</f>
        <v/>
      </c>
      <c r="R10" s="313">
        <f>IFERROR(IF(16&gt;=ASSUMPTIONS!$C$49,ASSUMPTIONS!$D$49*(1+ASSUMPTIONS!$B$66),0),0)</f>
        <v/>
      </c>
      <c r="S10" s="313">
        <f>IFERROR(IF(17&gt;=ASSUMPTIONS!$C$49,ASSUMPTIONS!$D$49*(1+ASSUMPTIONS!$B$66),0),0)</f>
        <v/>
      </c>
      <c r="T10" s="313">
        <f>IFERROR(IF(18&gt;=ASSUMPTIONS!$C$49,ASSUMPTIONS!$D$49*(1+ASSUMPTIONS!$B$66),0),0)</f>
        <v/>
      </c>
      <c r="U10" s="313">
        <f>IFERROR(IF(19&gt;=ASSUMPTIONS!$C$49,ASSUMPTIONS!$D$49*(1+ASSUMPTIONS!$B$66),0),0)</f>
        <v/>
      </c>
      <c r="V10" s="313">
        <f>IFERROR(IF(20&gt;=ASSUMPTIONS!$C$49,ASSUMPTIONS!$D$49*(1+ASSUMPTIONS!$B$66),0),0)</f>
        <v/>
      </c>
      <c r="W10" s="313">
        <f>IFERROR(IF(21&gt;=ASSUMPTIONS!$C$49,ASSUMPTIONS!$D$49*(1+ASSUMPTIONS!$B$66),0),0)</f>
        <v/>
      </c>
      <c r="X10" s="313">
        <f>IFERROR(IF(22&gt;=ASSUMPTIONS!$C$49,ASSUMPTIONS!$D$49*(1+ASSUMPTIONS!$B$66),0),0)</f>
        <v/>
      </c>
      <c r="Y10" s="313">
        <f>IFERROR(IF(23&gt;=ASSUMPTIONS!$C$49,ASSUMPTIONS!$D$49*(1+ASSUMPTIONS!$B$66),0),0)</f>
        <v/>
      </c>
      <c r="Z10" s="313">
        <f>IFERROR(IF(24&gt;=ASSUMPTIONS!$C$49,ASSUMPTIONS!$D$49*(1+ASSUMPTIONS!$B$66),0),0)</f>
        <v/>
      </c>
      <c r="AA10" s="314">
        <f>SUM(O10:Z10)</f>
        <v/>
      </c>
      <c r="AB10" s="313">
        <f>IFERROR(IF(25&gt;=ASSUMPTIONS!$C$49,ASSUMPTIONS!$D$49*(1+ASSUMPTIONS!$B$66),0),0)</f>
        <v/>
      </c>
      <c r="AC10" s="313">
        <f>IFERROR(IF(26&gt;=ASSUMPTIONS!$C$49,ASSUMPTIONS!$D$49*(1+ASSUMPTIONS!$B$66),0),0)</f>
        <v/>
      </c>
      <c r="AD10" s="313">
        <f>IFERROR(IF(27&gt;=ASSUMPTIONS!$C$49,ASSUMPTIONS!$D$49*(1+ASSUMPTIONS!$B$66),0),0)</f>
        <v/>
      </c>
      <c r="AE10" s="313">
        <f>IFERROR(IF(28&gt;=ASSUMPTIONS!$C$49,ASSUMPTIONS!$D$49*(1+ASSUMPTIONS!$B$66),0),0)</f>
        <v/>
      </c>
      <c r="AF10" s="313">
        <f>IFERROR(IF(29&gt;=ASSUMPTIONS!$C$49,ASSUMPTIONS!$D$49*(1+ASSUMPTIONS!$B$66),0),0)</f>
        <v/>
      </c>
      <c r="AG10" s="313">
        <f>IFERROR(IF(30&gt;=ASSUMPTIONS!$C$49,ASSUMPTIONS!$D$49*(1+ASSUMPTIONS!$B$66),0),0)</f>
        <v/>
      </c>
      <c r="AH10" s="313">
        <f>IFERROR(IF(31&gt;=ASSUMPTIONS!$C$49,ASSUMPTIONS!$D$49*(1+ASSUMPTIONS!$B$66),0),0)</f>
        <v/>
      </c>
      <c r="AI10" s="313">
        <f>IFERROR(IF(32&gt;=ASSUMPTIONS!$C$49,ASSUMPTIONS!$D$49*(1+ASSUMPTIONS!$B$66),0),0)</f>
        <v/>
      </c>
      <c r="AJ10" s="313">
        <f>IFERROR(IF(33&gt;=ASSUMPTIONS!$C$49,ASSUMPTIONS!$D$49*(1+ASSUMPTIONS!$B$66),0),0)</f>
        <v/>
      </c>
      <c r="AK10" s="313">
        <f>IFERROR(IF(34&gt;=ASSUMPTIONS!$C$49,ASSUMPTIONS!$D$49*(1+ASSUMPTIONS!$B$66),0),0)</f>
        <v/>
      </c>
      <c r="AL10" s="313">
        <f>IFERROR(IF(35&gt;=ASSUMPTIONS!$C$49,ASSUMPTIONS!$D$49*(1+ASSUMPTIONS!$B$66),0),0)</f>
        <v/>
      </c>
      <c r="AM10" s="313">
        <f>IFERROR(IF(36&gt;=ASSUMPTIONS!$C$49,ASSUMPTIONS!$D$49*(1+ASSUMPTIONS!$B$66),0),0)</f>
        <v/>
      </c>
      <c r="AN10" s="314">
        <f>SUM(AB10:AM10)</f>
        <v/>
      </c>
      <c r="AO10" s="313">
        <f>IFERROR(IF(37&gt;=ASSUMPTIONS!$C$49,ASSUMPTIONS!$D$49*(1+ASSUMPTIONS!$B$66),0),0)</f>
        <v/>
      </c>
      <c r="AP10" s="313">
        <f>IFERROR(IF(38&gt;=ASSUMPTIONS!$C$49,ASSUMPTIONS!$D$49*(1+ASSUMPTIONS!$B$66),0),0)</f>
        <v/>
      </c>
      <c r="AQ10" s="313">
        <f>IFERROR(IF(39&gt;=ASSUMPTIONS!$C$49,ASSUMPTIONS!$D$49*(1+ASSUMPTIONS!$B$66),0),0)</f>
        <v/>
      </c>
      <c r="AR10" s="313">
        <f>IFERROR(IF(40&gt;=ASSUMPTIONS!$C$49,ASSUMPTIONS!$D$49*(1+ASSUMPTIONS!$B$66),0),0)</f>
        <v/>
      </c>
      <c r="AS10" s="313">
        <f>IFERROR(IF(41&gt;=ASSUMPTIONS!$C$49,ASSUMPTIONS!$D$49*(1+ASSUMPTIONS!$B$66),0),0)</f>
        <v/>
      </c>
      <c r="AT10" s="313">
        <f>IFERROR(IF(42&gt;=ASSUMPTIONS!$C$49,ASSUMPTIONS!$D$49*(1+ASSUMPTIONS!$B$66),0),0)</f>
        <v/>
      </c>
      <c r="AU10" s="313">
        <f>IFERROR(IF(43&gt;=ASSUMPTIONS!$C$49,ASSUMPTIONS!$D$49*(1+ASSUMPTIONS!$B$66),0),0)</f>
        <v/>
      </c>
      <c r="AV10" s="313">
        <f>IFERROR(IF(44&gt;=ASSUMPTIONS!$C$49,ASSUMPTIONS!$D$49*(1+ASSUMPTIONS!$B$66),0),0)</f>
        <v/>
      </c>
      <c r="AW10" s="313">
        <f>IFERROR(IF(45&gt;=ASSUMPTIONS!$C$49,ASSUMPTIONS!$D$49*(1+ASSUMPTIONS!$B$66),0),0)</f>
        <v/>
      </c>
      <c r="AX10" s="313">
        <f>IFERROR(IF(46&gt;=ASSUMPTIONS!$C$49,ASSUMPTIONS!$D$49*(1+ASSUMPTIONS!$B$66),0),0)</f>
        <v/>
      </c>
      <c r="AY10" s="313">
        <f>IFERROR(IF(47&gt;=ASSUMPTIONS!$C$49,ASSUMPTIONS!$D$49*(1+ASSUMPTIONS!$B$66),0),0)</f>
        <v/>
      </c>
      <c r="AZ10" s="313">
        <f>IFERROR(IF(48&gt;=ASSUMPTIONS!$C$49,ASSUMPTIONS!$D$49*(1+ASSUMPTIONS!$B$66),0),0)</f>
        <v/>
      </c>
      <c r="BA10" s="290">
        <f>SUM(AO10:AZ10)</f>
        <v/>
      </c>
      <c r="BB10" s="313">
        <f>IFERROR(IF(49&gt;=ASSUMPTIONS!$C$49,ASSUMPTIONS!$D$49*(1+ASSUMPTIONS!$B$66),0),0)</f>
        <v/>
      </c>
      <c r="BC10" s="313">
        <f>IFERROR(IF(50&gt;=ASSUMPTIONS!$C$49,ASSUMPTIONS!$D$49*(1+ASSUMPTIONS!$B$66),0),0)</f>
        <v/>
      </c>
      <c r="BD10" s="313">
        <f>IFERROR(IF(51&gt;=ASSUMPTIONS!$C$49,ASSUMPTIONS!$D$49*(1+ASSUMPTIONS!$B$66),0),0)</f>
        <v/>
      </c>
      <c r="BE10" s="313">
        <f>IFERROR(IF(52&gt;=ASSUMPTIONS!$C$49,ASSUMPTIONS!$D$49*(1+ASSUMPTIONS!$B$66),0),0)</f>
        <v/>
      </c>
      <c r="BF10" s="313">
        <f>IFERROR(IF(53&gt;=ASSUMPTIONS!$C$49,ASSUMPTIONS!$D$49*(1+ASSUMPTIONS!$B$66),0),0)</f>
        <v/>
      </c>
      <c r="BG10" s="313">
        <f>IFERROR(IF(54&gt;=ASSUMPTIONS!$C$49,ASSUMPTIONS!$D$49*(1+ASSUMPTIONS!$B$66),0),0)</f>
        <v/>
      </c>
      <c r="BH10" s="313">
        <f>IFERROR(IF(55&gt;=ASSUMPTIONS!$C$49,ASSUMPTIONS!$D$49*(1+ASSUMPTIONS!$B$66),0),0)</f>
        <v/>
      </c>
      <c r="BI10" s="313">
        <f>IFERROR(IF(56&gt;=ASSUMPTIONS!$C$49,ASSUMPTIONS!$D$49*(1+ASSUMPTIONS!$B$66),0),0)</f>
        <v/>
      </c>
      <c r="BJ10" s="313">
        <f>IFERROR(IF(57&gt;=ASSUMPTIONS!$C$49,ASSUMPTIONS!$D$49*(1+ASSUMPTIONS!$B$66),0),0)</f>
        <v/>
      </c>
      <c r="BK10" s="313">
        <f>IFERROR(IF(58&gt;=ASSUMPTIONS!$C$49,ASSUMPTIONS!$D$49*(1+ASSUMPTIONS!$B$66),0),0)</f>
        <v/>
      </c>
      <c r="BL10" s="313">
        <f>IFERROR(IF(59&gt;=ASSUMPTIONS!$C$49,ASSUMPTIONS!$D$49*(1+ASSUMPTIONS!$B$66),0),0)</f>
        <v/>
      </c>
      <c r="BM10" s="313">
        <f>IFERROR(IF(60&gt;=ASSUMPTIONS!$C$49,ASSUMPTIONS!$D$49*(1+ASSUMPTIONS!$B$66),0),0)</f>
        <v/>
      </c>
      <c r="BN10" s="290">
        <f>SUM(BB10:BM10)</f>
        <v/>
      </c>
    </row>
    <row r="11" ht="19.5" customHeight="1" s="218">
      <c r="A11" s="312">
        <f>IFERROR(ASSUMPTIONS!B50,"(empty)")</f>
        <v/>
      </c>
      <c r="B11" s="313">
        <f>IFERROR(IF(1&gt;=ASSUMPTIONS!$C$50,ASSUMPTIONS!$D$50*(1+ASSUMPTIONS!$B$66),0),0)</f>
        <v/>
      </c>
      <c r="C11" s="313">
        <f>IFERROR(IF(2&gt;=ASSUMPTIONS!$C$50,ASSUMPTIONS!$D$50*(1+ASSUMPTIONS!$B$66),0),0)</f>
        <v/>
      </c>
      <c r="D11" s="313">
        <f>IFERROR(IF(3&gt;=ASSUMPTIONS!$C$50,ASSUMPTIONS!$D$50*(1+ASSUMPTIONS!$B$66),0),0)</f>
        <v/>
      </c>
      <c r="E11" s="313">
        <f>IFERROR(IF(4&gt;=ASSUMPTIONS!$C$50,ASSUMPTIONS!$D$50*(1+ASSUMPTIONS!$B$66),0),0)</f>
        <v/>
      </c>
      <c r="F11" s="313">
        <f>IFERROR(IF(5&gt;=ASSUMPTIONS!$C$50,ASSUMPTIONS!$D$50*(1+ASSUMPTIONS!$B$66),0),0)</f>
        <v/>
      </c>
      <c r="G11" s="313">
        <f>IFERROR(IF(6&gt;=ASSUMPTIONS!$C$50,ASSUMPTIONS!$D$50*(1+ASSUMPTIONS!$B$66),0),0)</f>
        <v/>
      </c>
      <c r="H11" s="313">
        <f>IFERROR(IF(7&gt;=ASSUMPTIONS!$C$50,ASSUMPTIONS!$D$50*(1+ASSUMPTIONS!$B$66),0),0)</f>
        <v/>
      </c>
      <c r="I11" s="313">
        <f>IFERROR(IF(8&gt;=ASSUMPTIONS!$C$50,ASSUMPTIONS!$D$50*(1+ASSUMPTIONS!$B$66),0),0)</f>
        <v/>
      </c>
      <c r="J11" s="313">
        <f>IFERROR(IF(9&gt;=ASSUMPTIONS!$C$50,ASSUMPTIONS!$D$50*(1+ASSUMPTIONS!$B$66),0),0)</f>
        <v/>
      </c>
      <c r="K11" s="313">
        <f>IFERROR(IF(10&gt;=ASSUMPTIONS!$C$50,ASSUMPTIONS!$D$50*(1+ASSUMPTIONS!$B$66),0),0)</f>
        <v/>
      </c>
      <c r="L11" s="313">
        <f>IFERROR(IF(11&gt;=ASSUMPTIONS!$C$50,ASSUMPTIONS!$D$50*(1+ASSUMPTIONS!$B$66),0),0)</f>
        <v/>
      </c>
      <c r="M11" s="313">
        <f>IFERROR(IF(12&gt;=ASSUMPTIONS!$C$50,ASSUMPTIONS!$D$50*(1+ASSUMPTIONS!$B$66),0),0)</f>
        <v/>
      </c>
      <c r="N11" s="314">
        <f>SUM(B11:M11)</f>
        <v/>
      </c>
      <c r="O11" s="313">
        <f>IFERROR(IF(13&gt;=ASSUMPTIONS!$C$50,ASSUMPTIONS!$D$50*(1+ASSUMPTIONS!$B$66),0),0)</f>
        <v/>
      </c>
      <c r="P11" s="313">
        <f>IFERROR(IF(14&gt;=ASSUMPTIONS!$C$50,ASSUMPTIONS!$D$50*(1+ASSUMPTIONS!$B$66),0),0)</f>
        <v/>
      </c>
      <c r="Q11" s="313">
        <f>IFERROR(IF(15&gt;=ASSUMPTIONS!$C$50,ASSUMPTIONS!$D$50*(1+ASSUMPTIONS!$B$66),0),0)</f>
        <v/>
      </c>
      <c r="R11" s="313">
        <f>IFERROR(IF(16&gt;=ASSUMPTIONS!$C$50,ASSUMPTIONS!$D$50*(1+ASSUMPTIONS!$B$66),0),0)</f>
        <v/>
      </c>
      <c r="S11" s="313">
        <f>IFERROR(IF(17&gt;=ASSUMPTIONS!$C$50,ASSUMPTIONS!$D$50*(1+ASSUMPTIONS!$B$66),0),0)</f>
        <v/>
      </c>
      <c r="T11" s="313">
        <f>IFERROR(IF(18&gt;=ASSUMPTIONS!$C$50,ASSUMPTIONS!$D$50*(1+ASSUMPTIONS!$B$66),0),0)</f>
        <v/>
      </c>
      <c r="U11" s="313">
        <f>IFERROR(IF(19&gt;=ASSUMPTIONS!$C$50,ASSUMPTIONS!$D$50*(1+ASSUMPTIONS!$B$66),0),0)</f>
        <v/>
      </c>
      <c r="V11" s="313">
        <f>IFERROR(IF(20&gt;=ASSUMPTIONS!$C$50,ASSUMPTIONS!$D$50*(1+ASSUMPTIONS!$B$66),0),0)</f>
        <v/>
      </c>
      <c r="W11" s="313">
        <f>IFERROR(IF(21&gt;=ASSUMPTIONS!$C$50,ASSUMPTIONS!$D$50*(1+ASSUMPTIONS!$B$66),0),0)</f>
        <v/>
      </c>
      <c r="X11" s="313">
        <f>IFERROR(IF(22&gt;=ASSUMPTIONS!$C$50,ASSUMPTIONS!$D$50*(1+ASSUMPTIONS!$B$66),0),0)</f>
        <v/>
      </c>
      <c r="Y11" s="313">
        <f>IFERROR(IF(23&gt;=ASSUMPTIONS!$C$50,ASSUMPTIONS!$D$50*(1+ASSUMPTIONS!$B$66),0),0)</f>
        <v/>
      </c>
      <c r="Z11" s="313">
        <f>IFERROR(IF(24&gt;=ASSUMPTIONS!$C$50,ASSUMPTIONS!$D$50*(1+ASSUMPTIONS!$B$66),0),0)</f>
        <v/>
      </c>
      <c r="AA11" s="314">
        <f>SUM(O11:Z11)</f>
        <v/>
      </c>
      <c r="AB11" s="313">
        <f>IFERROR(IF(25&gt;=ASSUMPTIONS!$C$50,ASSUMPTIONS!$D$50*(1+ASSUMPTIONS!$B$66),0),0)</f>
        <v/>
      </c>
      <c r="AC11" s="313">
        <f>IFERROR(IF(26&gt;=ASSUMPTIONS!$C$50,ASSUMPTIONS!$D$50*(1+ASSUMPTIONS!$B$66),0),0)</f>
        <v/>
      </c>
      <c r="AD11" s="313">
        <f>IFERROR(IF(27&gt;=ASSUMPTIONS!$C$50,ASSUMPTIONS!$D$50*(1+ASSUMPTIONS!$B$66),0),0)</f>
        <v/>
      </c>
      <c r="AE11" s="313">
        <f>IFERROR(IF(28&gt;=ASSUMPTIONS!$C$50,ASSUMPTIONS!$D$50*(1+ASSUMPTIONS!$B$66),0),0)</f>
        <v/>
      </c>
      <c r="AF11" s="313">
        <f>IFERROR(IF(29&gt;=ASSUMPTIONS!$C$50,ASSUMPTIONS!$D$50*(1+ASSUMPTIONS!$B$66),0),0)</f>
        <v/>
      </c>
      <c r="AG11" s="313">
        <f>IFERROR(IF(30&gt;=ASSUMPTIONS!$C$50,ASSUMPTIONS!$D$50*(1+ASSUMPTIONS!$B$66),0),0)</f>
        <v/>
      </c>
      <c r="AH11" s="313">
        <f>IFERROR(IF(31&gt;=ASSUMPTIONS!$C$50,ASSUMPTIONS!$D$50*(1+ASSUMPTIONS!$B$66),0),0)</f>
        <v/>
      </c>
      <c r="AI11" s="313">
        <f>IFERROR(IF(32&gt;=ASSUMPTIONS!$C$50,ASSUMPTIONS!$D$50*(1+ASSUMPTIONS!$B$66),0),0)</f>
        <v/>
      </c>
      <c r="AJ11" s="313">
        <f>IFERROR(IF(33&gt;=ASSUMPTIONS!$C$50,ASSUMPTIONS!$D$50*(1+ASSUMPTIONS!$B$66),0),0)</f>
        <v/>
      </c>
      <c r="AK11" s="313">
        <f>IFERROR(IF(34&gt;=ASSUMPTIONS!$C$50,ASSUMPTIONS!$D$50*(1+ASSUMPTIONS!$B$66),0),0)</f>
        <v/>
      </c>
      <c r="AL11" s="313">
        <f>IFERROR(IF(35&gt;=ASSUMPTIONS!$C$50,ASSUMPTIONS!$D$50*(1+ASSUMPTIONS!$B$66),0),0)</f>
        <v/>
      </c>
      <c r="AM11" s="313">
        <f>IFERROR(IF(36&gt;=ASSUMPTIONS!$C$50,ASSUMPTIONS!$D$50*(1+ASSUMPTIONS!$B$66),0),0)</f>
        <v/>
      </c>
      <c r="AN11" s="314">
        <f>SUM(AB11:AM11)</f>
        <v/>
      </c>
      <c r="AO11" s="313">
        <f>IFERROR(IF(37&gt;=ASSUMPTIONS!$C$50,ASSUMPTIONS!$D$50*(1+ASSUMPTIONS!$B$66),0),0)</f>
        <v/>
      </c>
      <c r="AP11" s="313">
        <f>IFERROR(IF(38&gt;=ASSUMPTIONS!$C$50,ASSUMPTIONS!$D$50*(1+ASSUMPTIONS!$B$66),0),0)</f>
        <v/>
      </c>
      <c r="AQ11" s="313">
        <f>IFERROR(IF(39&gt;=ASSUMPTIONS!$C$50,ASSUMPTIONS!$D$50*(1+ASSUMPTIONS!$B$66),0),0)</f>
        <v/>
      </c>
      <c r="AR11" s="313">
        <f>IFERROR(IF(40&gt;=ASSUMPTIONS!$C$50,ASSUMPTIONS!$D$50*(1+ASSUMPTIONS!$B$66),0),0)</f>
        <v/>
      </c>
      <c r="AS11" s="313">
        <f>IFERROR(IF(41&gt;=ASSUMPTIONS!$C$50,ASSUMPTIONS!$D$50*(1+ASSUMPTIONS!$B$66),0),0)</f>
        <v/>
      </c>
      <c r="AT11" s="313">
        <f>IFERROR(IF(42&gt;=ASSUMPTIONS!$C$50,ASSUMPTIONS!$D$50*(1+ASSUMPTIONS!$B$66),0),0)</f>
        <v/>
      </c>
      <c r="AU11" s="313">
        <f>IFERROR(IF(43&gt;=ASSUMPTIONS!$C$50,ASSUMPTIONS!$D$50*(1+ASSUMPTIONS!$B$66),0),0)</f>
        <v/>
      </c>
      <c r="AV11" s="313">
        <f>IFERROR(IF(44&gt;=ASSUMPTIONS!$C$50,ASSUMPTIONS!$D$50*(1+ASSUMPTIONS!$B$66),0),0)</f>
        <v/>
      </c>
      <c r="AW11" s="313">
        <f>IFERROR(IF(45&gt;=ASSUMPTIONS!$C$50,ASSUMPTIONS!$D$50*(1+ASSUMPTIONS!$B$66),0),0)</f>
        <v/>
      </c>
      <c r="AX11" s="313">
        <f>IFERROR(IF(46&gt;=ASSUMPTIONS!$C$50,ASSUMPTIONS!$D$50*(1+ASSUMPTIONS!$B$66),0),0)</f>
        <v/>
      </c>
      <c r="AY11" s="313">
        <f>IFERROR(IF(47&gt;=ASSUMPTIONS!$C$50,ASSUMPTIONS!$D$50*(1+ASSUMPTIONS!$B$66),0),0)</f>
        <v/>
      </c>
      <c r="AZ11" s="313">
        <f>IFERROR(IF(48&gt;=ASSUMPTIONS!$C$50,ASSUMPTIONS!$D$50*(1+ASSUMPTIONS!$B$66),0),0)</f>
        <v/>
      </c>
      <c r="BA11" s="290">
        <f>SUM(AO11:AZ11)</f>
        <v/>
      </c>
      <c r="BB11" s="313">
        <f>IFERROR(IF(49&gt;=ASSUMPTIONS!$C$50,ASSUMPTIONS!$D$50*(1+ASSUMPTIONS!$B$66),0),0)</f>
        <v/>
      </c>
      <c r="BC11" s="313">
        <f>IFERROR(IF(50&gt;=ASSUMPTIONS!$C$50,ASSUMPTIONS!$D$50*(1+ASSUMPTIONS!$B$66),0),0)</f>
        <v/>
      </c>
      <c r="BD11" s="313">
        <f>IFERROR(IF(51&gt;=ASSUMPTIONS!$C$50,ASSUMPTIONS!$D$50*(1+ASSUMPTIONS!$B$66),0),0)</f>
        <v/>
      </c>
      <c r="BE11" s="313">
        <f>IFERROR(IF(52&gt;=ASSUMPTIONS!$C$50,ASSUMPTIONS!$D$50*(1+ASSUMPTIONS!$B$66),0),0)</f>
        <v/>
      </c>
      <c r="BF11" s="313">
        <f>IFERROR(IF(53&gt;=ASSUMPTIONS!$C$50,ASSUMPTIONS!$D$50*(1+ASSUMPTIONS!$B$66),0),0)</f>
        <v/>
      </c>
      <c r="BG11" s="313">
        <f>IFERROR(IF(54&gt;=ASSUMPTIONS!$C$50,ASSUMPTIONS!$D$50*(1+ASSUMPTIONS!$B$66),0),0)</f>
        <v/>
      </c>
      <c r="BH11" s="313">
        <f>IFERROR(IF(55&gt;=ASSUMPTIONS!$C$50,ASSUMPTIONS!$D$50*(1+ASSUMPTIONS!$B$66),0),0)</f>
        <v/>
      </c>
      <c r="BI11" s="313">
        <f>IFERROR(IF(56&gt;=ASSUMPTIONS!$C$50,ASSUMPTIONS!$D$50*(1+ASSUMPTIONS!$B$66),0),0)</f>
        <v/>
      </c>
      <c r="BJ11" s="313">
        <f>IFERROR(IF(57&gt;=ASSUMPTIONS!$C$50,ASSUMPTIONS!$D$50*(1+ASSUMPTIONS!$B$66),0),0)</f>
        <v/>
      </c>
      <c r="BK11" s="313">
        <f>IFERROR(IF(58&gt;=ASSUMPTIONS!$C$50,ASSUMPTIONS!$D$50*(1+ASSUMPTIONS!$B$66),0),0)</f>
        <v/>
      </c>
      <c r="BL11" s="313">
        <f>IFERROR(IF(59&gt;=ASSUMPTIONS!$C$50,ASSUMPTIONS!$D$50*(1+ASSUMPTIONS!$B$66),0),0)</f>
        <v/>
      </c>
      <c r="BM11" s="313">
        <f>IFERROR(IF(60&gt;=ASSUMPTIONS!$C$50,ASSUMPTIONS!$D$50*(1+ASSUMPTIONS!$B$66),0),0)</f>
        <v/>
      </c>
      <c r="BN11" s="290">
        <f>SUM(BB11:BM11)</f>
        <v/>
      </c>
    </row>
    <row r="12" ht="19.5" customHeight="1" s="218">
      <c r="A12" s="312">
        <f>IFERROR(ASSUMPTIONS!B51,"(empty)")</f>
        <v/>
      </c>
      <c r="B12" s="313">
        <f>IFERROR(IF(1&gt;=ASSUMPTIONS!$C$51,ASSUMPTIONS!$D$51*(1+ASSUMPTIONS!$B$66),0),0)</f>
        <v/>
      </c>
      <c r="C12" s="313">
        <f>IFERROR(IF(2&gt;=ASSUMPTIONS!$C$51,ASSUMPTIONS!$D$51*(1+ASSUMPTIONS!$B$66),0),0)</f>
        <v/>
      </c>
      <c r="D12" s="313">
        <f>IFERROR(IF(3&gt;=ASSUMPTIONS!$C$51,ASSUMPTIONS!$D$51*(1+ASSUMPTIONS!$B$66),0),0)</f>
        <v/>
      </c>
      <c r="E12" s="313">
        <f>IFERROR(IF(4&gt;=ASSUMPTIONS!$C$51,ASSUMPTIONS!$D$51*(1+ASSUMPTIONS!$B$66),0),0)</f>
        <v/>
      </c>
      <c r="F12" s="313">
        <f>IFERROR(IF(5&gt;=ASSUMPTIONS!$C$51,ASSUMPTIONS!$D$51*(1+ASSUMPTIONS!$B$66),0),0)</f>
        <v/>
      </c>
      <c r="G12" s="313">
        <f>IFERROR(IF(6&gt;=ASSUMPTIONS!$C$51,ASSUMPTIONS!$D$51*(1+ASSUMPTIONS!$B$66),0),0)</f>
        <v/>
      </c>
      <c r="H12" s="313">
        <f>IFERROR(IF(7&gt;=ASSUMPTIONS!$C$51,ASSUMPTIONS!$D$51*(1+ASSUMPTIONS!$B$66),0),0)</f>
        <v/>
      </c>
      <c r="I12" s="313">
        <f>IFERROR(IF(8&gt;=ASSUMPTIONS!$C$51,ASSUMPTIONS!$D$51*(1+ASSUMPTIONS!$B$66),0),0)</f>
        <v/>
      </c>
      <c r="J12" s="313">
        <f>IFERROR(IF(9&gt;=ASSUMPTIONS!$C$51,ASSUMPTIONS!$D$51*(1+ASSUMPTIONS!$B$66),0),0)</f>
        <v/>
      </c>
      <c r="K12" s="313">
        <f>IFERROR(IF(10&gt;=ASSUMPTIONS!$C$51,ASSUMPTIONS!$D$51*(1+ASSUMPTIONS!$B$66),0),0)</f>
        <v/>
      </c>
      <c r="L12" s="313">
        <f>IFERROR(IF(11&gt;=ASSUMPTIONS!$C$51,ASSUMPTIONS!$D$51*(1+ASSUMPTIONS!$B$66),0),0)</f>
        <v/>
      </c>
      <c r="M12" s="313">
        <f>IFERROR(IF(12&gt;=ASSUMPTIONS!$C$51,ASSUMPTIONS!$D$51*(1+ASSUMPTIONS!$B$66),0),0)</f>
        <v/>
      </c>
      <c r="N12" s="314">
        <f>SUM(B12:M12)</f>
        <v/>
      </c>
      <c r="O12" s="313">
        <f>IFERROR(IF(13&gt;=ASSUMPTIONS!$C$51,ASSUMPTIONS!$D$51*(1+ASSUMPTIONS!$B$66),0),0)</f>
        <v/>
      </c>
      <c r="P12" s="313">
        <f>IFERROR(IF(14&gt;=ASSUMPTIONS!$C$51,ASSUMPTIONS!$D$51*(1+ASSUMPTIONS!$B$66),0),0)</f>
        <v/>
      </c>
      <c r="Q12" s="313">
        <f>IFERROR(IF(15&gt;=ASSUMPTIONS!$C$51,ASSUMPTIONS!$D$51*(1+ASSUMPTIONS!$B$66),0),0)</f>
        <v/>
      </c>
      <c r="R12" s="313">
        <f>IFERROR(IF(16&gt;=ASSUMPTIONS!$C$51,ASSUMPTIONS!$D$51*(1+ASSUMPTIONS!$B$66),0),0)</f>
        <v/>
      </c>
      <c r="S12" s="313">
        <f>IFERROR(IF(17&gt;=ASSUMPTIONS!$C$51,ASSUMPTIONS!$D$51*(1+ASSUMPTIONS!$B$66),0),0)</f>
        <v/>
      </c>
      <c r="T12" s="313">
        <f>IFERROR(IF(18&gt;=ASSUMPTIONS!$C$51,ASSUMPTIONS!$D$51*(1+ASSUMPTIONS!$B$66),0),0)</f>
        <v/>
      </c>
      <c r="U12" s="313">
        <f>IFERROR(IF(19&gt;=ASSUMPTIONS!$C$51,ASSUMPTIONS!$D$51*(1+ASSUMPTIONS!$B$66),0),0)</f>
        <v/>
      </c>
      <c r="V12" s="313">
        <f>IFERROR(IF(20&gt;=ASSUMPTIONS!$C$51,ASSUMPTIONS!$D$51*(1+ASSUMPTIONS!$B$66),0),0)</f>
        <v/>
      </c>
      <c r="W12" s="313">
        <f>IFERROR(IF(21&gt;=ASSUMPTIONS!$C$51,ASSUMPTIONS!$D$51*(1+ASSUMPTIONS!$B$66),0),0)</f>
        <v/>
      </c>
      <c r="X12" s="313">
        <f>IFERROR(IF(22&gt;=ASSUMPTIONS!$C$51,ASSUMPTIONS!$D$51*(1+ASSUMPTIONS!$B$66),0),0)</f>
        <v/>
      </c>
      <c r="Y12" s="313">
        <f>IFERROR(IF(23&gt;=ASSUMPTIONS!$C$51,ASSUMPTIONS!$D$51*(1+ASSUMPTIONS!$B$66),0),0)</f>
        <v/>
      </c>
      <c r="Z12" s="313">
        <f>IFERROR(IF(24&gt;=ASSUMPTIONS!$C$51,ASSUMPTIONS!$D$51*(1+ASSUMPTIONS!$B$66),0),0)</f>
        <v/>
      </c>
      <c r="AA12" s="314">
        <f>SUM(O12:Z12)</f>
        <v/>
      </c>
      <c r="AB12" s="313">
        <f>IFERROR(IF(25&gt;=ASSUMPTIONS!$C$51,ASSUMPTIONS!$D$51*(1+ASSUMPTIONS!$B$66),0),0)</f>
        <v/>
      </c>
      <c r="AC12" s="313">
        <f>IFERROR(IF(26&gt;=ASSUMPTIONS!$C$51,ASSUMPTIONS!$D$51*(1+ASSUMPTIONS!$B$66),0),0)</f>
        <v/>
      </c>
      <c r="AD12" s="313">
        <f>IFERROR(IF(27&gt;=ASSUMPTIONS!$C$51,ASSUMPTIONS!$D$51*(1+ASSUMPTIONS!$B$66),0),0)</f>
        <v/>
      </c>
      <c r="AE12" s="313">
        <f>IFERROR(IF(28&gt;=ASSUMPTIONS!$C$51,ASSUMPTIONS!$D$51*(1+ASSUMPTIONS!$B$66),0),0)</f>
        <v/>
      </c>
      <c r="AF12" s="313">
        <f>IFERROR(IF(29&gt;=ASSUMPTIONS!$C$51,ASSUMPTIONS!$D$51*(1+ASSUMPTIONS!$B$66),0),0)</f>
        <v/>
      </c>
      <c r="AG12" s="313">
        <f>IFERROR(IF(30&gt;=ASSUMPTIONS!$C$51,ASSUMPTIONS!$D$51*(1+ASSUMPTIONS!$B$66),0),0)</f>
        <v/>
      </c>
      <c r="AH12" s="313">
        <f>IFERROR(IF(31&gt;=ASSUMPTIONS!$C$51,ASSUMPTIONS!$D$51*(1+ASSUMPTIONS!$B$66),0),0)</f>
        <v/>
      </c>
      <c r="AI12" s="313">
        <f>IFERROR(IF(32&gt;=ASSUMPTIONS!$C$51,ASSUMPTIONS!$D$51*(1+ASSUMPTIONS!$B$66),0),0)</f>
        <v/>
      </c>
      <c r="AJ12" s="313">
        <f>IFERROR(IF(33&gt;=ASSUMPTIONS!$C$51,ASSUMPTIONS!$D$51*(1+ASSUMPTIONS!$B$66),0),0)</f>
        <v/>
      </c>
      <c r="AK12" s="313">
        <f>IFERROR(IF(34&gt;=ASSUMPTIONS!$C$51,ASSUMPTIONS!$D$51*(1+ASSUMPTIONS!$B$66),0),0)</f>
        <v/>
      </c>
      <c r="AL12" s="313">
        <f>IFERROR(IF(35&gt;=ASSUMPTIONS!$C$51,ASSUMPTIONS!$D$51*(1+ASSUMPTIONS!$B$66),0),0)</f>
        <v/>
      </c>
      <c r="AM12" s="313">
        <f>IFERROR(IF(36&gt;=ASSUMPTIONS!$C$51,ASSUMPTIONS!$D$51*(1+ASSUMPTIONS!$B$66),0),0)</f>
        <v/>
      </c>
      <c r="AN12" s="314">
        <f>SUM(AB12:AM12)</f>
        <v/>
      </c>
      <c r="AO12" s="313">
        <f>IFERROR(IF(37&gt;=ASSUMPTIONS!$C$51,ASSUMPTIONS!$D$51*(1+ASSUMPTIONS!$B$66),0),0)</f>
        <v/>
      </c>
      <c r="AP12" s="313">
        <f>IFERROR(IF(38&gt;=ASSUMPTIONS!$C$51,ASSUMPTIONS!$D$51*(1+ASSUMPTIONS!$B$66),0),0)</f>
        <v/>
      </c>
      <c r="AQ12" s="313">
        <f>IFERROR(IF(39&gt;=ASSUMPTIONS!$C$51,ASSUMPTIONS!$D$51*(1+ASSUMPTIONS!$B$66),0),0)</f>
        <v/>
      </c>
      <c r="AR12" s="313">
        <f>IFERROR(IF(40&gt;=ASSUMPTIONS!$C$51,ASSUMPTIONS!$D$51*(1+ASSUMPTIONS!$B$66),0),0)</f>
        <v/>
      </c>
      <c r="AS12" s="313">
        <f>IFERROR(IF(41&gt;=ASSUMPTIONS!$C$51,ASSUMPTIONS!$D$51*(1+ASSUMPTIONS!$B$66),0),0)</f>
        <v/>
      </c>
      <c r="AT12" s="313">
        <f>IFERROR(IF(42&gt;=ASSUMPTIONS!$C$51,ASSUMPTIONS!$D$51*(1+ASSUMPTIONS!$B$66),0),0)</f>
        <v/>
      </c>
      <c r="AU12" s="313">
        <f>IFERROR(IF(43&gt;=ASSUMPTIONS!$C$51,ASSUMPTIONS!$D$51*(1+ASSUMPTIONS!$B$66),0),0)</f>
        <v/>
      </c>
      <c r="AV12" s="313">
        <f>IFERROR(IF(44&gt;=ASSUMPTIONS!$C$51,ASSUMPTIONS!$D$51*(1+ASSUMPTIONS!$B$66),0),0)</f>
        <v/>
      </c>
      <c r="AW12" s="313">
        <f>IFERROR(IF(45&gt;=ASSUMPTIONS!$C$51,ASSUMPTIONS!$D$51*(1+ASSUMPTIONS!$B$66),0),0)</f>
        <v/>
      </c>
      <c r="AX12" s="313">
        <f>IFERROR(IF(46&gt;=ASSUMPTIONS!$C$51,ASSUMPTIONS!$D$51*(1+ASSUMPTIONS!$B$66),0),0)</f>
        <v/>
      </c>
      <c r="AY12" s="313">
        <f>IFERROR(IF(47&gt;=ASSUMPTIONS!$C$51,ASSUMPTIONS!$D$51*(1+ASSUMPTIONS!$B$66),0),0)</f>
        <v/>
      </c>
      <c r="AZ12" s="313">
        <f>IFERROR(IF(48&gt;=ASSUMPTIONS!$C$51,ASSUMPTIONS!$D$51*(1+ASSUMPTIONS!$B$66),0),0)</f>
        <v/>
      </c>
      <c r="BA12" s="290">
        <f>SUM(AO12:AZ12)</f>
        <v/>
      </c>
      <c r="BB12" s="313">
        <f>IFERROR(IF(49&gt;=ASSUMPTIONS!$C$51,ASSUMPTIONS!$D$51*(1+ASSUMPTIONS!$B$66),0),0)</f>
        <v/>
      </c>
      <c r="BC12" s="313">
        <f>IFERROR(IF(50&gt;=ASSUMPTIONS!$C$51,ASSUMPTIONS!$D$51*(1+ASSUMPTIONS!$B$66),0),0)</f>
        <v/>
      </c>
      <c r="BD12" s="313">
        <f>IFERROR(IF(51&gt;=ASSUMPTIONS!$C$51,ASSUMPTIONS!$D$51*(1+ASSUMPTIONS!$B$66),0),0)</f>
        <v/>
      </c>
      <c r="BE12" s="313">
        <f>IFERROR(IF(52&gt;=ASSUMPTIONS!$C$51,ASSUMPTIONS!$D$51*(1+ASSUMPTIONS!$B$66),0),0)</f>
        <v/>
      </c>
      <c r="BF12" s="313">
        <f>IFERROR(IF(53&gt;=ASSUMPTIONS!$C$51,ASSUMPTIONS!$D$51*(1+ASSUMPTIONS!$B$66),0),0)</f>
        <v/>
      </c>
      <c r="BG12" s="313">
        <f>IFERROR(IF(54&gt;=ASSUMPTIONS!$C$51,ASSUMPTIONS!$D$51*(1+ASSUMPTIONS!$B$66),0),0)</f>
        <v/>
      </c>
      <c r="BH12" s="313">
        <f>IFERROR(IF(55&gt;=ASSUMPTIONS!$C$51,ASSUMPTIONS!$D$51*(1+ASSUMPTIONS!$B$66),0),0)</f>
        <v/>
      </c>
      <c r="BI12" s="313">
        <f>IFERROR(IF(56&gt;=ASSUMPTIONS!$C$51,ASSUMPTIONS!$D$51*(1+ASSUMPTIONS!$B$66),0),0)</f>
        <v/>
      </c>
      <c r="BJ12" s="313">
        <f>IFERROR(IF(57&gt;=ASSUMPTIONS!$C$51,ASSUMPTIONS!$D$51*(1+ASSUMPTIONS!$B$66),0),0)</f>
        <v/>
      </c>
      <c r="BK12" s="313">
        <f>IFERROR(IF(58&gt;=ASSUMPTIONS!$C$51,ASSUMPTIONS!$D$51*(1+ASSUMPTIONS!$B$66),0),0)</f>
        <v/>
      </c>
      <c r="BL12" s="313">
        <f>IFERROR(IF(59&gt;=ASSUMPTIONS!$C$51,ASSUMPTIONS!$D$51*(1+ASSUMPTIONS!$B$66),0),0)</f>
        <v/>
      </c>
      <c r="BM12" s="313">
        <f>IFERROR(IF(60&gt;=ASSUMPTIONS!$C$51,ASSUMPTIONS!$D$51*(1+ASSUMPTIONS!$B$66),0),0)</f>
        <v/>
      </c>
      <c r="BN12" s="290">
        <f>SUM(BB12:BM12)</f>
        <v/>
      </c>
    </row>
    <row r="13" ht="19.5" customHeight="1" s="218">
      <c r="A13" s="315" t="inlineStr">
        <is>
          <t>ENGINEERING — TOTAL (£)</t>
        </is>
      </c>
      <c r="B13" s="295">
        <f>SUM(B8:B12)</f>
        <v/>
      </c>
      <c r="C13" s="295">
        <f>SUM(C8:C12)</f>
        <v/>
      </c>
      <c r="D13" s="295">
        <f>SUM(D8:D12)</f>
        <v/>
      </c>
      <c r="E13" s="295">
        <f>SUM(E8:E12)</f>
        <v/>
      </c>
      <c r="F13" s="295">
        <f>SUM(F8:F12)</f>
        <v/>
      </c>
      <c r="G13" s="295">
        <f>SUM(G8:G12)</f>
        <v/>
      </c>
      <c r="H13" s="295">
        <f>SUM(H8:H12)</f>
        <v/>
      </c>
      <c r="I13" s="295">
        <f>SUM(I8:I12)</f>
        <v/>
      </c>
      <c r="J13" s="295">
        <f>SUM(J8:J12)</f>
        <v/>
      </c>
      <c r="K13" s="295">
        <f>SUM(K8:K12)</f>
        <v/>
      </c>
      <c r="L13" s="295">
        <f>SUM(L8:L12)</f>
        <v/>
      </c>
      <c r="M13" s="295">
        <f>SUM(M8:M12)</f>
        <v/>
      </c>
      <c r="N13" s="295">
        <f>SUM(B13:M13)</f>
        <v/>
      </c>
      <c r="O13" s="295">
        <f>SUM(O8:O12)</f>
        <v/>
      </c>
      <c r="P13" s="295">
        <f>SUM(P8:P12)</f>
        <v/>
      </c>
      <c r="Q13" s="295">
        <f>SUM(Q8:Q12)</f>
        <v/>
      </c>
      <c r="R13" s="295">
        <f>SUM(R8:R12)</f>
        <v/>
      </c>
      <c r="S13" s="295">
        <f>SUM(S8:S12)</f>
        <v/>
      </c>
      <c r="T13" s="295">
        <f>SUM(T8:T12)</f>
        <v/>
      </c>
      <c r="U13" s="295">
        <f>SUM(U8:U12)</f>
        <v/>
      </c>
      <c r="V13" s="295">
        <f>SUM(V8:V12)</f>
        <v/>
      </c>
      <c r="W13" s="295">
        <f>SUM(W8:W12)</f>
        <v/>
      </c>
      <c r="X13" s="295">
        <f>SUM(X8:X12)</f>
        <v/>
      </c>
      <c r="Y13" s="295">
        <f>SUM(Y8:Y12)</f>
        <v/>
      </c>
      <c r="Z13" s="295">
        <f>SUM(Z8:Z12)</f>
        <v/>
      </c>
      <c r="AA13" s="295">
        <f>SUM(O13:Z13)</f>
        <v/>
      </c>
      <c r="AB13" s="295">
        <f>SUM(AB8:AB12)</f>
        <v/>
      </c>
      <c r="AC13" s="295">
        <f>SUM(AC8:AC12)</f>
        <v/>
      </c>
      <c r="AD13" s="295">
        <f>SUM(AD8:AD12)</f>
        <v/>
      </c>
      <c r="AE13" s="295">
        <f>SUM(AE8:AE12)</f>
        <v/>
      </c>
      <c r="AF13" s="295">
        <f>SUM(AF8:AF12)</f>
        <v/>
      </c>
      <c r="AG13" s="295">
        <f>SUM(AG8:AG12)</f>
        <v/>
      </c>
      <c r="AH13" s="295">
        <f>SUM(AH8:AH12)</f>
        <v/>
      </c>
      <c r="AI13" s="295">
        <f>SUM(AI8:AI12)</f>
        <v/>
      </c>
      <c r="AJ13" s="295">
        <f>SUM(AJ8:AJ12)</f>
        <v/>
      </c>
      <c r="AK13" s="295">
        <f>SUM(AK8:AK12)</f>
        <v/>
      </c>
      <c r="AL13" s="295">
        <f>SUM(AL8:AL12)</f>
        <v/>
      </c>
      <c r="AM13" s="295">
        <f>SUM(AM8:AM12)</f>
        <v/>
      </c>
      <c r="AN13" s="295">
        <f>SUM(AB13:AM13)</f>
        <v/>
      </c>
      <c r="AO13" s="295">
        <f>SUM(AO8:AO12)</f>
        <v/>
      </c>
      <c r="AP13" s="295">
        <f>SUM(AP8:AP12)</f>
        <v/>
      </c>
      <c r="AQ13" s="295">
        <f>SUM(AQ8:AQ12)</f>
        <v/>
      </c>
      <c r="AR13" s="295">
        <f>SUM(AR8:AR12)</f>
        <v/>
      </c>
      <c r="AS13" s="295">
        <f>SUM(AS8:AS12)</f>
        <v/>
      </c>
      <c r="AT13" s="295">
        <f>SUM(AT8:AT12)</f>
        <v/>
      </c>
      <c r="AU13" s="295">
        <f>SUM(AU8:AU12)</f>
        <v/>
      </c>
      <c r="AV13" s="295">
        <f>SUM(AV8:AV12)</f>
        <v/>
      </c>
      <c r="AW13" s="295">
        <f>SUM(AW8:AW12)</f>
        <v/>
      </c>
      <c r="AX13" s="295">
        <f>SUM(AX8:AX12)</f>
        <v/>
      </c>
      <c r="AY13" s="295">
        <f>SUM(AY8:AY12)</f>
        <v/>
      </c>
      <c r="AZ13" s="295">
        <f>SUM(AZ8:AZ12)</f>
        <v/>
      </c>
      <c r="BA13" s="296">
        <f>SUM(AO13:AZ13)</f>
        <v/>
      </c>
      <c r="BB13" s="295">
        <f>SUM(BB8:BB12)</f>
        <v/>
      </c>
      <c r="BC13" s="295">
        <f>SUM(BC8:BC12)</f>
        <v/>
      </c>
      <c r="BD13" s="295">
        <f>SUM(BD8:BD12)</f>
        <v/>
      </c>
      <c r="BE13" s="295">
        <f>SUM(BE8:BE12)</f>
        <v/>
      </c>
      <c r="BF13" s="295">
        <f>SUM(BF8:BF12)</f>
        <v/>
      </c>
      <c r="BG13" s="295">
        <f>SUM(BG8:BG12)</f>
        <v/>
      </c>
      <c r="BH13" s="295">
        <f>SUM(BH8:BH12)</f>
        <v/>
      </c>
      <c r="BI13" s="295">
        <f>SUM(BI8:BI12)</f>
        <v/>
      </c>
      <c r="BJ13" s="295">
        <f>SUM(BJ8:BJ12)</f>
        <v/>
      </c>
      <c r="BK13" s="295">
        <f>SUM(BK8:BK12)</f>
        <v/>
      </c>
      <c r="BL13" s="295">
        <f>SUM(BL8:BL12)</f>
        <v/>
      </c>
      <c r="BM13" s="295">
        <f>SUM(BM8:BM12)</f>
        <v/>
      </c>
      <c r="BN13" s="296">
        <f>SUM(BB13:BM13)</f>
        <v/>
      </c>
    </row>
    <row r="14" ht="6" customHeight="1" s="218">
      <c r="A14" s="297" t="n"/>
      <c r="B14" s="297" t="n"/>
      <c r="C14" s="297" t="n"/>
      <c r="D14" s="297" t="n"/>
      <c r="E14" s="297" t="n"/>
      <c r="F14" s="297" t="n"/>
      <c r="G14" s="297" t="n"/>
      <c r="H14" s="297" t="n"/>
      <c r="I14" s="297" t="n"/>
      <c r="J14" s="297" t="n"/>
      <c r="K14" s="297" t="n"/>
      <c r="L14" s="297" t="n"/>
      <c r="M14" s="297" t="n"/>
      <c r="N14" s="297" t="n"/>
      <c r="O14" s="297" t="n"/>
      <c r="P14" s="297" t="n"/>
      <c r="Q14" s="297" t="n"/>
      <c r="R14" s="297" t="n"/>
      <c r="S14" s="297" t="n"/>
      <c r="T14" s="297" t="n"/>
      <c r="U14" s="297" t="n"/>
      <c r="V14" s="297" t="n"/>
      <c r="W14" s="297" t="n"/>
      <c r="X14" s="297" t="n"/>
      <c r="Y14" s="297" t="n"/>
      <c r="Z14" s="297" t="n"/>
      <c r="AA14" s="297" t="n"/>
      <c r="AB14" s="297" t="n"/>
      <c r="AC14" s="297" t="n"/>
      <c r="AD14" s="297" t="n"/>
      <c r="AE14" s="297" t="n"/>
      <c r="AF14" s="297" t="n"/>
      <c r="AG14" s="297" t="n"/>
      <c r="AH14" s="297" t="n"/>
      <c r="AI14" s="297" t="n"/>
      <c r="AJ14" s="297" t="n"/>
      <c r="AK14" s="297" t="n"/>
      <c r="AL14" s="297" t="n"/>
      <c r="AM14" s="297" t="n"/>
      <c r="AN14" s="297" t="n"/>
      <c r="AO14" s="297" t="n"/>
      <c r="AP14" s="297" t="n"/>
      <c r="AQ14" s="297" t="n"/>
      <c r="AR14" s="297" t="n"/>
      <c r="AS14" s="297" t="n"/>
      <c r="AT14" s="297" t="n"/>
      <c r="AU14" s="297" t="n"/>
      <c r="AV14" s="297" t="n"/>
      <c r="AW14" s="297" t="n"/>
      <c r="AX14" s="297" t="n"/>
      <c r="AY14" s="297" t="n"/>
      <c r="AZ14" s="297" t="n"/>
      <c r="BA14" s="298" t="n"/>
      <c r="BB14" s="297" t="n"/>
      <c r="BC14" s="297" t="n"/>
      <c r="BD14" s="297" t="n"/>
      <c r="BE14" s="297" t="n"/>
      <c r="BF14" s="297" t="n"/>
      <c r="BG14" s="297" t="n"/>
      <c r="BH14" s="297" t="n"/>
      <c r="BI14" s="297" t="n"/>
      <c r="BJ14" s="297" t="n"/>
      <c r="BK14" s="297" t="n"/>
      <c r="BL14" s="297" t="n"/>
      <c r="BM14" s="297" t="n"/>
      <c r="BN14" s="298" t="n"/>
    </row>
    <row r="15" ht="19.5" customHeight="1" s="218">
      <c r="A15" s="299" t="inlineStr">
        <is>
          <t>PRODUCT</t>
        </is>
      </c>
    </row>
    <row r="16" ht="19.5" customHeight="1" s="218">
      <c r="A16" s="316">
        <f>IFERROR(ASSUMPTIONS!B52,"(empty)")</f>
        <v/>
      </c>
      <c r="B16" s="313">
        <f>IFERROR(IF(1&gt;=ASSUMPTIONS!$C$52,ASSUMPTIONS!$D$52*(1+ASSUMPTIONS!$B$66),0),0)</f>
        <v/>
      </c>
      <c r="C16" s="313">
        <f>IFERROR(IF(2&gt;=ASSUMPTIONS!$C$52,ASSUMPTIONS!$D$52*(1+ASSUMPTIONS!$B$66),0),0)</f>
        <v/>
      </c>
      <c r="D16" s="313">
        <f>IFERROR(IF(3&gt;=ASSUMPTIONS!$C$52,ASSUMPTIONS!$D$52*(1+ASSUMPTIONS!$B$66),0),0)</f>
        <v/>
      </c>
      <c r="E16" s="313">
        <f>IFERROR(IF(4&gt;=ASSUMPTIONS!$C$52,ASSUMPTIONS!$D$52*(1+ASSUMPTIONS!$B$66),0),0)</f>
        <v/>
      </c>
      <c r="F16" s="313">
        <f>IFERROR(IF(5&gt;=ASSUMPTIONS!$C$52,ASSUMPTIONS!$D$52*(1+ASSUMPTIONS!$B$66),0),0)</f>
        <v/>
      </c>
      <c r="G16" s="313">
        <f>IFERROR(IF(6&gt;=ASSUMPTIONS!$C$52,ASSUMPTIONS!$D$52*(1+ASSUMPTIONS!$B$66),0),0)</f>
        <v/>
      </c>
      <c r="H16" s="313">
        <f>IFERROR(IF(7&gt;=ASSUMPTIONS!$C$52,ASSUMPTIONS!$D$52*(1+ASSUMPTIONS!$B$66),0),0)</f>
        <v/>
      </c>
      <c r="I16" s="313">
        <f>IFERROR(IF(8&gt;=ASSUMPTIONS!$C$52,ASSUMPTIONS!$D$52*(1+ASSUMPTIONS!$B$66),0),0)</f>
        <v/>
      </c>
      <c r="J16" s="313">
        <f>IFERROR(IF(9&gt;=ASSUMPTIONS!$C$52,ASSUMPTIONS!$D$52*(1+ASSUMPTIONS!$B$66),0),0)</f>
        <v/>
      </c>
      <c r="K16" s="313">
        <f>IFERROR(IF(10&gt;=ASSUMPTIONS!$C$52,ASSUMPTIONS!$D$52*(1+ASSUMPTIONS!$B$66),0),0)</f>
        <v/>
      </c>
      <c r="L16" s="313">
        <f>IFERROR(IF(11&gt;=ASSUMPTIONS!$C$52,ASSUMPTIONS!$D$52*(1+ASSUMPTIONS!$B$66),0),0)</f>
        <v/>
      </c>
      <c r="M16" s="313">
        <f>IFERROR(IF(12&gt;=ASSUMPTIONS!$C$52,ASSUMPTIONS!$D$52*(1+ASSUMPTIONS!$B$66),0),0)</f>
        <v/>
      </c>
      <c r="N16" s="314">
        <f>SUM(B16:M16)</f>
        <v/>
      </c>
      <c r="O16" s="313">
        <f>IFERROR(IF(13&gt;=ASSUMPTIONS!$C$52,ASSUMPTIONS!$D$52*(1+ASSUMPTIONS!$B$66),0),0)</f>
        <v/>
      </c>
      <c r="P16" s="313">
        <f>IFERROR(IF(14&gt;=ASSUMPTIONS!$C$52,ASSUMPTIONS!$D$52*(1+ASSUMPTIONS!$B$66),0),0)</f>
        <v/>
      </c>
      <c r="Q16" s="313">
        <f>IFERROR(IF(15&gt;=ASSUMPTIONS!$C$52,ASSUMPTIONS!$D$52*(1+ASSUMPTIONS!$B$66),0),0)</f>
        <v/>
      </c>
      <c r="R16" s="313">
        <f>IFERROR(IF(16&gt;=ASSUMPTIONS!$C$52,ASSUMPTIONS!$D$52*(1+ASSUMPTIONS!$B$66),0),0)</f>
        <v/>
      </c>
      <c r="S16" s="313">
        <f>IFERROR(IF(17&gt;=ASSUMPTIONS!$C$52,ASSUMPTIONS!$D$52*(1+ASSUMPTIONS!$B$66),0),0)</f>
        <v/>
      </c>
      <c r="T16" s="313">
        <f>IFERROR(IF(18&gt;=ASSUMPTIONS!$C$52,ASSUMPTIONS!$D$52*(1+ASSUMPTIONS!$B$66),0),0)</f>
        <v/>
      </c>
      <c r="U16" s="313">
        <f>IFERROR(IF(19&gt;=ASSUMPTIONS!$C$52,ASSUMPTIONS!$D$52*(1+ASSUMPTIONS!$B$66),0),0)</f>
        <v/>
      </c>
      <c r="V16" s="313">
        <f>IFERROR(IF(20&gt;=ASSUMPTIONS!$C$52,ASSUMPTIONS!$D$52*(1+ASSUMPTIONS!$B$66),0),0)</f>
        <v/>
      </c>
      <c r="W16" s="313">
        <f>IFERROR(IF(21&gt;=ASSUMPTIONS!$C$52,ASSUMPTIONS!$D$52*(1+ASSUMPTIONS!$B$66),0),0)</f>
        <v/>
      </c>
      <c r="X16" s="313">
        <f>IFERROR(IF(22&gt;=ASSUMPTIONS!$C$52,ASSUMPTIONS!$D$52*(1+ASSUMPTIONS!$B$66),0),0)</f>
        <v/>
      </c>
      <c r="Y16" s="313">
        <f>IFERROR(IF(23&gt;=ASSUMPTIONS!$C$52,ASSUMPTIONS!$D$52*(1+ASSUMPTIONS!$B$66),0),0)</f>
        <v/>
      </c>
      <c r="Z16" s="313">
        <f>IFERROR(IF(24&gt;=ASSUMPTIONS!$C$52,ASSUMPTIONS!$D$52*(1+ASSUMPTIONS!$B$66),0),0)</f>
        <v/>
      </c>
      <c r="AA16" s="314">
        <f>SUM(O16:Z16)</f>
        <v/>
      </c>
      <c r="AB16" s="313">
        <f>IFERROR(IF(25&gt;=ASSUMPTIONS!$C$52,ASSUMPTIONS!$D$52*(1+ASSUMPTIONS!$B$66),0),0)</f>
        <v/>
      </c>
      <c r="AC16" s="313">
        <f>IFERROR(IF(26&gt;=ASSUMPTIONS!$C$52,ASSUMPTIONS!$D$52*(1+ASSUMPTIONS!$B$66),0),0)</f>
        <v/>
      </c>
      <c r="AD16" s="313">
        <f>IFERROR(IF(27&gt;=ASSUMPTIONS!$C$52,ASSUMPTIONS!$D$52*(1+ASSUMPTIONS!$B$66),0),0)</f>
        <v/>
      </c>
      <c r="AE16" s="313">
        <f>IFERROR(IF(28&gt;=ASSUMPTIONS!$C$52,ASSUMPTIONS!$D$52*(1+ASSUMPTIONS!$B$66),0),0)</f>
        <v/>
      </c>
      <c r="AF16" s="313">
        <f>IFERROR(IF(29&gt;=ASSUMPTIONS!$C$52,ASSUMPTIONS!$D$52*(1+ASSUMPTIONS!$B$66),0),0)</f>
        <v/>
      </c>
      <c r="AG16" s="313">
        <f>IFERROR(IF(30&gt;=ASSUMPTIONS!$C$52,ASSUMPTIONS!$D$52*(1+ASSUMPTIONS!$B$66),0),0)</f>
        <v/>
      </c>
      <c r="AH16" s="313">
        <f>IFERROR(IF(31&gt;=ASSUMPTIONS!$C$52,ASSUMPTIONS!$D$52*(1+ASSUMPTIONS!$B$66),0),0)</f>
        <v/>
      </c>
      <c r="AI16" s="313">
        <f>IFERROR(IF(32&gt;=ASSUMPTIONS!$C$52,ASSUMPTIONS!$D$52*(1+ASSUMPTIONS!$B$66),0),0)</f>
        <v/>
      </c>
      <c r="AJ16" s="313">
        <f>IFERROR(IF(33&gt;=ASSUMPTIONS!$C$52,ASSUMPTIONS!$D$52*(1+ASSUMPTIONS!$B$66),0),0)</f>
        <v/>
      </c>
      <c r="AK16" s="313">
        <f>IFERROR(IF(34&gt;=ASSUMPTIONS!$C$52,ASSUMPTIONS!$D$52*(1+ASSUMPTIONS!$B$66),0),0)</f>
        <v/>
      </c>
      <c r="AL16" s="313">
        <f>IFERROR(IF(35&gt;=ASSUMPTIONS!$C$52,ASSUMPTIONS!$D$52*(1+ASSUMPTIONS!$B$66),0),0)</f>
        <v/>
      </c>
      <c r="AM16" s="313">
        <f>IFERROR(IF(36&gt;=ASSUMPTIONS!$C$52,ASSUMPTIONS!$D$52*(1+ASSUMPTIONS!$B$66),0),0)</f>
        <v/>
      </c>
      <c r="AN16" s="314">
        <f>SUM(AB16:AM16)</f>
        <v/>
      </c>
      <c r="AO16" s="313">
        <f>IFERROR(IF(37&gt;=ASSUMPTIONS!$C$52,ASSUMPTIONS!$D$52*(1+ASSUMPTIONS!$B$66),0),0)</f>
        <v/>
      </c>
      <c r="AP16" s="313">
        <f>IFERROR(IF(38&gt;=ASSUMPTIONS!$C$52,ASSUMPTIONS!$D$52*(1+ASSUMPTIONS!$B$66),0),0)</f>
        <v/>
      </c>
      <c r="AQ16" s="313">
        <f>IFERROR(IF(39&gt;=ASSUMPTIONS!$C$52,ASSUMPTIONS!$D$52*(1+ASSUMPTIONS!$B$66),0),0)</f>
        <v/>
      </c>
      <c r="AR16" s="313">
        <f>IFERROR(IF(40&gt;=ASSUMPTIONS!$C$52,ASSUMPTIONS!$D$52*(1+ASSUMPTIONS!$B$66),0),0)</f>
        <v/>
      </c>
      <c r="AS16" s="313">
        <f>IFERROR(IF(41&gt;=ASSUMPTIONS!$C$52,ASSUMPTIONS!$D$52*(1+ASSUMPTIONS!$B$66),0),0)</f>
        <v/>
      </c>
      <c r="AT16" s="313">
        <f>IFERROR(IF(42&gt;=ASSUMPTIONS!$C$52,ASSUMPTIONS!$D$52*(1+ASSUMPTIONS!$B$66),0),0)</f>
        <v/>
      </c>
      <c r="AU16" s="313">
        <f>IFERROR(IF(43&gt;=ASSUMPTIONS!$C$52,ASSUMPTIONS!$D$52*(1+ASSUMPTIONS!$B$66),0),0)</f>
        <v/>
      </c>
      <c r="AV16" s="313">
        <f>IFERROR(IF(44&gt;=ASSUMPTIONS!$C$52,ASSUMPTIONS!$D$52*(1+ASSUMPTIONS!$B$66),0),0)</f>
        <v/>
      </c>
      <c r="AW16" s="313">
        <f>IFERROR(IF(45&gt;=ASSUMPTIONS!$C$52,ASSUMPTIONS!$D$52*(1+ASSUMPTIONS!$B$66),0),0)</f>
        <v/>
      </c>
      <c r="AX16" s="313">
        <f>IFERROR(IF(46&gt;=ASSUMPTIONS!$C$52,ASSUMPTIONS!$D$52*(1+ASSUMPTIONS!$B$66),0),0)</f>
        <v/>
      </c>
      <c r="AY16" s="313">
        <f>IFERROR(IF(47&gt;=ASSUMPTIONS!$C$52,ASSUMPTIONS!$D$52*(1+ASSUMPTIONS!$B$66),0),0)</f>
        <v/>
      </c>
      <c r="AZ16" s="313">
        <f>IFERROR(IF(48&gt;=ASSUMPTIONS!$C$52,ASSUMPTIONS!$D$52*(1+ASSUMPTIONS!$B$66),0),0)</f>
        <v/>
      </c>
      <c r="BA16" s="290">
        <f>SUM(AO16:AZ16)</f>
        <v/>
      </c>
      <c r="BB16" s="313">
        <f>IFERROR(IF(49&gt;=ASSUMPTIONS!$C$52,ASSUMPTIONS!$D$52*(1+ASSUMPTIONS!$B$66),0),0)</f>
        <v/>
      </c>
      <c r="BC16" s="313">
        <f>IFERROR(IF(50&gt;=ASSUMPTIONS!$C$52,ASSUMPTIONS!$D$52*(1+ASSUMPTIONS!$B$66),0),0)</f>
        <v/>
      </c>
      <c r="BD16" s="313">
        <f>IFERROR(IF(51&gt;=ASSUMPTIONS!$C$52,ASSUMPTIONS!$D$52*(1+ASSUMPTIONS!$B$66),0),0)</f>
        <v/>
      </c>
      <c r="BE16" s="313">
        <f>IFERROR(IF(52&gt;=ASSUMPTIONS!$C$52,ASSUMPTIONS!$D$52*(1+ASSUMPTIONS!$B$66),0),0)</f>
        <v/>
      </c>
      <c r="BF16" s="313">
        <f>IFERROR(IF(53&gt;=ASSUMPTIONS!$C$52,ASSUMPTIONS!$D$52*(1+ASSUMPTIONS!$B$66),0),0)</f>
        <v/>
      </c>
      <c r="BG16" s="313">
        <f>IFERROR(IF(54&gt;=ASSUMPTIONS!$C$52,ASSUMPTIONS!$D$52*(1+ASSUMPTIONS!$B$66),0),0)</f>
        <v/>
      </c>
      <c r="BH16" s="313">
        <f>IFERROR(IF(55&gt;=ASSUMPTIONS!$C$52,ASSUMPTIONS!$D$52*(1+ASSUMPTIONS!$B$66),0),0)</f>
        <v/>
      </c>
      <c r="BI16" s="313">
        <f>IFERROR(IF(56&gt;=ASSUMPTIONS!$C$52,ASSUMPTIONS!$D$52*(1+ASSUMPTIONS!$B$66),0),0)</f>
        <v/>
      </c>
      <c r="BJ16" s="313">
        <f>IFERROR(IF(57&gt;=ASSUMPTIONS!$C$52,ASSUMPTIONS!$D$52*(1+ASSUMPTIONS!$B$66),0),0)</f>
        <v/>
      </c>
      <c r="BK16" s="313">
        <f>IFERROR(IF(58&gt;=ASSUMPTIONS!$C$52,ASSUMPTIONS!$D$52*(1+ASSUMPTIONS!$B$66),0),0)</f>
        <v/>
      </c>
      <c r="BL16" s="313">
        <f>IFERROR(IF(59&gt;=ASSUMPTIONS!$C$52,ASSUMPTIONS!$D$52*(1+ASSUMPTIONS!$B$66),0),0)</f>
        <v/>
      </c>
      <c r="BM16" s="313">
        <f>IFERROR(IF(60&gt;=ASSUMPTIONS!$C$52,ASSUMPTIONS!$D$52*(1+ASSUMPTIONS!$B$66),0),0)</f>
        <v/>
      </c>
      <c r="BN16" s="290">
        <f>SUM(BB16:BM16)</f>
        <v/>
      </c>
    </row>
    <row r="17" ht="19.5" customHeight="1" s="218">
      <c r="A17" s="316">
        <f>IFERROR(ASSUMPTIONS!B53,"(empty)")</f>
        <v/>
      </c>
      <c r="B17" s="313">
        <f>IFERROR(IF(1&gt;=ASSUMPTIONS!$C$53,ASSUMPTIONS!$D$53*(1+ASSUMPTIONS!$B$66),0),0)</f>
        <v/>
      </c>
      <c r="C17" s="313">
        <f>IFERROR(IF(2&gt;=ASSUMPTIONS!$C$53,ASSUMPTIONS!$D$53*(1+ASSUMPTIONS!$B$66),0),0)</f>
        <v/>
      </c>
      <c r="D17" s="313">
        <f>IFERROR(IF(3&gt;=ASSUMPTIONS!$C$53,ASSUMPTIONS!$D$53*(1+ASSUMPTIONS!$B$66),0),0)</f>
        <v/>
      </c>
      <c r="E17" s="313">
        <f>IFERROR(IF(4&gt;=ASSUMPTIONS!$C$53,ASSUMPTIONS!$D$53*(1+ASSUMPTIONS!$B$66),0),0)</f>
        <v/>
      </c>
      <c r="F17" s="313">
        <f>IFERROR(IF(5&gt;=ASSUMPTIONS!$C$53,ASSUMPTIONS!$D$53*(1+ASSUMPTIONS!$B$66),0),0)</f>
        <v/>
      </c>
      <c r="G17" s="313">
        <f>IFERROR(IF(6&gt;=ASSUMPTIONS!$C$53,ASSUMPTIONS!$D$53*(1+ASSUMPTIONS!$B$66),0),0)</f>
        <v/>
      </c>
      <c r="H17" s="313">
        <f>IFERROR(IF(7&gt;=ASSUMPTIONS!$C$53,ASSUMPTIONS!$D$53*(1+ASSUMPTIONS!$B$66),0),0)</f>
        <v/>
      </c>
      <c r="I17" s="313">
        <f>IFERROR(IF(8&gt;=ASSUMPTIONS!$C$53,ASSUMPTIONS!$D$53*(1+ASSUMPTIONS!$B$66),0),0)</f>
        <v/>
      </c>
      <c r="J17" s="313">
        <f>IFERROR(IF(9&gt;=ASSUMPTIONS!$C$53,ASSUMPTIONS!$D$53*(1+ASSUMPTIONS!$B$66),0),0)</f>
        <v/>
      </c>
      <c r="K17" s="313">
        <f>IFERROR(IF(10&gt;=ASSUMPTIONS!$C$53,ASSUMPTIONS!$D$53*(1+ASSUMPTIONS!$B$66),0),0)</f>
        <v/>
      </c>
      <c r="L17" s="313">
        <f>IFERROR(IF(11&gt;=ASSUMPTIONS!$C$53,ASSUMPTIONS!$D$53*(1+ASSUMPTIONS!$B$66),0),0)</f>
        <v/>
      </c>
      <c r="M17" s="313">
        <f>IFERROR(IF(12&gt;=ASSUMPTIONS!$C$53,ASSUMPTIONS!$D$53*(1+ASSUMPTIONS!$B$66),0),0)</f>
        <v/>
      </c>
      <c r="N17" s="314">
        <f>SUM(B17:M17)</f>
        <v/>
      </c>
      <c r="O17" s="313">
        <f>IFERROR(IF(13&gt;=ASSUMPTIONS!$C$53,ASSUMPTIONS!$D$53*(1+ASSUMPTIONS!$B$66),0),0)</f>
        <v/>
      </c>
      <c r="P17" s="313">
        <f>IFERROR(IF(14&gt;=ASSUMPTIONS!$C$53,ASSUMPTIONS!$D$53*(1+ASSUMPTIONS!$B$66),0),0)</f>
        <v/>
      </c>
      <c r="Q17" s="313">
        <f>IFERROR(IF(15&gt;=ASSUMPTIONS!$C$53,ASSUMPTIONS!$D$53*(1+ASSUMPTIONS!$B$66),0),0)</f>
        <v/>
      </c>
      <c r="R17" s="313">
        <f>IFERROR(IF(16&gt;=ASSUMPTIONS!$C$53,ASSUMPTIONS!$D$53*(1+ASSUMPTIONS!$B$66),0),0)</f>
        <v/>
      </c>
      <c r="S17" s="313">
        <f>IFERROR(IF(17&gt;=ASSUMPTIONS!$C$53,ASSUMPTIONS!$D$53*(1+ASSUMPTIONS!$B$66),0),0)</f>
        <v/>
      </c>
      <c r="T17" s="313">
        <f>IFERROR(IF(18&gt;=ASSUMPTIONS!$C$53,ASSUMPTIONS!$D$53*(1+ASSUMPTIONS!$B$66),0),0)</f>
        <v/>
      </c>
      <c r="U17" s="313">
        <f>IFERROR(IF(19&gt;=ASSUMPTIONS!$C$53,ASSUMPTIONS!$D$53*(1+ASSUMPTIONS!$B$66),0),0)</f>
        <v/>
      </c>
      <c r="V17" s="313">
        <f>IFERROR(IF(20&gt;=ASSUMPTIONS!$C$53,ASSUMPTIONS!$D$53*(1+ASSUMPTIONS!$B$66),0),0)</f>
        <v/>
      </c>
      <c r="W17" s="313">
        <f>IFERROR(IF(21&gt;=ASSUMPTIONS!$C$53,ASSUMPTIONS!$D$53*(1+ASSUMPTIONS!$B$66),0),0)</f>
        <v/>
      </c>
      <c r="X17" s="313">
        <f>IFERROR(IF(22&gt;=ASSUMPTIONS!$C$53,ASSUMPTIONS!$D$53*(1+ASSUMPTIONS!$B$66),0),0)</f>
        <v/>
      </c>
      <c r="Y17" s="313">
        <f>IFERROR(IF(23&gt;=ASSUMPTIONS!$C$53,ASSUMPTIONS!$D$53*(1+ASSUMPTIONS!$B$66),0),0)</f>
        <v/>
      </c>
      <c r="Z17" s="313">
        <f>IFERROR(IF(24&gt;=ASSUMPTIONS!$C$53,ASSUMPTIONS!$D$53*(1+ASSUMPTIONS!$B$66),0),0)</f>
        <v/>
      </c>
      <c r="AA17" s="314">
        <f>SUM(O17:Z17)</f>
        <v/>
      </c>
      <c r="AB17" s="313">
        <f>IFERROR(IF(25&gt;=ASSUMPTIONS!$C$53,ASSUMPTIONS!$D$53*(1+ASSUMPTIONS!$B$66),0),0)</f>
        <v/>
      </c>
      <c r="AC17" s="313">
        <f>IFERROR(IF(26&gt;=ASSUMPTIONS!$C$53,ASSUMPTIONS!$D$53*(1+ASSUMPTIONS!$B$66),0),0)</f>
        <v/>
      </c>
      <c r="AD17" s="313">
        <f>IFERROR(IF(27&gt;=ASSUMPTIONS!$C$53,ASSUMPTIONS!$D$53*(1+ASSUMPTIONS!$B$66),0),0)</f>
        <v/>
      </c>
      <c r="AE17" s="313">
        <f>IFERROR(IF(28&gt;=ASSUMPTIONS!$C$53,ASSUMPTIONS!$D$53*(1+ASSUMPTIONS!$B$66),0),0)</f>
        <v/>
      </c>
      <c r="AF17" s="313">
        <f>IFERROR(IF(29&gt;=ASSUMPTIONS!$C$53,ASSUMPTIONS!$D$53*(1+ASSUMPTIONS!$B$66),0),0)</f>
        <v/>
      </c>
      <c r="AG17" s="313">
        <f>IFERROR(IF(30&gt;=ASSUMPTIONS!$C$53,ASSUMPTIONS!$D$53*(1+ASSUMPTIONS!$B$66),0),0)</f>
        <v/>
      </c>
      <c r="AH17" s="313">
        <f>IFERROR(IF(31&gt;=ASSUMPTIONS!$C$53,ASSUMPTIONS!$D$53*(1+ASSUMPTIONS!$B$66),0),0)</f>
        <v/>
      </c>
      <c r="AI17" s="313">
        <f>IFERROR(IF(32&gt;=ASSUMPTIONS!$C$53,ASSUMPTIONS!$D$53*(1+ASSUMPTIONS!$B$66),0),0)</f>
        <v/>
      </c>
      <c r="AJ17" s="313">
        <f>IFERROR(IF(33&gt;=ASSUMPTIONS!$C$53,ASSUMPTIONS!$D$53*(1+ASSUMPTIONS!$B$66),0),0)</f>
        <v/>
      </c>
      <c r="AK17" s="313">
        <f>IFERROR(IF(34&gt;=ASSUMPTIONS!$C$53,ASSUMPTIONS!$D$53*(1+ASSUMPTIONS!$B$66),0),0)</f>
        <v/>
      </c>
      <c r="AL17" s="313">
        <f>IFERROR(IF(35&gt;=ASSUMPTIONS!$C$53,ASSUMPTIONS!$D$53*(1+ASSUMPTIONS!$B$66),0),0)</f>
        <v/>
      </c>
      <c r="AM17" s="313">
        <f>IFERROR(IF(36&gt;=ASSUMPTIONS!$C$53,ASSUMPTIONS!$D$53*(1+ASSUMPTIONS!$B$66),0),0)</f>
        <v/>
      </c>
      <c r="AN17" s="314">
        <f>SUM(AB17:AM17)</f>
        <v/>
      </c>
      <c r="AO17" s="313">
        <f>IFERROR(IF(37&gt;=ASSUMPTIONS!$C$53,ASSUMPTIONS!$D$53*(1+ASSUMPTIONS!$B$66),0),0)</f>
        <v/>
      </c>
      <c r="AP17" s="313">
        <f>IFERROR(IF(38&gt;=ASSUMPTIONS!$C$53,ASSUMPTIONS!$D$53*(1+ASSUMPTIONS!$B$66),0),0)</f>
        <v/>
      </c>
      <c r="AQ17" s="313">
        <f>IFERROR(IF(39&gt;=ASSUMPTIONS!$C$53,ASSUMPTIONS!$D$53*(1+ASSUMPTIONS!$B$66),0),0)</f>
        <v/>
      </c>
      <c r="AR17" s="313">
        <f>IFERROR(IF(40&gt;=ASSUMPTIONS!$C$53,ASSUMPTIONS!$D$53*(1+ASSUMPTIONS!$B$66),0),0)</f>
        <v/>
      </c>
      <c r="AS17" s="313">
        <f>IFERROR(IF(41&gt;=ASSUMPTIONS!$C$53,ASSUMPTIONS!$D$53*(1+ASSUMPTIONS!$B$66),0),0)</f>
        <v/>
      </c>
      <c r="AT17" s="313">
        <f>IFERROR(IF(42&gt;=ASSUMPTIONS!$C$53,ASSUMPTIONS!$D$53*(1+ASSUMPTIONS!$B$66),0),0)</f>
        <v/>
      </c>
      <c r="AU17" s="313">
        <f>IFERROR(IF(43&gt;=ASSUMPTIONS!$C$53,ASSUMPTIONS!$D$53*(1+ASSUMPTIONS!$B$66),0),0)</f>
        <v/>
      </c>
      <c r="AV17" s="313">
        <f>IFERROR(IF(44&gt;=ASSUMPTIONS!$C$53,ASSUMPTIONS!$D$53*(1+ASSUMPTIONS!$B$66),0),0)</f>
        <v/>
      </c>
      <c r="AW17" s="313">
        <f>IFERROR(IF(45&gt;=ASSUMPTIONS!$C$53,ASSUMPTIONS!$D$53*(1+ASSUMPTIONS!$B$66),0),0)</f>
        <v/>
      </c>
      <c r="AX17" s="313">
        <f>IFERROR(IF(46&gt;=ASSUMPTIONS!$C$53,ASSUMPTIONS!$D$53*(1+ASSUMPTIONS!$B$66),0),0)</f>
        <v/>
      </c>
      <c r="AY17" s="313">
        <f>IFERROR(IF(47&gt;=ASSUMPTIONS!$C$53,ASSUMPTIONS!$D$53*(1+ASSUMPTIONS!$B$66),0),0)</f>
        <v/>
      </c>
      <c r="AZ17" s="313">
        <f>IFERROR(IF(48&gt;=ASSUMPTIONS!$C$53,ASSUMPTIONS!$D$53*(1+ASSUMPTIONS!$B$66),0),0)</f>
        <v/>
      </c>
      <c r="BA17" s="290">
        <f>SUM(AO17:AZ17)</f>
        <v/>
      </c>
      <c r="BB17" s="313">
        <f>IFERROR(IF(49&gt;=ASSUMPTIONS!$C$53,ASSUMPTIONS!$D$53*(1+ASSUMPTIONS!$B$66),0),0)</f>
        <v/>
      </c>
      <c r="BC17" s="313">
        <f>IFERROR(IF(50&gt;=ASSUMPTIONS!$C$53,ASSUMPTIONS!$D$53*(1+ASSUMPTIONS!$B$66),0),0)</f>
        <v/>
      </c>
      <c r="BD17" s="313">
        <f>IFERROR(IF(51&gt;=ASSUMPTIONS!$C$53,ASSUMPTIONS!$D$53*(1+ASSUMPTIONS!$B$66),0),0)</f>
        <v/>
      </c>
      <c r="BE17" s="313">
        <f>IFERROR(IF(52&gt;=ASSUMPTIONS!$C$53,ASSUMPTIONS!$D$53*(1+ASSUMPTIONS!$B$66),0),0)</f>
        <v/>
      </c>
      <c r="BF17" s="313">
        <f>IFERROR(IF(53&gt;=ASSUMPTIONS!$C$53,ASSUMPTIONS!$D$53*(1+ASSUMPTIONS!$B$66),0),0)</f>
        <v/>
      </c>
      <c r="BG17" s="313">
        <f>IFERROR(IF(54&gt;=ASSUMPTIONS!$C$53,ASSUMPTIONS!$D$53*(1+ASSUMPTIONS!$B$66),0),0)</f>
        <v/>
      </c>
      <c r="BH17" s="313">
        <f>IFERROR(IF(55&gt;=ASSUMPTIONS!$C$53,ASSUMPTIONS!$D$53*(1+ASSUMPTIONS!$B$66),0),0)</f>
        <v/>
      </c>
      <c r="BI17" s="313">
        <f>IFERROR(IF(56&gt;=ASSUMPTIONS!$C$53,ASSUMPTIONS!$D$53*(1+ASSUMPTIONS!$B$66),0),0)</f>
        <v/>
      </c>
      <c r="BJ17" s="313">
        <f>IFERROR(IF(57&gt;=ASSUMPTIONS!$C$53,ASSUMPTIONS!$D$53*(1+ASSUMPTIONS!$B$66),0),0)</f>
        <v/>
      </c>
      <c r="BK17" s="313">
        <f>IFERROR(IF(58&gt;=ASSUMPTIONS!$C$53,ASSUMPTIONS!$D$53*(1+ASSUMPTIONS!$B$66),0),0)</f>
        <v/>
      </c>
      <c r="BL17" s="313">
        <f>IFERROR(IF(59&gt;=ASSUMPTIONS!$C$53,ASSUMPTIONS!$D$53*(1+ASSUMPTIONS!$B$66),0),0)</f>
        <v/>
      </c>
      <c r="BM17" s="313">
        <f>IFERROR(IF(60&gt;=ASSUMPTIONS!$C$53,ASSUMPTIONS!$D$53*(1+ASSUMPTIONS!$B$66),0),0)</f>
        <v/>
      </c>
      <c r="BN17" s="290">
        <f>SUM(BB17:BM17)</f>
        <v/>
      </c>
    </row>
    <row r="18" ht="19.5" customHeight="1" s="218">
      <c r="A18" s="316">
        <f>IFERROR(ASSUMPTIONS!B54,"(empty)")</f>
        <v/>
      </c>
      <c r="B18" s="313">
        <f>IFERROR(IF(1&gt;=ASSUMPTIONS!$C$54,ASSUMPTIONS!$D$54*(1+ASSUMPTIONS!$B$66),0),0)</f>
        <v/>
      </c>
      <c r="C18" s="313">
        <f>IFERROR(IF(2&gt;=ASSUMPTIONS!$C$54,ASSUMPTIONS!$D$54*(1+ASSUMPTIONS!$B$66),0),0)</f>
        <v/>
      </c>
      <c r="D18" s="313">
        <f>IFERROR(IF(3&gt;=ASSUMPTIONS!$C$54,ASSUMPTIONS!$D$54*(1+ASSUMPTIONS!$B$66),0),0)</f>
        <v/>
      </c>
      <c r="E18" s="313">
        <f>IFERROR(IF(4&gt;=ASSUMPTIONS!$C$54,ASSUMPTIONS!$D$54*(1+ASSUMPTIONS!$B$66),0),0)</f>
        <v/>
      </c>
      <c r="F18" s="313">
        <f>IFERROR(IF(5&gt;=ASSUMPTIONS!$C$54,ASSUMPTIONS!$D$54*(1+ASSUMPTIONS!$B$66),0),0)</f>
        <v/>
      </c>
      <c r="G18" s="313">
        <f>IFERROR(IF(6&gt;=ASSUMPTIONS!$C$54,ASSUMPTIONS!$D$54*(1+ASSUMPTIONS!$B$66),0),0)</f>
        <v/>
      </c>
      <c r="H18" s="313">
        <f>IFERROR(IF(7&gt;=ASSUMPTIONS!$C$54,ASSUMPTIONS!$D$54*(1+ASSUMPTIONS!$B$66),0),0)</f>
        <v/>
      </c>
      <c r="I18" s="313">
        <f>IFERROR(IF(8&gt;=ASSUMPTIONS!$C$54,ASSUMPTIONS!$D$54*(1+ASSUMPTIONS!$B$66),0),0)</f>
        <v/>
      </c>
      <c r="J18" s="313">
        <f>IFERROR(IF(9&gt;=ASSUMPTIONS!$C$54,ASSUMPTIONS!$D$54*(1+ASSUMPTIONS!$B$66),0),0)</f>
        <v/>
      </c>
      <c r="K18" s="313">
        <f>IFERROR(IF(10&gt;=ASSUMPTIONS!$C$54,ASSUMPTIONS!$D$54*(1+ASSUMPTIONS!$B$66),0),0)</f>
        <v/>
      </c>
      <c r="L18" s="313">
        <f>IFERROR(IF(11&gt;=ASSUMPTIONS!$C$54,ASSUMPTIONS!$D$54*(1+ASSUMPTIONS!$B$66),0),0)</f>
        <v/>
      </c>
      <c r="M18" s="313">
        <f>IFERROR(IF(12&gt;=ASSUMPTIONS!$C$54,ASSUMPTIONS!$D$54*(1+ASSUMPTIONS!$B$66),0),0)</f>
        <v/>
      </c>
      <c r="N18" s="314">
        <f>SUM(B18:M18)</f>
        <v/>
      </c>
      <c r="O18" s="313">
        <f>IFERROR(IF(13&gt;=ASSUMPTIONS!$C$54,ASSUMPTIONS!$D$54*(1+ASSUMPTIONS!$B$66),0),0)</f>
        <v/>
      </c>
      <c r="P18" s="313">
        <f>IFERROR(IF(14&gt;=ASSUMPTIONS!$C$54,ASSUMPTIONS!$D$54*(1+ASSUMPTIONS!$B$66),0),0)</f>
        <v/>
      </c>
      <c r="Q18" s="313">
        <f>IFERROR(IF(15&gt;=ASSUMPTIONS!$C$54,ASSUMPTIONS!$D$54*(1+ASSUMPTIONS!$B$66),0),0)</f>
        <v/>
      </c>
      <c r="R18" s="313">
        <f>IFERROR(IF(16&gt;=ASSUMPTIONS!$C$54,ASSUMPTIONS!$D$54*(1+ASSUMPTIONS!$B$66),0),0)</f>
        <v/>
      </c>
      <c r="S18" s="313">
        <f>IFERROR(IF(17&gt;=ASSUMPTIONS!$C$54,ASSUMPTIONS!$D$54*(1+ASSUMPTIONS!$B$66),0),0)</f>
        <v/>
      </c>
      <c r="T18" s="313">
        <f>IFERROR(IF(18&gt;=ASSUMPTIONS!$C$54,ASSUMPTIONS!$D$54*(1+ASSUMPTIONS!$B$66),0),0)</f>
        <v/>
      </c>
      <c r="U18" s="313">
        <f>IFERROR(IF(19&gt;=ASSUMPTIONS!$C$54,ASSUMPTIONS!$D$54*(1+ASSUMPTIONS!$B$66),0),0)</f>
        <v/>
      </c>
      <c r="V18" s="313">
        <f>IFERROR(IF(20&gt;=ASSUMPTIONS!$C$54,ASSUMPTIONS!$D$54*(1+ASSUMPTIONS!$B$66),0),0)</f>
        <v/>
      </c>
      <c r="W18" s="313">
        <f>IFERROR(IF(21&gt;=ASSUMPTIONS!$C$54,ASSUMPTIONS!$D$54*(1+ASSUMPTIONS!$B$66),0),0)</f>
        <v/>
      </c>
      <c r="X18" s="313">
        <f>IFERROR(IF(22&gt;=ASSUMPTIONS!$C$54,ASSUMPTIONS!$D$54*(1+ASSUMPTIONS!$B$66),0),0)</f>
        <v/>
      </c>
      <c r="Y18" s="313">
        <f>IFERROR(IF(23&gt;=ASSUMPTIONS!$C$54,ASSUMPTIONS!$D$54*(1+ASSUMPTIONS!$B$66),0),0)</f>
        <v/>
      </c>
      <c r="Z18" s="313">
        <f>IFERROR(IF(24&gt;=ASSUMPTIONS!$C$54,ASSUMPTIONS!$D$54*(1+ASSUMPTIONS!$B$66),0),0)</f>
        <v/>
      </c>
      <c r="AA18" s="314">
        <f>SUM(O18:Z18)</f>
        <v/>
      </c>
      <c r="AB18" s="313">
        <f>IFERROR(IF(25&gt;=ASSUMPTIONS!$C$54,ASSUMPTIONS!$D$54*(1+ASSUMPTIONS!$B$66),0),0)</f>
        <v/>
      </c>
      <c r="AC18" s="313">
        <f>IFERROR(IF(26&gt;=ASSUMPTIONS!$C$54,ASSUMPTIONS!$D$54*(1+ASSUMPTIONS!$B$66),0),0)</f>
        <v/>
      </c>
      <c r="AD18" s="313">
        <f>IFERROR(IF(27&gt;=ASSUMPTIONS!$C$54,ASSUMPTIONS!$D$54*(1+ASSUMPTIONS!$B$66),0),0)</f>
        <v/>
      </c>
      <c r="AE18" s="313">
        <f>IFERROR(IF(28&gt;=ASSUMPTIONS!$C$54,ASSUMPTIONS!$D$54*(1+ASSUMPTIONS!$B$66),0),0)</f>
        <v/>
      </c>
      <c r="AF18" s="313">
        <f>IFERROR(IF(29&gt;=ASSUMPTIONS!$C$54,ASSUMPTIONS!$D$54*(1+ASSUMPTIONS!$B$66),0),0)</f>
        <v/>
      </c>
      <c r="AG18" s="313">
        <f>IFERROR(IF(30&gt;=ASSUMPTIONS!$C$54,ASSUMPTIONS!$D$54*(1+ASSUMPTIONS!$B$66),0),0)</f>
        <v/>
      </c>
      <c r="AH18" s="313">
        <f>IFERROR(IF(31&gt;=ASSUMPTIONS!$C$54,ASSUMPTIONS!$D$54*(1+ASSUMPTIONS!$B$66),0),0)</f>
        <v/>
      </c>
      <c r="AI18" s="313">
        <f>IFERROR(IF(32&gt;=ASSUMPTIONS!$C$54,ASSUMPTIONS!$D$54*(1+ASSUMPTIONS!$B$66),0),0)</f>
        <v/>
      </c>
      <c r="AJ18" s="313">
        <f>IFERROR(IF(33&gt;=ASSUMPTIONS!$C$54,ASSUMPTIONS!$D$54*(1+ASSUMPTIONS!$B$66),0),0)</f>
        <v/>
      </c>
      <c r="AK18" s="313">
        <f>IFERROR(IF(34&gt;=ASSUMPTIONS!$C$54,ASSUMPTIONS!$D$54*(1+ASSUMPTIONS!$B$66),0),0)</f>
        <v/>
      </c>
      <c r="AL18" s="313">
        <f>IFERROR(IF(35&gt;=ASSUMPTIONS!$C$54,ASSUMPTIONS!$D$54*(1+ASSUMPTIONS!$B$66),0),0)</f>
        <v/>
      </c>
      <c r="AM18" s="313">
        <f>IFERROR(IF(36&gt;=ASSUMPTIONS!$C$54,ASSUMPTIONS!$D$54*(1+ASSUMPTIONS!$B$66),0),0)</f>
        <v/>
      </c>
      <c r="AN18" s="314">
        <f>SUM(AB18:AM18)</f>
        <v/>
      </c>
      <c r="AO18" s="313">
        <f>IFERROR(IF(37&gt;=ASSUMPTIONS!$C$54,ASSUMPTIONS!$D$54*(1+ASSUMPTIONS!$B$66),0),0)</f>
        <v/>
      </c>
      <c r="AP18" s="313">
        <f>IFERROR(IF(38&gt;=ASSUMPTIONS!$C$54,ASSUMPTIONS!$D$54*(1+ASSUMPTIONS!$B$66),0),0)</f>
        <v/>
      </c>
      <c r="AQ18" s="313">
        <f>IFERROR(IF(39&gt;=ASSUMPTIONS!$C$54,ASSUMPTIONS!$D$54*(1+ASSUMPTIONS!$B$66),0),0)</f>
        <v/>
      </c>
      <c r="AR18" s="313">
        <f>IFERROR(IF(40&gt;=ASSUMPTIONS!$C$54,ASSUMPTIONS!$D$54*(1+ASSUMPTIONS!$B$66),0),0)</f>
        <v/>
      </c>
      <c r="AS18" s="313">
        <f>IFERROR(IF(41&gt;=ASSUMPTIONS!$C$54,ASSUMPTIONS!$D$54*(1+ASSUMPTIONS!$B$66),0),0)</f>
        <v/>
      </c>
      <c r="AT18" s="313">
        <f>IFERROR(IF(42&gt;=ASSUMPTIONS!$C$54,ASSUMPTIONS!$D$54*(1+ASSUMPTIONS!$B$66),0),0)</f>
        <v/>
      </c>
      <c r="AU18" s="313">
        <f>IFERROR(IF(43&gt;=ASSUMPTIONS!$C$54,ASSUMPTIONS!$D$54*(1+ASSUMPTIONS!$B$66),0),0)</f>
        <v/>
      </c>
      <c r="AV18" s="313">
        <f>IFERROR(IF(44&gt;=ASSUMPTIONS!$C$54,ASSUMPTIONS!$D$54*(1+ASSUMPTIONS!$B$66),0),0)</f>
        <v/>
      </c>
      <c r="AW18" s="313">
        <f>IFERROR(IF(45&gt;=ASSUMPTIONS!$C$54,ASSUMPTIONS!$D$54*(1+ASSUMPTIONS!$B$66),0),0)</f>
        <v/>
      </c>
      <c r="AX18" s="313">
        <f>IFERROR(IF(46&gt;=ASSUMPTIONS!$C$54,ASSUMPTIONS!$D$54*(1+ASSUMPTIONS!$B$66),0),0)</f>
        <v/>
      </c>
      <c r="AY18" s="313">
        <f>IFERROR(IF(47&gt;=ASSUMPTIONS!$C$54,ASSUMPTIONS!$D$54*(1+ASSUMPTIONS!$B$66),0),0)</f>
        <v/>
      </c>
      <c r="AZ18" s="313">
        <f>IFERROR(IF(48&gt;=ASSUMPTIONS!$C$54,ASSUMPTIONS!$D$54*(1+ASSUMPTIONS!$B$66),0),0)</f>
        <v/>
      </c>
      <c r="BA18" s="290">
        <f>SUM(AO18:AZ18)</f>
        <v/>
      </c>
      <c r="BB18" s="313">
        <f>IFERROR(IF(49&gt;=ASSUMPTIONS!$C$54,ASSUMPTIONS!$D$54*(1+ASSUMPTIONS!$B$66),0),0)</f>
        <v/>
      </c>
      <c r="BC18" s="313">
        <f>IFERROR(IF(50&gt;=ASSUMPTIONS!$C$54,ASSUMPTIONS!$D$54*(1+ASSUMPTIONS!$B$66),0),0)</f>
        <v/>
      </c>
      <c r="BD18" s="313">
        <f>IFERROR(IF(51&gt;=ASSUMPTIONS!$C$54,ASSUMPTIONS!$D$54*(1+ASSUMPTIONS!$B$66),0),0)</f>
        <v/>
      </c>
      <c r="BE18" s="313">
        <f>IFERROR(IF(52&gt;=ASSUMPTIONS!$C$54,ASSUMPTIONS!$D$54*(1+ASSUMPTIONS!$B$66),0),0)</f>
        <v/>
      </c>
      <c r="BF18" s="313">
        <f>IFERROR(IF(53&gt;=ASSUMPTIONS!$C$54,ASSUMPTIONS!$D$54*(1+ASSUMPTIONS!$B$66),0),0)</f>
        <v/>
      </c>
      <c r="BG18" s="313">
        <f>IFERROR(IF(54&gt;=ASSUMPTIONS!$C$54,ASSUMPTIONS!$D$54*(1+ASSUMPTIONS!$B$66),0),0)</f>
        <v/>
      </c>
      <c r="BH18" s="313">
        <f>IFERROR(IF(55&gt;=ASSUMPTIONS!$C$54,ASSUMPTIONS!$D$54*(1+ASSUMPTIONS!$B$66),0),0)</f>
        <v/>
      </c>
      <c r="BI18" s="313">
        <f>IFERROR(IF(56&gt;=ASSUMPTIONS!$C$54,ASSUMPTIONS!$D$54*(1+ASSUMPTIONS!$B$66),0),0)</f>
        <v/>
      </c>
      <c r="BJ18" s="313">
        <f>IFERROR(IF(57&gt;=ASSUMPTIONS!$C$54,ASSUMPTIONS!$D$54*(1+ASSUMPTIONS!$B$66),0),0)</f>
        <v/>
      </c>
      <c r="BK18" s="313">
        <f>IFERROR(IF(58&gt;=ASSUMPTIONS!$C$54,ASSUMPTIONS!$D$54*(1+ASSUMPTIONS!$B$66),0),0)</f>
        <v/>
      </c>
      <c r="BL18" s="313">
        <f>IFERROR(IF(59&gt;=ASSUMPTIONS!$C$54,ASSUMPTIONS!$D$54*(1+ASSUMPTIONS!$B$66),0),0)</f>
        <v/>
      </c>
      <c r="BM18" s="313">
        <f>IFERROR(IF(60&gt;=ASSUMPTIONS!$C$54,ASSUMPTIONS!$D$54*(1+ASSUMPTIONS!$B$66),0),0)</f>
        <v/>
      </c>
      <c r="BN18" s="290">
        <f>SUM(BB18:BM18)</f>
        <v/>
      </c>
    </row>
    <row r="19" ht="19.5" customHeight="1" s="218">
      <c r="A19" s="315" t="inlineStr">
        <is>
          <t>PRODUCT — TOTAL (£)</t>
        </is>
      </c>
      <c r="B19" s="295">
        <f>SUM(B16:B18)</f>
        <v/>
      </c>
      <c r="C19" s="295">
        <f>SUM(C16:C18)</f>
        <v/>
      </c>
      <c r="D19" s="295">
        <f>SUM(D16:D18)</f>
        <v/>
      </c>
      <c r="E19" s="295">
        <f>SUM(E16:E18)</f>
        <v/>
      </c>
      <c r="F19" s="295">
        <f>SUM(F16:F18)</f>
        <v/>
      </c>
      <c r="G19" s="295">
        <f>SUM(G16:G18)</f>
        <v/>
      </c>
      <c r="H19" s="295">
        <f>SUM(H16:H18)</f>
        <v/>
      </c>
      <c r="I19" s="295">
        <f>SUM(I16:I18)</f>
        <v/>
      </c>
      <c r="J19" s="295">
        <f>SUM(J16:J18)</f>
        <v/>
      </c>
      <c r="K19" s="295">
        <f>SUM(K16:K18)</f>
        <v/>
      </c>
      <c r="L19" s="295">
        <f>SUM(L16:L18)</f>
        <v/>
      </c>
      <c r="M19" s="295">
        <f>SUM(M16:M18)</f>
        <v/>
      </c>
      <c r="N19" s="295">
        <f>SUM(B19:M19)</f>
        <v/>
      </c>
      <c r="O19" s="295">
        <f>SUM(O16:O18)</f>
        <v/>
      </c>
      <c r="P19" s="295">
        <f>SUM(P16:P18)</f>
        <v/>
      </c>
      <c r="Q19" s="295">
        <f>SUM(Q16:Q18)</f>
        <v/>
      </c>
      <c r="R19" s="295">
        <f>SUM(R16:R18)</f>
        <v/>
      </c>
      <c r="S19" s="295">
        <f>SUM(S16:S18)</f>
        <v/>
      </c>
      <c r="T19" s="295">
        <f>SUM(T16:T18)</f>
        <v/>
      </c>
      <c r="U19" s="295">
        <f>SUM(U16:U18)</f>
        <v/>
      </c>
      <c r="V19" s="295">
        <f>SUM(V16:V18)</f>
        <v/>
      </c>
      <c r="W19" s="295">
        <f>SUM(W16:W18)</f>
        <v/>
      </c>
      <c r="X19" s="295">
        <f>SUM(X16:X18)</f>
        <v/>
      </c>
      <c r="Y19" s="295">
        <f>SUM(Y16:Y18)</f>
        <v/>
      </c>
      <c r="Z19" s="295">
        <f>SUM(Z16:Z18)</f>
        <v/>
      </c>
      <c r="AA19" s="295">
        <f>SUM(O19:Z19)</f>
        <v/>
      </c>
      <c r="AB19" s="295">
        <f>SUM(AB16:AB18)</f>
        <v/>
      </c>
      <c r="AC19" s="295">
        <f>SUM(AC16:AC18)</f>
        <v/>
      </c>
      <c r="AD19" s="295">
        <f>SUM(AD16:AD18)</f>
        <v/>
      </c>
      <c r="AE19" s="295">
        <f>SUM(AE16:AE18)</f>
        <v/>
      </c>
      <c r="AF19" s="295">
        <f>SUM(AF16:AF18)</f>
        <v/>
      </c>
      <c r="AG19" s="295">
        <f>SUM(AG16:AG18)</f>
        <v/>
      </c>
      <c r="AH19" s="295">
        <f>SUM(AH16:AH18)</f>
        <v/>
      </c>
      <c r="AI19" s="295">
        <f>SUM(AI16:AI18)</f>
        <v/>
      </c>
      <c r="AJ19" s="295">
        <f>SUM(AJ16:AJ18)</f>
        <v/>
      </c>
      <c r="AK19" s="295">
        <f>SUM(AK16:AK18)</f>
        <v/>
      </c>
      <c r="AL19" s="295">
        <f>SUM(AL16:AL18)</f>
        <v/>
      </c>
      <c r="AM19" s="295">
        <f>SUM(AM16:AM18)</f>
        <v/>
      </c>
      <c r="AN19" s="295">
        <f>SUM(AB19:AM19)</f>
        <v/>
      </c>
      <c r="AO19" s="295">
        <f>SUM(AO16:AO18)</f>
        <v/>
      </c>
      <c r="AP19" s="295">
        <f>SUM(AP16:AP18)</f>
        <v/>
      </c>
      <c r="AQ19" s="295">
        <f>SUM(AQ16:AQ18)</f>
        <v/>
      </c>
      <c r="AR19" s="295">
        <f>SUM(AR16:AR18)</f>
        <v/>
      </c>
      <c r="AS19" s="295">
        <f>SUM(AS16:AS18)</f>
        <v/>
      </c>
      <c r="AT19" s="295">
        <f>SUM(AT16:AT18)</f>
        <v/>
      </c>
      <c r="AU19" s="295">
        <f>SUM(AU16:AU18)</f>
        <v/>
      </c>
      <c r="AV19" s="295">
        <f>SUM(AV16:AV18)</f>
        <v/>
      </c>
      <c r="AW19" s="295">
        <f>SUM(AW16:AW18)</f>
        <v/>
      </c>
      <c r="AX19" s="295">
        <f>SUM(AX16:AX18)</f>
        <v/>
      </c>
      <c r="AY19" s="295">
        <f>SUM(AY16:AY18)</f>
        <v/>
      </c>
      <c r="AZ19" s="295">
        <f>SUM(AZ16:AZ18)</f>
        <v/>
      </c>
      <c r="BA19" s="296">
        <f>SUM(AO19:AZ19)</f>
        <v/>
      </c>
      <c r="BB19" s="295">
        <f>SUM(BB16:BB18)</f>
        <v/>
      </c>
      <c r="BC19" s="295">
        <f>SUM(BC16:BC18)</f>
        <v/>
      </c>
      <c r="BD19" s="295">
        <f>SUM(BD16:BD18)</f>
        <v/>
      </c>
      <c r="BE19" s="295">
        <f>SUM(BE16:BE18)</f>
        <v/>
      </c>
      <c r="BF19" s="295">
        <f>SUM(BF16:BF18)</f>
        <v/>
      </c>
      <c r="BG19" s="295">
        <f>SUM(BG16:BG18)</f>
        <v/>
      </c>
      <c r="BH19" s="295">
        <f>SUM(BH16:BH18)</f>
        <v/>
      </c>
      <c r="BI19" s="295">
        <f>SUM(BI16:BI18)</f>
        <v/>
      </c>
      <c r="BJ19" s="295">
        <f>SUM(BJ16:BJ18)</f>
        <v/>
      </c>
      <c r="BK19" s="295">
        <f>SUM(BK16:BK18)</f>
        <v/>
      </c>
      <c r="BL19" s="295">
        <f>SUM(BL16:BL18)</f>
        <v/>
      </c>
      <c r="BM19" s="295">
        <f>SUM(BM16:BM18)</f>
        <v/>
      </c>
      <c r="BN19" s="296">
        <f>SUM(BB19:BM19)</f>
        <v/>
      </c>
    </row>
    <row r="20" ht="6" customHeight="1" s="218">
      <c r="A20" s="297" t="n"/>
      <c r="B20" s="297" t="n"/>
      <c r="C20" s="297" t="n"/>
      <c r="D20" s="297" t="n"/>
      <c r="E20" s="297" t="n"/>
      <c r="F20" s="297" t="n"/>
      <c r="G20" s="297" t="n"/>
      <c r="H20" s="297" t="n"/>
      <c r="I20" s="297" t="n"/>
      <c r="J20" s="297" t="n"/>
      <c r="K20" s="297" t="n"/>
      <c r="L20" s="297" t="n"/>
      <c r="M20" s="297" t="n"/>
      <c r="N20" s="297" t="n"/>
      <c r="O20" s="297" t="n"/>
      <c r="P20" s="297" t="n"/>
      <c r="Q20" s="297" t="n"/>
      <c r="R20" s="297" t="n"/>
      <c r="S20" s="297" t="n"/>
      <c r="T20" s="297" t="n"/>
      <c r="U20" s="297" t="n"/>
      <c r="V20" s="297" t="n"/>
      <c r="W20" s="297" t="n"/>
      <c r="X20" s="297" t="n"/>
      <c r="Y20" s="297" t="n"/>
      <c r="Z20" s="297" t="n"/>
      <c r="AA20" s="297" t="n"/>
      <c r="AB20" s="297" t="n"/>
      <c r="AC20" s="297" t="n"/>
      <c r="AD20" s="297" t="n"/>
      <c r="AE20" s="297" t="n"/>
      <c r="AF20" s="297" t="n"/>
      <c r="AG20" s="297" t="n"/>
      <c r="AH20" s="297" t="n"/>
      <c r="AI20" s="297" t="n"/>
      <c r="AJ20" s="297" t="n"/>
      <c r="AK20" s="297" t="n"/>
      <c r="AL20" s="297" t="n"/>
      <c r="AM20" s="297" t="n"/>
      <c r="AN20" s="297" t="n"/>
      <c r="AO20" s="297" t="n"/>
      <c r="AP20" s="297" t="n"/>
      <c r="AQ20" s="297" t="n"/>
      <c r="AR20" s="297" t="n"/>
      <c r="AS20" s="297" t="n"/>
      <c r="AT20" s="297" t="n"/>
      <c r="AU20" s="297" t="n"/>
      <c r="AV20" s="297" t="n"/>
      <c r="AW20" s="297" t="n"/>
      <c r="AX20" s="297" t="n"/>
      <c r="AY20" s="297" t="n"/>
      <c r="AZ20" s="297" t="n"/>
      <c r="BA20" s="298" t="n"/>
      <c r="BB20" s="297" t="n"/>
      <c r="BC20" s="297" t="n"/>
      <c r="BD20" s="297" t="n"/>
      <c r="BE20" s="297" t="n"/>
      <c r="BF20" s="297" t="n"/>
      <c r="BG20" s="297" t="n"/>
      <c r="BH20" s="297" t="n"/>
      <c r="BI20" s="297" t="n"/>
      <c r="BJ20" s="297" t="n"/>
      <c r="BK20" s="297" t="n"/>
      <c r="BL20" s="297" t="n"/>
      <c r="BM20" s="297" t="n"/>
      <c r="BN20" s="298" t="n"/>
    </row>
    <row r="21" ht="19.5" customHeight="1" s="218">
      <c r="A21" s="299" t="inlineStr">
        <is>
          <t>SALES</t>
        </is>
      </c>
    </row>
    <row r="22" ht="19.5" customHeight="1" s="218">
      <c r="A22" s="317">
        <f>IFERROR(ASSUMPTIONS!B55,"(empty)")</f>
        <v/>
      </c>
      <c r="B22" s="313">
        <f>IFERROR(IF(1&gt;=ASSUMPTIONS!$C$55,ASSUMPTIONS!$D$55*(1+ASSUMPTIONS!$B$66),0),0)</f>
        <v/>
      </c>
      <c r="C22" s="313">
        <f>IFERROR(IF(2&gt;=ASSUMPTIONS!$C$55,ASSUMPTIONS!$D$55*(1+ASSUMPTIONS!$B$66),0),0)</f>
        <v/>
      </c>
      <c r="D22" s="313">
        <f>IFERROR(IF(3&gt;=ASSUMPTIONS!$C$55,ASSUMPTIONS!$D$55*(1+ASSUMPTIONS!$B$66),0),0)</f>
        <v/>
      </c>
      <c r="E22" s="313">
        <f>IFERROR(IF(4&gt;=ASSUMPTIONS!$C$55,ASSUMPTIONS!$D$55*(1+ASSUMPTIONS!$B$66),0),0)</f>
        <v/>
      </c>
      <c r="F22" s="313">
        <f>IFERROR(IF(5&gt;=ASSUMPTIONS!$C$55,ASSUMPTIONS!$D$55*(1+ASSUMPTIONS!$B$66),0),0)</f>
        <v/>
      </c>
      <c r="G22" s="313">
        <f>IFERROR(IF(6&gt;=ASSUMPTIONS!$C$55,ASSUMPTIONS!$D$55*(1+ASSUMPTIONS!$B$66),0),0)</f>
        <v/>
      </c>
      <c r="H22" s="313">
        <f>IFERROR(IF(7&gt;=ASSUMPTIONS!$C$55,ASSUMPTIONS!$D$55*(1+ASSUMPTIONS!$B$66),0),0)</f>
        <v/>
      </c>
      <c r="I22" s="313">
        <f>IFERROR(IF(8&gt;=ASSUMPTIONS!$C$55,ASSUMPTIONS!$D$55*(1+ASSUMPTIONS!$B$66),0),0)</f>
        <v/>
      </c>
      <c r="J22" s="313">
        <f>IFERROR(IF(9&gt;=ASSUMPTIONS!$C$55,ASSUMPTIONS!$D$55*(1+ASSUMPTIONS!$B$66),0),0)</f>
        <v/>
      </c>
      <c r="K22" s="313">
        <f>IFERROR(IF(10&gt;=ASSUMPTIONS!$C$55,ASSUMPTIONS!$D$55*(1+ASSUMPTIONS!$B$66),0),0)</f>
        <v/>
      </c>
      <c r="L22" s="313">
        <f>IFERROR(IF(11&gt;=ASSUMPTIONS!$C$55,ASSUMPTIONS!$D$55*(1+ASSUMPTIONS!$B$66),0),0)</f>
        <v/>
      </c>
      <c r="M22" s="313">
        <f>IFERROR(IF(12&gt;=ASSUMPTIONS!$C$55,ASSUMPTIONS!$D$55*(1+ASSUMPTIONS!$B$66),0),0)</f>
        <v/>
      </c>
      <c r="N22" s="314">
        <f>SUM(B22:M22)</f>
        <v/>
      </c>
      <c r="O22" s="313">
        <f>IFERROR(IF(13&gt;=ASSUMPTIONS!$C$55,ASSUMPTIONS!$D$55*(1+ASSUMPTIONS!$B$66),0),0)</f>
        <v/>
      </c>
      <c r="P22" s="313">
        <f>IFERROR(IF(14&gt;=ASSUMPTIONS!$C$55,ASSUMPTIONS!$D$55*(1+ASSUMPTIONS!$B$66),0),0)</f>
        <v/>
      </c>
      <c r="Q22" s="313">
        <f>IFERROR(IF(15&gt;=ASSUMPTIONS!$C$55,ASSUMPTIONS!$D$55*(1+ASSUMPTIONS!$B$66),0),0)</f>
        <v/>
      </c>
      <c r="R22" s="313">
        <f>IFERROR(IF(16&gt;=ASSUMPTIONS!$C$55,ASSUMPTIONS!$D$55*(1+ASSUMPTIONS!$B$66),0),0)</f>
        <v/>
      </c>
      <c r="S22" s="313">
        <f>IFERROR(IF(17&gt;=ASSUMPTIONS!$C$55,ASSUMPTIONS!$D$55*(1+ASSUMPTIONS!$B$66),0),0)</f>
        <v/>
      </c>
      <c r="T22" s="313">
        <f>IFERROR(IF(18&gt;=ASSUMPTIONS!$C$55,ASSUMPTIONS!$D$55*(1+ASSUMPTIONS!$B$66),0),0)</f>
        <v/>
      </c>
      <c r="U22" s="313">
        <f>IFERROR(IF(19&gt;=ASSUMPTIONS!$C$55,ASSUMPTIONS!$D$55*(1+ASSUMPTIONS!$B$66),0),0)</f>
        <v/>
      </c>
      <c r="V22" s="313">
        <f>IFERROR(IF(20&gt;=ASSUMPTIONS!$C$55,ASSUMPTIONS!$D$55*(1+ASSUMPTIONS!$B$66),0),0)</f>
        <v/>
      </c>
      <c r="W22" s="313">
        <f>IFERROR(IF(21&gt;=ASSUMPTIONS!$C$55,ASSUMPTIONS!$D$55*(1+ASSUMPTIONS!$B$66),0),0)</f>
        <v/>
      </c>
      <c r="X22" s="313">
        <f>IFERROR(IF(22&gt;=ASSUMPTIONS!$C$55,ASSUMPTIONS!$D$55*(1+ASSUMPTIONS!$B$66),0),0)</f>
        <v/>
      </c>
      <c r="Y22" s="313">
        <f>IFERROR(IF(23&gt;=ASSUMPTIONS!$C$55,ASSUMPTIONS!$D$55*(1+ASSUMPTIONS!$B$66),0),0)</f>
        <v/>
      </c>
      <c r="Z22" s="313">
        <f>IFERROR(IF(24&gt;=ASSUMPTIONS!$C$55,ASSUMPTIONS!$D$55*(1+ASSUMPTIONS!$B$66),0),0)</f>
        <v/>
      </c>
      <c r="AA22" s="314">
        <f>SUM(O22:Z22)</f>
        <v/>
      </c>
      <c r="AB22" s="313">
        <f>IFERROR(IF(25&gt;=ASSUMPTIONS!$C$55,ASSUMPTIONS!$D$55*(1+ASSUMPTIONS!$B$66),0),0)</f>
        <v/>
      </c>
      <c r="AC22" s="313">
        <f>IFERROR(IF(26&gt;=ASSUMPTIONS!$C$55,ASSUMPTIONS!$D$55*(1+ASSUMPTIONS!$B$66),0),0)</f>
        <v/>
      </c>
      <c r="AD22" s="313">
        <f>IFERROR(IF(27&gt;=ASSUMPTIONS!$C$55,ASSUMPTIONS!$D$55*(1+ASSUMPTIONS!$B$66),0),0)</f>
        <v/>
      </c>
      <c r="AE22" s="313">
        <f>IFERROR(IF(28&gt;=ASSUMPTIONS!$C$55,ASSUMPTIONS!$D$55*(1+ASSUMPTIONS!$B$66),0),0)</f>
        <v/>
      </c>
      <c r="AF22" s="313">
        <f>IFERROR(IF(29&gt;=ASSUMPTIONS!$C$55,ASSUMPTIONS!$D$55*(1+ASSUMPTIONS!$B$66),0),0)</f>
        <v/>
      </c>
      <c r="AG22" s="313">
        <f>IFERROR(IF(30&gt;=ASSUMPTIONS!$C$55,ASSUMPTIONS!$D$55*(1+ASSUMPTIONS!$B$66),0),0)</f>
        <v/>
      </c>
      <c r="AH22" s="313">
        <f>IFERROR(IF(31&gt;=ASSUMPTIONS!$C$55,ASSUMPTIONS!$D$55*(1+ASSUMPTIONS!$B$66),0),0)</f>
        <v/>
      </c>
      <c r="AI22" s="313">
        <f>IFERROR(IF(32&gt;=ASSUMPTIONS!$C$55,ASSUMPTIONS!$D$55*(1+ASSUMPTIONS!$B$66),0),0)</f>
        <v/>
      </c>
      <c r="AJ22" s="313">
        <f>IFERROR(IF(33&gt;=ASSUMPTIONS!$C$55,ASSUMPTIONS!$D$55*(1+ASSUMPTIONS!$B$66),0),0)</f>
        <v/>
      </c>
      <c r="AK22" s="313">
        <f>IFERROR(IF(34&gt;=ASSUMPTIONS!$C$55,ASSUMPTIONS!$D$55*(1+ASSUMPTIONS!$B$66),0),0)</f>
        <v/>
      </c>
      <c r="AL22" s="313">
        <f>IFERROR(IF(35&gt;=ASSUMPTIONS!$C$55,ASSUMPTIONS!$D$55*(1+ASSUMPTIONS!$B$66),0),0)</f>
        <v/>
      </c>
      <c r="AM22" s="313">
        <f>IFERROR(IF(36&gt;=ASSUMPTIONS!$C$55,ASSUMPTIONS!$D$55*(1+ASSUMPTIONS!$B$66),0),0)</f>
        <v/>
      </c>
      <c r="AN22" s="314">
        <f>SUM(AB22:AM22)</f>
        <v/>
      </c>
      <c r="AO22" s="313">
        <f>IFERROR(IF(37&gt;=ASSUMPTIONS!$C$55,ASSUMPTIONS!$D$55*(1+ASSUMPTIONS!$B$66),0),0)</f>
        <v/>
      </c>
      <c r="AP22" s="313">
        <f>IFERROR(IF(38&gt;=ASSUMPTIONS!$C$55,ASSUMPTIONS!$D$55*(1+ASSUMPTIONS!$B$66),0),0)</f>
        <v/>
      </c>
      <c r="AQ22" s="313">
        <f>IFERROR(IF(39&gt;=ASSUMPTIONS!$C$55,ASSUMPTIONS!$D$55*(1+ASSUMPTIONS!$B$66),0),0)</f>
        <v/>
      </c>
      <c r="AR22" s="313">
        <f>IFERROR(IF(40&gt;=ASSUMPTIONS!$C$55,ASSUMPTIONS!$D$55*(1+ASSUMPTIONS!$B$66),0),0)</f>
        <v/>
      </c>
      <c r="AS22" s="313">
        <f>IFERROR(IF(41&gt;=ASSUMPTIONS!$C$55,ASSUMPTIONS!$D$55*(1+ASSUMPTIONS!$B$66),0),0)</f>
        <v/>
      </c>
      <c r="AT22" s="313">
        <f>IFERROR(IF(42&gt;=ASSUMPTIONS!$C$55,ASSUMPTIONS!$D$55*(1+ASSUMPTIONS!$B$66),0),0)</f>
        <v/>
      </c>
      <c r="AU22" s="313">
        <f>IFERROR(IF(43&gt;=ASSUMPTIONS!$C$55,ASSUMPTIONS!$D$55*(1+ASSUMPTIONS!$B$66),0),0)</f>
        <v/>
      </c>
      <c r="AV22" s="313">
        <f>IFERROR(IF(44&gt;=ASSUMPTIONS!$C$55,ASSUMPTIONS!$D$55*(1+ASSUMPTIONS!$B$66),0),0)</f>
        <v/>
      </c>
      <c r="AW22" s="313">
        <f>IFERROR(IF(45&gt;=ASSUMPTIONS!$C$55,ASSUMPTIONS!$D$55*(1+ASSUMPTIONS!$B$66),0),0)</f>
        <v/>
      </c>
      <c r="AX22" s="313">
        <f>IFERROR(IF(46&gt;=ASSUMPTIONS!$C$55,ASSUMPTIONS!$D$55*(1+ASSUMPTIONS!$B$66),0),0)</f>
        <v/>
      </c>
      <c r="AY22" s="313">
        <f>IFERROR(IF(47&gt;=ASSUMPTIONS!$C$55,ASSUMPTIONS!$D$55*(1+ASSUMPTIONS!$B$66),0),0)</f>
        <v/>
      </c>
      <c r="AZ22" s="313">
        <f>IFERROR(IF(48&gt;=ASSUMPTIONS!$C$55,ASSUMPTIONS!$D$55*(1+ASSUMPTIONS!$B$66),0),0)</f>
        <v/>
      </c>
      <c r="BA22" s="290">
        <f>SUM(AO22:AZ22)</f>
        <v/>
      </c>
      <c r="BB22" s="313">
        <f>IFERROR(IF(49&gt;=ASSUMPTIONS!$C$55,ASSUMPTIONS!$D$55*(1+ASSUMPTIONS!$B$66),0),0)</f>
        <v/>
      </c>
      <c r="BC22" s="313">
        <f>IFERROR(IF(50&gt;=ASSUMPTIONS!$C$55,ASSUMPTIONS!$D$55*(1+ASSUMPTIONS!$B$66),0),0)</f>
        <v/>
      </c>
      <c r="BD22" s="313">
        <f>IFERROR(IF(51&gt;=ASSUMPTIONS!$C$55,ASSUMPTIONS!$D$55*(1+ASSUMPTIONS!$B$66),0),0)</f>
        <v/>
      </c>
      <c r="BE22" s="313">
        <f>IFERROR(IF(52&gt;=ASSUMPTIONS!$C$55,ASSUMPTIONS!$D$55*(1+ASSUMPTIONS!$B$66),0),0)</f>
        <v/>
      </c>
      <c r="BF22" s="313">
        <f>IFERROR(IF(53&gt;=ASSUMPTIONS!$C$55,ASSUMPTIONS!$D$55*(1+ASSUMPTIONS!$B$66),0),0)</f>
        <v/>
      </c>
      <c r="BG22" s="313">
        <f>IFERROR(IF(54&gt;=ASSUMPTIONS!$C$55,ASSUMPTIONS!$D$55*(1+ASSUMPTIONS!$B$66),0),0)</f>
        <v/>
      </c>
      <c r="BH22" s="313">
        <f>IFERROR(IF(55&gt;=ASSUMPTIONS!$C$55,ASSUMPTIONS!$D$55*(1+ASSUMPTIONS!$B$66),0),0)</f>
        <v/>
      </c>
      <c r="BI22" s="313">
        <f>IFERROR(IF(56&gt;=ASSUMPTIONS!$C$55,ASSUMPTIONS!$D$55*(1+ASSUMPTIONS!$B$66),0),0)</f>
        <v/>
      </c>
      <c r="BJ22" s="313">
        <f>IFERROR(IF(57&gt;=ASSUMPTIONS!$C$55,ASSUMPTIONS!$D$55*(1+ASSUMPTIONS!$B$66),0),0)</f>
        <v/>
      </c>
      <c r="BK22" s="313">
        <f>IFERROR(IF(58&gt;=ASSUMPTIONS!$C$55,ASSUMPTIONS!$D$55*(1+ASSUMPTIONS!$B$66),0),0)</f>
        <v/>
      </c>
      <c r="BL22" s="313">
        <f>IFERROR(IF(59&gt;=ASSUMPTIONS!$C$55,ASSUMPTIONS!$D$55*(1+ASSUMPTIONS!$B$66),0),0)</f>
        <v/>
      </c>
      <c r="BM22" s="313">
        <f>IFERROR(IF(60&gt;=ASSUMPTIONS!$C$55,ASSUMPTIONS!$D$55*(1+ASSUMPTIONS!$B$66),0),0)</f>
        <v/>
      </c>
      <c r="BN22" s="290">
        <f>SUM(BB22:BM22)</f>
        <v/>
      </c>
    </row>
    <row r="23" ht="19.5" customHeight="1" s="218">
      <c r="A23" s="317">
        <f>IFERROR(ASSUMPTIONS!B56,"(empty)")</f>
        <v/>
      </c>
      <c r="B23" s="313">
        <f>IFERROR(IF(1&gt;=ASSUMPTIONS!$C$56,ASSUMPTIONS!$D$56*(1+ASSUMPTIONS!$B$66),0),0)</f>
        <v/>
      </c>
      <c r="C23" s="313">
        <f>IFERROR(IF(2&gt;=ASSUMPTIONS!$C$56,ASSUMPTIONS!$D$56*(1+ASSUMPTIONS!$B$66),0),0)</f>
        <v/>
      </c>
      <c r="D23" s="313">
        <f>IFERROR(IF(3&gt;=ASSUMPTIONS!$C$56,ASSUMPTIONS!$D$56*(1+ASSUMPTIONS!$B$66),0),0)</f>
        <v/>
      </c>
      <c r="E23" s="313">
        <f>IFERROR(IF(4&gt;=ASSUMPTIONS!$C$56,ASSUMPTIONS!$D$56*(1+ASSUMPTIONS!$B$66),0),0)</f>
        <v/>
      </c>
      <c r="F23" s="313">
        <f>IFERROR(IF(5&gt;=ASSUMPTIONS!$C$56,ASSUMPTIONS!$D$56*(1+ASSUMPTIONS!$B$66),0),0)</f>
        <v/>
      </c>
      <c r="G23" s="313">
        <f>IFERROR(IF(6&gt;=ASSUMPTIONS!$C$56,ASSUMPTIONS!$D$56*(1+ASSUMPTIONS!$B$66),0),0)</f>
        <v/>
      </c>
      <c r="H23" s="313">
        <f>IFERROR(IF(7&gt;=ASSUMPTIONS!$C$56,ASSUMPTIONS!$D$56*(1+ASSUMPTIONS!$B$66),0),0)</f>
        <v/>
      </c>
      <c r="I23" s="313">
        <f>IFERROR(IF(8&gt;=ASSUMPTIONS!$C$56,ASSUMPTIONS!$D$56*(1+ASSUMPTIONS!$B$66),0),0)</f>
        <v/>
      </c>
      <c r="J23" s="313">
        <f>IFERROR(IF(9&gt;=ASSUMPTIONS!$C$56,ASSUMPTIONS!$D$56*(1+ASSUMPTIONS!$B$66),0),0)</f>
        <v/>
      </c>
      <c r="K23" s="313">
        <f>IFERROR(IF(10&gt;=ASSUMPTIONS!$C$56,ASSUMPTIONS!$D$56*(1+ASSUMPTIONS!$B$66),0),0)</f>
        <v/>
      </c>
      <c r="L23" s="313">
        <f>IFERROR(IF(11&gt;=ASSUMPTIONS!$C$56,ASSUMPTIONS!$D$56*(1+ASSUMPTIONS!$B$66),0),0)</f>
        <v/>
      </c>
      <c r="M23" s="313">
        <f>IFERROR(IF(12&gt;=ASSUMPTIONS!$C$56,ASSUMPTIONS!$D$56*(1+ASSUMPTIONS!$B$66),0),0)</f>
        <v/>
      </c>
      <c r="N23" s="314">
        <f>SUM(B23:M23)</f>
        <v/>
      </c>
      <c r="O23" s="313">
        <f>IFERROR(IF(13&gt;=ASSUMPTIONS!$C$56,ASSUMPTIONS!$D$56*(1+ASSUMPTIONS!$B$66),0),0)</f>
        <v/>
      </c>
      <c r="P23" s="313">
        <f>IFERROR(IF(14&gt;=ASSUMPTIONS!$C$56,ASSUMPTIONS!$D$56*(1+ASSUMPTIONS!$B$66),0),0)</f>
        <v/>
      </c>
      <c r="Q23" s="313">
        <f>IFERROR(IF(15&gt;=ASSUMPTIONS!$C$56,ASSUMPTIONS!$D$56*(1+ASSUMPTIONS!$B$66),0),0)</f>
        <v/>
      </c>
      <c r="R23" s="313">
        <f>IFERROR(IF(16&gt;=ASSUMPTIONS!$C$56,ASSUMPTIONS!$D$56*(1+ASSUMPTIONS!$B$66),0),0)</f>
        <v/>
      </c>
      <c r="S23" s="313">
        <f>IFERROR(IF(17&gt;=ASSUMPTIONS!$C$56,ASSUMPTIONS!$D$56*(1+ASSUMPTIONS!$B$66),0),0)</f>
        <v/>
      </c>
      <c r="T23" s="313">
        <f>IFERROR(IF(18&gt;=ASSUMPTIONS!$C$56,ASSUMPTIONS!$D$56*(1+ASSUMPTIONS!$B$66),0),0)</f>
        <v/>
      </c>
      <c r="U23" s="313">
        <f>IFERROR(IF(19&gt;=ASSUMPTIONS!$C$56,ASSUMPTIONS!$D$56*(1+ASSUMPTIONS!$B$66),0),0)</f>
        <v/>
      </c>
      <c r="V23" s="313">
        <f>IFERROR(IF(20&gt;=ASSUMPTIONS!$C$56,ASSUMPTIONS!$D$56*(1+ASSUMPTIONS!$B$66),0),0)</f>
        <v/>
      </c>
      <c r="W23" s="313">
        <f>IFERROR(IF(21&gt;=ASSUMPTIONS!$C$56,ASSUMPTIONS!$D$56*(1+ASSUMPTIONS!$B$66),0),0)</f>
        <v/>
      </c>
      <c r="X23" s="313">
        <f>IFERROR(IF(22&gt;=ASSUMPTIONS!$C$56,ASSUMPTIONS!$D$56*(1+ASSUMPTIONS!$B$66),0),0)</f>
        <v/>
      </c>
      <c r="Y23" s="313">
        <f>IFERROR(IF(23&gt;=ASSUMPTIONS!$C$56,ASSUMPTIONS!$D$56*(1+ASSUMPTIONS!$B$66),0),0)</f>
        <v/>
      </c>
      <c r="Z23" s="313">
        <f>IFERROR(IF(24&gt;=ASSUMPTIONS!$C$56,ASSUMPTIONS!$D$56*(1+ASSUMPTIONS!$B$66),0),0)</f>
        <v/>
      </c>
      <c r="AA23" s="314">
        <f>SUM(O23:Z23)</f>
        <v/>
      </c>
      <c r="AB23" s="313">
        <f>IFERROR(IF(25&gt;=ASSUMPTIONS!$C$56,ASSUMPTIONS!$D$56*(1+ASSUMPTIONS!$B$66),0),0)</f>
        <v/>
      </c>
      <c r="AC23" s="313">
        <f>IFERROR(IF(26&gt;=ASSUMPTIONS!$C$56,ASSUMPTIONS!$D$56*(1+ASSUMPTIONS!$B$66),0),0)</f>
        <v/>
      </c>
      <c r="AD23" s="313">
        <f>IFERROR(IF(27&gt;=ASSUMPTIONS!$C$56,ASSUMPTIONS!$D$56*(1+ASSUMPTIONS!$B$66),0),0)</f>
        <v/>
      </c>
      <c r="AE23" s="313">
        <f>IFERROR(IF(28&gt;=ASSUMPTIONS!$C$56,ASSUMPTIONS!$D$56*(1+ASSUMPTIONS!$B$66),0),0)</f>
        <v/>
      </c>
      <c r="AF23" s="313">
        <f>IFERROR(IF(29&gt;=ASSUMPTIONS!$C$56,ASSUMPTIONS!$D$56*(1+ASSUMPTIONS!$B$66),0),0)</f>
        <v/>
      </c>
      <c r="AG23" s="313">
        <f>IFERROR(IF(30&gt;=ASSUMPTIONS!$C$56,ASSUMPTIONS!$D$56*(1+ASSUMPTIONS!$B$66),0),0)</f>
        <v/>
      </c>
      <c r="AH23" s="313">
        <f>IFERROR(IF(31&gt;=ASSUMPTIONS!$C$56,ASSUMPTIONS!$D$56*(1+ASSUMPTIONS!$B$66),0),0)</f>
        <v/>
      </c>
      <c r="AI23" s="313">
        <f>IFERROR(IF(32&gt;=ASSUMPTIONS!$C$56,ASSUMPTIONS!$D$56*(1+ASSUMPTIONS!$B$66),0),0)</f>
        <v/>
      </c>
      <c r="AJ23" s="313">
        <f>IFERROR(IF(33&gt;=ASSUMPTIONS!$C$56,ASSUMPTIONS!$D$56*(1+ASSUMPTIONS!$B$66),0),0)</f>
        <v/>
      </c>
      <c r="AK23" s="313">
        <f>IFERROR(IF(34&gt;=ASSUMPTIONS!$C$56,ASSUMPTIONS!$D$56*(1+ASSUMPTIONS!$B$66),0),0)</f>
        <v/>
      </c>
      <c r="AL23" s="313">
        <f>IFERROR(IF(35&gt;=ASSUMPTIONS!$C$56,ASSUMPTIONS!$D$56*(1+ASSUMPTIONS!$B$66),0),0)</f>
        <v/>
      </c>
      <c r="AM23" s="313">
        <f>IFERROR(IF(36&gt;=ASSUMPTIONS!$C$56,ASSUMPTIONS!$D$56*(1+ASSUMPTIONS!$B$66),0),0)</f>
        <v/>
      </c>
      <c r="AN23" s="314">
        <f>SUM(AB23:AM23)</f>
        <v/>
      </c>
      <c r="AO23" s="313">
        <f>IFERROR(IF(37&gt;=ASSUMPTIONS!$C$56,ASSUMPTIONS!$D$56*(1+ASSUMPTIONS!$B$66),0),0)</f>
        <v/>
      </c>
      <c r="AP23" s="313">
        <f>IFERROR(IF(38&gt;=ASSUMPTIONS!$C$56,ASSUMPTIONS!$D$56*(1+ASSUMPTIONS!$B$66),0),0)</f>
        <v/>
      </c>
      <c r="AQ23" s="313">
        <f>IFERROR(IF(39&gt;=ASSUMPTIONS!$C$56,ASSUMPTIONS!$D$56*(1+ASSUMPTIONS!$B$66),0),0)</f>
        <v/>
      </c>
      <c r="AR23" s="313">
        <f>IFERROR(IF(40&gt;=ASSUMPTIONS!$C$56,ASSUMPTIONS!$D$56*(1+ASSUMPTIONS!$B$66),0),0)</f>
        <v/>
      </c>
      <c r="AS23" s="313">
        <f>IFERROR(IF(41&gt;=ASSUMPTIONS!$C$56,ASSUMPTIONS!$D$56*(1+ASSUMPTIONS!$B$66),0),0)</f>
        <v/>
      </c>
      <c r="AT23" s="313">
        <f>IFERROR(IF(42&gt;=ASSUMPTIONS!$C$56,ASSUMPTIONS!$D$56*(1+ASSUMPTIONS!$B$66),0),0)</f>
        <v/>
      </c>
      <c r="AU23" s="313">
        <f>IFERROR(IF(43&gt;=ASSUMPTIONS!$C$56,ASSUMPTIONS!$D$56*(1+ASSUMPTIONS!$B$66),0),0)</f>
        <v/>
      </c>
      <c r="AV23" s="313">
        <f>IFERROR(IF(44&gt;=ASSUMPTIONS!$C$56,ASSUMPTIONS!$D$56*(1+ASSUMPTIONS!$B$66),0),0)</f>
        <v/>
      </c>
      <c r="AW23" s="313">
        <f>IFERROR(IF(45&gt;=ASSUMPTIONS!$C$56,ASSUMPTIONS!$D$56*(1+ASSUMPTIONS!$B$66),0),0)</f>
        <v/>
      </c>
      <c r="AX23" s="313">
        <f>IFERROR(IF(46&gt;=ASSUMPTIONS!$C$56,ASSUMPTIONS!$D$56*(1+ASSUMPTIONS!$B$66),0),0)</f>
        <v/>
      </c>
      <c r="AY23" s="313">
        <f>IFERROR(IF(47&gt;=ASSUMPTIONS!$C$56,ASSUMPTIONS!$D$56*(1+ASSUMPTIONS!$B$66),0),0)</f>
        <v/>
      </c>
      <c r="AZ23" s="313">
        <f>IFERROR(IF(48&gt;=ASSUMPTIONS!$C$56,ASSUMPTIONS!$D$56*(1+ASSUMPTIONS!$B$66),0),0)</f>
        <v/>
      </c>
      <c r="BA23" s="290">
        <f>SUM(AO23:AZ23)</f>
        <v/>
      </c>
      <c r="BB23" s="313">
        <f>IFERROR(IF(49&gt;=ASSUMPTIONS!$C$56,ASSUMPTIONS!$D$56*(1+ASSUMPTIONS!$B$66),0),0)</f>
        <v/>
      </c>
      <c r="BC23" s="313">
        <f>IFERROR(IF(50&gt;=ASSUMPTIONS!$C$56,ASSUMPTIONS!$D$56*(1+ASSUMPTIONS!$B$66),0),0)</f>
        <v/>
      </c>
      <c r="BD23" s="313">
        <f>IFERROR(IF(51&gt;=ASSUMPTIONS!$C$56,ASSUMPTIONS!$D$56*(1+ASSUMPTIONS!$B$66),0),0)</f>
        <v/>
      </c>
      <c r="BE23" s="313">
        <f>IFERROR(IF(52&gt;=ASSUMPTIONS!$C$56,ASSUMPTIONS!$D$56*(1+ASSUMPTIONS!$B$66),0),0)</f>
        <v/>
      </c>
      <c r="BF23" s="313">
        <f>IFERROR(IF(53&gt;=ASSUMPTIONS!$C$56,ASSUMPTIONS!$D$56*(1+ASSUMPTIONS!$B$66),0),0)</f>
        <v/>
      </c>
      <c r="BG23" s="313">
        <f>IFERROR(IF(54&gt;=ASSUMPTIONS!$C$56,ASSUMPTIONS!$D$56*(1+ASSUMPTIONS!$B$66),0),0)</f>
        <v/>
      </c>
      <c r="BH23" s="313">
        <f>IFERROR(IF(55&gt;=ASSUMPTIONS!$C$56,ASSUMPTIONS!$D$56*(1+ASSUMPTIONS!$B$66),0),0)</f>
        <v/>
      </c>
      <c r="BI23" s="313">
        <f>IFERROR(IF(56&gt;=ASSUMPTIONS!$C$56,ASSUMPTIONS!$D$56*(1+ASSUMPTIONS!$B$66),0),0)</f>
        <v/>
      </c>
      <c r="BJ23" s="313">
        <f>IFERROR(IF(57&gt;=ASSUMPTIONS!$C$56,ASSUMPTIONS!$D$56*(1+ASSUMPTIONS!$B$66),0),0)</f>
        <v/>
      </c>
      <c r="BK23" s="313">
        <f>IFERROR(IF(58&gt;=ASSUMPTIONS!$C$56,ASSUMPTIONS!$D$56*(1+ASSUMPTIONS!$B$66),0),0)</f>
        <v/>
      </c>
      <c r="BL23" s="313">
        <f>IFERROR(IF(59&gt;=ASSUMPTIONS!$C$56,ASSUMPTIONS!$D$56*(1+ASSUMPTIONS!$B$66),0),0)</f>
        <v/>
      </c>
      <c r="BM23" s="313">
        <f>IFERROR(IF(60&gt;=ASSUMPTIONS!$C$56,ASSUMPTIONS!$D$56*(1+ASSUMPTIONS!$B$66),0),0)</f>
        <v/>
      </c>
      <c r="BN23" s="290">
        <f>SUM(BB23:BM23)</f>
        <v/>
      </c>
    </row>
    <row r="24" ht="19.5" customHeight="1" s="218">
      <c r="A24" s="317">
        <f>IFERROR(ASSUMPTIONS!B57,"(empty)")</f>
        <v/>
      </c>
      <c r="B24" s="313">
        <f>IFERROR(IF(1&gt;=ASSUMPTIONS!$C$57,ASSUMPTIONS!$D$57*(1+ASSUMPTIONS!$B$66),0),0)</f>
        <v/>
      </c>
      <c r="C24" s="313">
        <f>IFERROR(IF(2&gt;=ASSUMPTIONS!$C$57,ASSUMPTIONS!$D$57*(1+ASSUMPTIONS!$B$66),0),0)</f>
        <v/>
      </c>
      <c r="D24" s="313">
        <f>IFERROR(IF(3&gt;=ASSUMPTIONS!$C$57,ASSUMPTIONS!$D$57*(1+ASSUMPTIONS!$B$66),0),0)</f>
        <v/>
      </c>
      <c r="E24" s="313">
        <f>IFERROR(IF(4&gt;=ASSUMPTIONS!$C$57,ASSUMPTIONS!$D$57*(1+ASSUMPTIONS!$B$66),0),0)</f>
        <v/>
      </c>
      <c r="F24" s="313">
        <f>IFERROR(IF(5&gt;=ASSUMPTIONS!$C$57,ASSUMPTIONS!$D$57*(1+ASSUMPTIONS!$B$66),0),0)</f>
        <v/>
      </c>
      <c r="G24" s="313">
        <f>IFERROR(IF(6&gt;=ASSUMPTIONS!$C$57,ASSUMPTIONS!$D$57*(1+ASSUMPTIONS!$B$66),0),0)</f>
        <v/>
      </c>
      <c r="H24" s="313">
        <f>IFERROR(IF(7&gt;=ASSUMPTIONS!$C$57,ASSUMPTIONS!$D$57*(1+ASSUMPTIONS!$B$66),0),0)</f>
        <v/>
      </c>
      <c r="I24" s="313">
        <f>IFERROR(IF(8&gt;=ASSUMPTIONS!$C$57,ASSUMPTIONS!$D$57*(1+ASSUMPTIONS!$B$66),0),0)</f>
        <v/>
      </c>
      <c r="J24" s="313">
        <f>IFERROR(IF(9&gt;=ASSUMPTIONS!$C$57,ASSUMPTIONS!$D$57*(1+ASSUMPTIONS!$B$66),0),0)</f>
        <v/>
      </c>
      <c r="K24" s="313">
        <f>IFERROR(IF(10&gt;=ASSUMPTIONS!$C$57,ASSUMPTIONS!$D$57*(1+ASSUMPTIONS!$B$66),0),0)</f>
        <v/>
      </c>
      <c r="L24" s="313">
        <f>IFERROR(IF(11&gt;=ASSUMPTIONS!$C$57,ASSUMPTIONS!$D$57*(1+ASSUMPTIONS!$B$66),0),0)</f>
        <v/>
      </c>
      <c r="M24" s="313">
        <f>IFERROR(IF(12&gt;=ASSUMPTIONS!$C$57,ASSUMPTIONS!$D$57*(1+ASSUMPTIONS!$B$66),0),0)</f>
        <v/>
      </c>
      <c r="N24" s="314">
        <f>SUM(B24:M24)</f>
        <v/>
      </c>
      <c r="O24" s="313">
        <f>IFERROR(IF(13&gt;=ASSUMPTIONS!$C$57,ASSUMPTIONS!$D$57*(1+ASSUMPTIONS!$B$66),0),0)</f>
        <v/>
      </c>
      <c r="P24" s="313">
        <f>IFERROR(IF(14&gt;=ASSUMPTIONS!$C$57,ASSUMPTIONS!$D$57*(1+ASSUMPTIONS!$B$66),0),0)</f>
        <v/>
      </c>
      <c r="Q24" s="313">
        <f>IFERROR(IF(15&gt;=ASSUMPTIONS!$C$57,ASSUMPTIONS!$D$57*(1+ASSUMPTIONS!$B$66),0),0)</f>
        <v/>
      </c>
      <c r="R24" s="313">
        <f>IFERROR(IF(16&gt;=ASSUMPTIONS!$C$57,ASSUMPTIONS!$D$57*(1+ASSUMPTIONS!$B$66),0),0)</f>
        <v/>
      </c>
      <c r="S24" s="313">
        <f>IFERROR(IF(17&gt;=ASSUMPTIONS!$C$57,ASSUMPTIONS!$D$57*(1+ASSUMPTIONS!$B$66),0),0)</f>
        <v/>
      </c>
      <c r="T24" s="313">
        <f>IFERROR(IF(18&gt;=ASSUMPTIONS!$C$57,ASSUMPTIONS!$D$57*(1+ASSUMPTIONS!$B$66),0),0)</f>
        <v/>
      </c>
      <c r="U24" s="313">
        <f>IFERROR(IF(19&gt;=ASSUMPTIONS!$C$57,ASSUMPTIONS!$D$57*(1+ASSUMPTIONS!$B$66),0),0)</f>
        <v/>
      </c>
      <c r="V24" s="313">
        <f>IFERROR(IF(20&gt;=ASSUMPTIONS!$C$57,ASSUMPTIONS!$D$57*(1+ASSUMPTIONS!$B$66),0),0)</f>
        <v/>
      </c>
      <c r="W24" s="313">
        <f>IFERROR(IF(21&gt;=ASSUMPTIONS!$C$57,ASSUMPTIONS!$D$57*(1+ASSUMPTIONS!$B$66),0),0)</f>
        <v/>
      </c>
      <c r="X24" s="313">
        <f>IFERROR(IF(22&gt;=ASSUMPTIONS!$C$57,ASSUMPTIONS!$D$57*(1+ASSUMPTIONS!$B$66),0),0)</f>
        <v/>
      </c>
      <c r="Y24" s="313">
        <f>IFERROR(IF(23&gt;=ASSUMPTIONS!$C$57,ASSUMPTIONS!$D$57*(1+ASSUMPTIONS!$B$66),0),0)</f>
        <v/>
      </c>
      <c r="Z24" s="313">
        <f>IFERROR(IF(24&gt;=ASSUMPTIONS!$C$57,ASSUMPTIONS!$D$57*(1+ASSUMPTIONS!$B$66),0),0)</f>
        <v/>
      </c>
      <c r="AA24" s="314">
        <f>SUM(O24:Z24)</f>
        <v/>
      </c>
      <c r="AB24" s="313">
        <f>IFERROR(IF(25&gt;=ASSUMPTIONS!$C$57,ASSUMPTIONS!$D$57*(1+ASSUMPTIONS!$B$66),0),0)</f>
        <v/>
      </c>
      <c r="AC24" s="313">
        <f>IFERROR(IF(26&gt;=ASSUMPTIONS!$C$57,ASSUMPTIONS!$D$57*(1+ASSUMPTIONS!$B$66),0),0)</f>
        <v/>
      </c>
      <c r="AD24" s="313">
        <f>IFERROR(IF(27&gt;=ASSUMPTIONS!$C$57,ASSUMPTIONS!$D$57*(1+ASSUMPTIONS!$B$66),0),0)</f>
        <v/>
      </c>
      <c r="AE24" s="313">
        <f>IFERROR(IF(28&gt;=ASSUMPTIONS!$C$57,ASSUMPTIONS!$D$57*(1+ASSUMPTIONS!$B$66),0),0)</f>
        <v/>
      </c>
      <c r="AF24" s="313">
        <f>IFERROR(IF(29&gt;=ASSUMPTIONS!$C$57,ASSUMPTIONS!$D$57*(1+ASSUMPTIONS!$B$66),0),0)</f>
        <v/>
      </c>
      <c r="AG24" s="313">
        <f>IFERROR(IF(30&gt;=ASSUMPTIONS!$C$57,ASSUMPTIONS!$D$57*(1+ASSUMPTIONS!$B$66),0),0)</f>
        <v/>
      </c>
      <c r="AH24" s="313">
        <f>IFERROR(IF(31&gt;=ASSUMPTIONS!$C$57,ASSUMPTIONS!$D$57*(1+ASSUMPTIONS!$B$66),0),0)</f>
        <v/>
      </c>
      <c r="AI24" s="313">
        <f>IFERROR(IF(32&gt;=ASSUMPTIONS!$C$57,ASSUMPTIONS!$D$57*(1+ASSUMPTIONS!$B$66),0),0)</f>
        <v/>
      </c>
      <c r="AJ24" s="313">
        <f>IFERROR(IF(33&gt;=ASSUMPTIONS!$C$57,ASSUMPTIONS!$D$57*(1+ASSUMPTIONS!$B$66),0),0)</f>
        <v/>
      </c>
      <c r="AK24" s="313">
        <f>IFERROR(IF(34&gt;=ASSUMPTIONS!$C$57,ASSUMPTIONS!$D$57*(1+ASSUMPTIONS!$B$66),0),0)</f>
        <v/>
      </c>
      <c r="AL24" s="313">
        <f>IFERROR(IF(35&gt;=ASSUMPTIONS!$C$57,ASSUMPTIONS!$D$57*(1+ASSUMPTIONS!$B$66),0),0)</f>
        <v/>
      </c>
      <c r="AM24" s="313">
        <f>IFERROR(IF(36&gt;=ASSUMPTIONS!$C$57,ASSUMPTIONS!$D$57*(1+ASSUMPTIONS!$B$66),0),0)</f>
        <v/>
      </c>
      <c r="AN24" s="314">
        <f>SUM(AB24:AM24)</f>
        <v/>
      </c>
      <c r="AO24" s="313">
        <f>IFERROR(IF(37&gt;=ASSUMPTIONS!$C$57,ASSUMPTIONS!$D$57*(1+ASSUMPTIONS!$B$66),0),0)</f>
        <v/>
      </c>
      <c r="AP24" s="313">
        <f>IFERROR(IF(38&gt;=ASSUMPTIONS!$C$57,ASSUMPTIONS!$D$57*(1+ASSUMPTIONS!$B$66),0),0)</f>
        <v/>
      </c>
      <c r="AQ24" s="313">
        <f>IFERROR(IF(39&gt;=ASSUMPTIONS!$C$57,ASSUMPTIONS!$D$57*(1+ASSUMPTIONS!$B$66),0),0)</f>
        <v/>
      </c>
      <c r="AR24" s="313">
        <f>IFERROR(IF(40&gt;=ASSUMPTIONS!$C$57,ASSUMPTIONS!$D$57*(1+ASSUMPTIONS!$B$66),0),0)</f>
        <v/>
      </c>
      <c r="AS24" s="313">
        <f>IFERROR(IF(41&gt;=ASSUMPTIONS!$C$57,ASSUMPTIONS!$D$57*(1+ASSUMPTIONS!$B$66),0),0)</f>
        <v/>
      </c>
      <c r="AT24" s="313">
        <f>IFERROR(IF(42&gt;=ASSUMPTIONS!$C$57,ASSUMPTIONS!$D$57*(1+ASSUMPTIONS!$B$66),0),0)</f>
        <v/>
      </c>
      <c r="AU24" s="313">
        <f>IFERROR(IF(43&gt;=ASSUMPTIONS!$C$57,ASSUMPTIONS!$D$57*(1+ASSUMPTIONS!$B$66),0),0)</f>
        <v/>
      </c>
      <c r="AV24" s="313">
        <f>IFERROR(IF(44&gt;=ASSUMPTIONS!$C$57,ASSUMPTIONS!$D$57*(1+ASSUMPTIONS!$B$66),0),0)</f>
        <v/>
      </c>
      <c r="AW24" s="313">
        <f>IFERROR(IF(45&gt;=ASSUMPTIONS!$C$57,ASSUMPTIONS!$D$57*(1+ASSUMPTIONS!$B$66),0),0)</f>
        <v/>
      </c>
      <c r="AX24" s="313">
        <f>IFERROR(IF(46&gt;=ASSUMPTIONS!$C$57,ASSUMPTIONS!$D$57*(1+ASSUMPTIONS!$B$66),0),0)</f>
        <v/>
      </c>
      <c r="AY24" s="313">
        <f>IFERROR(IF(47&gt;=ASSUMPTIONS!$C$57,ASSUMPTIONS!$D$57*(1+ASSUMPTIONS!$B$66),0),0)</f>
        <v/>
      </c>
      <c r="AZ24" s="313">
        <f>IFERROR(IF(48&gt;=ASSUMPTIONS!$C$57,ASSUMPTIONS!$D$57*(1+ASSUMPTIONS!$B$66),0),0)</f>
        <v/>
      </c>
      <c r="BA24" s="290">
        <f>SUM(AO24:AZ24)</f>
        <v/>
      </c>
      <c r="BB24" s="313">
        <f>IFERROR(IF(49&gt;=ASSUMPTIONS!$C$57,ASSUMPTIONS!$D$57*(1+ASSUMPTIONS!$B$66),0),0)</f>
        <v/>
      </c>
      <c r="BC24" s="313">
        <f>IFERROR(IF(50&gt;=ASSUMPTIONS!$C$57,ASSUMPTIONS!$D$57*(1+ASSUMPTIONS!$B$66),0),0)</f>
        <v/>
      </c>
      <c r="BD24" s="313">
        <f>IFERROR(IF(51&gt;=ASSUMPTIONS!$C$57,ASSUMPTIONS!$D$57*(1+ASSUMPTIONS!$B$66),0),0)</f>
        <v/>
      </c>
      <c r="BE24" s="313">
        <f>IFERROR(IF(52&gt;=ASSUMPTIONS!$C$57,ASSUMPTIONS!$D$57*(1+ASSUMPTIONS!$B$66),0),0)</f>
        <v/>
      </c>
      <c r="BF24" s="313">
        <f>IFERROR(IF(53&gt;=ASSUMPTIONS!$C$57,ASSUMPTIONS!$D$57*(1+ASSUMPTIONS!$B$66),0),0)</f>
        <v/>
      </c>
      <c r="BG24" s="313">
        <f>IFERROR(IF(54&gt;=ASSUMPTIONS!$C$57,ASSUMPTIONS!$D$57*(1+ASSUMPTIONS!$B$66),0),0)</f>
        <v/>
      </c>
      <c r="BH24" s="313">
        <f>IFERROR(IF(55&gt;=ASSUMPTIONS!$C$57,ASSUMPTIONS!$D$57*(1+ASSUMPTIONS!$B$66),0),0)</f>
        <v/>
      </c>
      <c r="BI24" s="313">
        <f>IFERROR(IF(56&gt;=ASSUMPTIONS!$C$57,ASSUMPTIONS!$D$57*(1+ASSUMPTIONS!$B$66),0),0)</f>
        <v/>
      </c>
      <c r="BJ24" s="313">
        <f>IFERROR(IF(57&gt;=ASSUMPTIONS!$C$57,ASSUMPTIONS!$D$57*(1+ASSUMPTIONS!$B$66),0),0)</f>
        <v/>
      </c>
      <c r="BK24" s="313">
        <f>IFERROR(IF(58&gt;=ASSUMPTIONS!$C$57,ASSUMPTIONS!$D$57*(1+ASSUMPTIONS!$B$66),0),0)</f>
        <v/>
      </c>
      <c r="BL24" s="313">
        <f>IFERROR(IF(59&gt;=ASSUMPTIONS!$C$57,ASSUMPTIONS!$D$57*(1+ASSUMPTIONS!$B$66),0),0)</f>
        <v/>
      </c>
      <c r="BM24" s="313">
        <f>IFERROR(IF(60&gt;=ASSUMPTIONS!$C$57,ASSUMPTIONS!$D$57*(1+ASSUMPTIONS!$B$66),0),0)</f>
        <v/>
      </c>
      <c r="BN24" s="290">
        <f>SUM(BB24:BM24)</f>
        <v/>
      </c>
    </row>
    <row r="25" ht="19.5" customHeight="1" s="218">
      <c r="A25" s="317">
        <f>IFERROR(ASSUMPTIONS!B58,"(empty)")</f>
        <v/>
      </c>
      <c r="B25" s="313">
        <f>IFERROR(IF(1&gt;=ASSUMPTIONS!$C$58,ASSUMPTIONS!$D$58*(1+ASSUMPTIONS!$B$66),0),0)</f>
        <v/>
      </c>
      <c r="C25" s="313">
        <f>IFERROR(IF(2&gt;=ASSUMPTIONS!$C$58,ASSUMPTIONS!$D$58*(1+ASSUMPTIONS!$B$66),0),0)</f>
        <v/>
      </c>
      <c r="D25" s="313">
        <f>IFERROR(IF(3&gt;=ASSUMPTIONS!$C$58,ASSUMPTIONS!$D$58*(1+ASSUMPTIONS!$B$66),0),0)</f>
        <v/>
      </c>
      <c r="E25" s="313">
        <f>IFERROR(IF(4&gt;=ASSUMPTIONS!$C$58,ASSUMPTIONS!$D$58*(1+ASSUMPTIONS!$B$66),0),0)</f>
        <v/>
      </c>
      <c r="F25" s="313">
        <f>IFERROR(IF(5&gt;=ASSUMPTIONS!$C$58,ASSUMPTIONS!$D$58*(1+ASSUMPTIONS!$B$66),0),0)</f>
        <v/>
      </c>
      <c r="G25" s="313">
        <f>IFERROR(IF(6&gt;=ASSUMPTIONS!$C$58,ASSUMPTIONS!$D$58*(1+ASSUMPTIONS!$B$66),0),0)</f>
        <v/>
      </c>
      <c r="H25" s="313">
        <f>IFERROR(IF(7&gt;=ASSUMPTIONS!$C$58,ASSUMPTIONS!$D$58*(1+ASSUMPTIONS!$B$66),0),0)</f>
        <v/>
      </c>
      <c r="I25" s="313">
        <f>IFERROR(IF(8&gt;=ASSUMPTIONS!$C$58,ASSUMPTIONS!$D$58*(1+ASSUMPTIONS!$B$66),0),0)</f>
        <v/>
      </c>
      <c r="J25" s="313">
        <f>IFERROR(IF(9&gt;=ASSUMPTIONS!$C$58,ASSUMPTIONS!$D$58*(1+ASSUMPTIONS!$B$66),0),0)</f>
        <v/>
      </c>
      <c r="K25" s="313">
        <f>IFERROR(IF(10&gt;=ASSUMPTIONS!$C$58,ASSUMPTIONS!$D$58*(1+ASSUMPTIONS!$B$66),0),0)</f>
        <v/>
      </c>
      <c r="L25" s="313">
        <f>IFERROR(IF(11&gt;=ASSUMPTIONS!$C$58,ASSUMPTIONS!$D$58*(1+ASSUMPTIONS!$B$66),0),0)</f>
        <v/>
      </c>
      <c r="M25" s="313">
        <f>IFERROR(IF(12&gt;=ASSUMPTIONS!$C$58,ASSUMPTIONS!$D$58*(1+ASSUMPTIONS!$B$66),0),0)</f>
        <v/>
      </c>
      <c r="N25" s="314">
        <f>SUM(B25:M25)</f>
        <v/>
      </c>
      <c r="O25" s="313">
        <f>IFERROR(IF(13&gt;=ASSUMPTIONS!$C$58,ASSUMPTIONS!$D$58*(1+ASSUMPTIONS!$B$66),0),0)</f>
        <v/>
      </c>
      <c r="P25" s="313">
        <f>IFERROR(IF(14&gt;=ASSUMPTIONS!$C$58,ASSUMPTIONS!$D$58*(1+ASSUMPTIONS!$B$66),0),0)</f>
        <v/>
      </c>
      <c r="Q25" s="313">
        <f>IFERROR(IF(15&gt;=ASSUMPTIONS!$C$58,ASSUMPTIONS!$D$58*(1+ASSUMPTIONS!$B$66),0),0)</f>
        <v/>
      </c>
      <c r="R25" s="313">
        <f>IFERROR(IF(16&gt;=ASSUMPTIONS!$C$58,ASSUMPTIONS!$D$58*(1+ASSUMPTIONS!$B$66),0),0)</f>
        <v/>
      </c>
      <c r="S25" s="313">
        <f>IFERROR(IF(17&gt;=ASSUMPTIONS!$C$58,ASSUMPTIONS!$D$58*(1+ASSUMPTIONS!$B$66),0),0)</f>
        <v/>
      </c>
      <c r="T25" s="313">
        <f>IFERROR(IF(18&gt;=ASSUMPTIONS!$C$58,ASSUMPTIONS!$D$58*(1+ASSUMPTIONS!$B$66),0),0)</f>
        <v/>
      </c>
      <c r="U25" s="313">
        <f>IFERROR(IF(19&gt;=ASSUMPTIONS!$C$58,ASSUMPTIONS!$D$58*(1+ASSUMPTIONS!$B$66),0),0)</f>
        <v/>
      </c>
      <c r="V25" s="313">
        <f>IFERROR(IF(20&gt;=ASSUMPTIONS!$C$58,ASSUMPTIONS!$D$58*(1+ASSUMPTIONS!$B$66),0),0)</f>
        <v/>
      </c>
      <c r="W25" s="313">
        <f>IFERROR(IF(21&gt;=ASSUMPTIONS!$C$58,ASSUMPTIONS!$D$58*(1+ASSUMPTIONS!$B$66),0),0)</f>
        <v/>
      </c>
      <c r="X25" s="313">
        <f>IFERROR(IF(22&gt;=ASSUMPTIONS!$C$58,ASSUMPTIONS!$D$58*(1+ASSUMPTIONS!$B$66),0),0)</f>
        <v/>
      </c>
      <c r="Y25" s="313">
        <f>IFERROR(IF(23&gt;=ASSUMPTIONS!$C$58,ASSUMPTIONS!$D$58*(1+ASSUMPTIONS!$B$66),0),0)</f>
        <v/>
      </c>
      <c r="Z25" s="313">
        <f>IFERROR(IF(24&gt;=ASSUMPTIONS!$C$58,ASSUMPTIONS!$D$58*(1+ASSUMPTIONS!$B$66),0),0)</f>
        <v/>
      </c>
      <c r="AA25" s="314">
        <f>SUM(O25:Z25)</f>
        <v/>
      </c>
      <c r="AB25" s="313">
        <f>IFERROR(IF(25&gt;=ASSUMPTIONS!$C$58,ASSUMPTIONS!$D$58*(1+ASSUMPTIONS!$B$66),0),0)</f>
        <v/>
      </c>
      <c r="AC25" s="313">
        <f>IFERROR(IF(26&gt;=ASSUMPTIONS!$C$58,ASSUMPTIONS!$D$58*(1+ASSUMPTIONS!$B$66),0),0)</f>
        <v/>
      </c>
      <c r="AD25" s="313">
        <f>IFERROR(IF(27&gt;=ASSUMPTIONS!$C$58,ASSUMPTIONS!$D$58*(1+ASSUMPTIONS!$B$66),0),0)</f>
        <v/>
      </c>
      <c r="AE25" s="313">
        <f>IFERROR(IF(28&gt;=ASSUMPTIONS!$C$58,ASSUMPTIONS!$D$58*(1+ASSUMPTIONS!$B$66),0),0)</f>
        <v/>
      </c>
      <c r="AF25" s="313">
        <f>IFERROR(IF(29&gt;=ASSUMPTIONS!$C$58,ASSUMPTIONS!$D$58*(1+ASSUMPTIONS!$B$66),0),0)</f>
        <v/>
      </c>
      <c r="AG25" s="313">
        <f>IFERROR(IF(30&gt;=ASSUMPTIONS!$C$58,ASSUMPTIONS!$D$58*(1+ASSUMPTIONS!$B$66),0),0)</f>
        <v/>
      </c>
      <c r="AH25" s="313">
        <f>IFERROR(IF(31&gt;=ASSUMPTIONS!$C$58,ASSUMPTIONS!$D$58*(1+ASSUMPTIONS!$B$66),0),0)</f>
        <v/>
      </c>
      <c r="AI25" s="313">
        <f>IFERROR(IF(32&gt;=ASSUMPTIONS!$C$58,ASSUMPTIONS!$D$58*(1+ASSUMPTIONS!$B$66),0),0)</f>
        <v/>
      </c>
      <c r="AJ25" s="313">
        <f>IFERROR(IF(33&gt;=ASSUMPTIONS!$C$58,ASSUMPTIONS!$D$58*(1+ASSUMPTIONS!$B$66),0),0)</f>
        <v/>
      </c>
      <c r="AK25" s="313">
        <f>IFERROR(IF(34&gt;=ASSUMPTIONS!$C$58,ASSUMPTIONS!$D$58*(1+ASSUMPTIONS!$B$66),0),0)</f>
        <v/>
      </c>
      <c r="AL25" s="313">
        <f>IFERROR(IF(35&gt;=ASSUMPTIONS!$C$58,ASSUMPTIONS!$D$58*(1+ASSUMPTIONS!$B$66),0),0)</f>
        <v/>
      </c>
      <c r="AM25" s="313">
        <f>IFERROR(IF(36&gt;=ASSUMPTIONS!$C$58,ASSUMPTIONS!$D$58*(1+ASSUMPTIONS!$B$66),0),0)</f>
        <v/>
      </c>
      <c r="AN25" s="314">
        <f>SUM(AB25:AM25)</f>
        <v/>
      </c>
      <c r="AO25" s="313">
        <f>IFERROR(IF(37&gt;=ASSUMPTIONS!$C$58,ASSUMPTIONS!$D$58*(1+ASSUMPTIONS!$B$66),0),0)</f>
        <v/>
      </c>
      <c r="AP25" s="313">
        <f>IFERROR(IF(38&gt;=ASSUMPTIONS!$C$58,ASSUMPTIONS!$D$58*(1+ASSUMPTIONS!$B$66),0),0)</f>
        <v/>
      </c>
      <c r="AQ25" s="313">
        <f>IFERROR(IF(39&gt;=ASSUMPTIONS!$C$58,ASSUMPTIONS!$D$58*(1+ASSUMPTIONS!$B$66),0),0)</f>
        <v/>
      </c>
      <c r="AR25" s="313">
        <f>IFERROR(IF(40&gt;=ASSUMPTIONS!$C$58,ASSUMPTIONS!$D$58*(1+ASSUMPTIONS!$B$66),0),0)</f>
        <v/>
      </c>
      <c r="AS25" s="313">
        <f>IFERROR(IF(41&gt;=ASSUMPTIONS!$C$58,ASSUMPTIONS!$D$58*(1+ASSUMPTIONS!$B$66),0),0)</f>
        <v/>
      </c>
      <c r="AT25" s="313">
        <f>IFERROR(IF(42&gt;=ASSUMPTIONS!$C$58,ASSUMPTIONS!$D$58*(1+ASSUMPTIONS!$B$66),0),0)</f>
        <v/>
      </c>
      <c r="AU25" s="313">
        <f>IFERROR(IF(43&gt;=ASSUMPTIONS!$C$58,ASSUMPTIONS!$D$58*(1+ASSUMPTIONS!$B$66),0),0)</f>
        <v/>
      </c>
      <c r="AV25" s="313">
        <f>IFERROR(IF(44&gt;=ASSUMPTIONS!$C$58,ASSUMPTIONS!$D$58*(1+ASSUMPTIONS!$B$66),0),0)</f>
        <v/>
      </c>
      <c r="AW25" s="313">
        <f>IFERROR(IF(45&gt;=ASSUMPTIONS!$C$58,ASSUMPTIONS!$D$58*(1+ASSUMPTIONS!$B$66),0),0)</f>
        <v/>
      </c>
      <c r="AX25" s="313">
        <f>IFERROR(IF(46&gt;=ASSUMPTIONS!$C$58,ASSUMPTIONS!$D$58*(1+ASSUMPTIONS!$B$66),0),0)</f>
        <v/>
      </c>
      <c r="AY25" s="313">
        <f>IFERROR(IF(47&gt;=ASSUMPTIONS!$C$58,ASSUMPTIONS!$D$58*(1+ASSUMPTIONS!$B$66),0),0)</f>
        <v/>
      </c>
      <c r="AZ25" s="313">
        <f>IFERROR(IF(48&gt;=ASSUMPTIONS!$C$58,ASSUMPTIONS!$D$58*(1+ASSUMPTIONS!$B$66),0),0)</f>
        <v/>
      </c>
      <c r="BA25" s="290">
        <f>SUM(AO25:AZ25)</f>
        <v/>
      </c>
      <c r="BB25" s="313">
        <f>IFERROR(IF(49&gt;=ASSUMPTIONS!$C$58,ASSUMPTIONS!$D$58*(1+ASSUMPTIONS!$B$66),0),0)</f>
        <v/>
      </c>
      <c r="BC25" s="313">
        <f>IFERROR(IF(50&gt;=ASSUMPTIONS!$C$58,ASSUMPTIONS!$D$58*(1+ASSUMPTIONS!$B$66),0),0)</f>
        <v/>
      </c>
      <c r="BD25" s="313">
        <f>IFERROR(IF(51&gt;=ASSUMPTIONS!$C$58,ASSUMPTIONS!$D$58*(1+ASSUMPTIONS!$B$66),0),0)</f>
        <v/>
      </c>
      <c r="BE25" s="313">
        <f>IFERROR(IF(52&gt;=ASSUMPTIONS!$C$58,ASSUMPTIONS!$D$58*(1+ASSUMPTIONS!$B$66),0),0)</f>
        <v/>
      </c>
      <c r="BF25" s="313">
        <f>IFERROR(IF(53&gt;=ASSUMPTIONS!$C$58,ASSUMPTIONS!$D$58*(1+ASSUMPTIONS!$B$66),0),0)</f>
        <v/>
      </c>
      <c r="BG25" s="313">
        <f>IFERROR(IF(54&gt;=ASSUMPTIONS!$C$58,ASSUMPTIONS!$D$58*(1+ASSUMPTIONS!$B$66),0),0)</f>
        <v/>
      </c>
      <c r="BH25" s="313">
        <f>IFERROR(IF(55&gt;=ASSUMPTIONS!$C$58,ASSUMPTIONS!$D$58*(1+ASSUMPTIONS!$B$66),0),0)</f>
        <v/>
      </c>
      <c r="BI25" s="313">
        <f>IFERROR(IF(56&gt;=ASSUMPTIONS!$C$58,ASSUMPTIONS!$D$58*(1+ASSUMPTIONS!$B$66),0),0)</f>
        <v/>
      </c>
      <c r="BJ25" s="313">
        <f>IFERROR(IF(57&gt;=ASSUMPTIONS!$C$58,ASSUMPTIONS!$D$58*(1+ASSUMPTIONS!$B$66),0),0)</f>
        <v/>
      </c>
      <c r="BK25" s="313">
        <f>IFERROR(IF(58&gt;=ASSUMPTIONS!$C$58,ASSUMPTIONS!$D$58*(1+ASSUMPTIONS!$B$66),0),0)</f>
        <v/>
      </c>
      <c r="BL25" s="313">
        <f>IFERROR(IF(59&gt;=ASSUMPTIONS!$C$58,ASSUMPTIONS!$D$58*(1+ASSUMPTIONS!$B$66),0),0)</f>
        <v/>
      </c>
      <c r="BM25" s="313">
        <f>IFERROR(IF(60&gt;=ASSUMPTIONS!$C$58,ASSUMPTIONS!$D$58*(1+ASSUMPTIONS!$B$66),0),0)</f>
        <v/>
      </c>
      <c r="BN25" s="290">
        <f>SUM(BB25:BM25)</f>
        <v/>
      </c>
    </row>
    <row r="26" ht="19.5" customHeight="1" s="218">
      <c r="A26" s="315" t="inlineStr">
        <is>
          <t>SALES — TOTAL (£)</t>
        </is>
      </c>
      <c r="B26" s="295">
        <f>SUM(B22:B25)</f>
        <v/>
      </c>
      <c r="C26" s="295">
        <f>SUM(C22:C25)</f>
        <v/>
      </c>
      <c r="D26" s="295">
        <f>SUM(D22:D25)</f>
        <v/>
      </c>
      <c r="E26" s="295">
        <f>SUM(E22:E25)</f>
        <v/>
      </c>
      <c r="F26" s="295">
        <f>SUM(F22:F25)</f>
        <v/>
      </c>
      <c r="G26" s="295">
        <f>SUM(G22:G25)</f>
        <v/>
      </c>
      <c r="H26" s="295">
        <f>SUM(H22:H25)</f>
        <v/>
      </c>
      <c r="I26" s="295">
        <f>SUM(I22:I25)</f>
        <v/>
      </c>
      <c r="J26" s="295">
        <f>SUM(J22:J25)</f>
        <v/>
      </c>
      <c r="K26" s="295">
        <f>SUM(K22:K25)</f>
        <v/>
      </c>
      <c r="L26" s="295">
        <f>SUM(L22:L25)</f>
        <v/>
      </c>
      <c r="M26" s="295">
        <f>SUM(M22:M25)</f>
        <v/>
      </c>
      <c r="N26" s="295">
        <f>SUM(B26:M26)</f>
        <v/>
      </c>
      <c r="O26" s="295">
        <f>SUM(O22:O25)</f>
        <v/>
      </c>
      <c r="P26" s="295">
        <f>SUM(P22:P25)</f>
        <v/>
      </c>
      <c r="Q26" s="295">
        <f>SUM(Q22:Q25)</f>
        <v/>
      </c>
      <c r="R26" s="295">
        <f>SUM(R22:R25)</f>
        <v/>
      </c>
      <c r="S26" s="295">
        <f>SUM(S22:S25)</f>
        <v/>
      </c>
      <c r="T26" s="295">
        <f>SUM(T22:T25)</f>
        <v/>
      </c>
      <c r="U26" s="295">
        <f>SUM(U22:U25)</f>
        <v/>
      </c>
      <c r="V26" s="295">
        <f>SUM(V22:V25)</f>
        <v/>
      </c>
      <c r="W26" s="295">
        <f>SUM(W22:W25)</f>
        <v/>
      </c>
      <c r="X26" s="295">
        <f>SUM(X22:X25)</f>
        <v/>
      </c>
      <c r="Y26" s="295">
        <f>SUM(Y22:Y25)</f>
        <v/>
      </c>
      <c r="Z26" s="295">
        <f>SUM(Z22:Z25)</f>
        <v/>
      </c>
      <c r="AA26" s="295">
        <f>SUM(O26:Z26)</f>
        <v/>
      </c>
      <c r="AB26" s="295">
        <f>SUM(AB22:AB25)</f>
        <v/>
      </c>
      <c r="AC26" s="295">
        <f>SUM(AC22:AC25)</f>
        <v/>
      </c>
      <c r="AD26" s="295">
        <f>SUM(AD22:AD25)</f>
        <v/>
      </c>
      <c r="AE26" s="295">
        <f>SUM(AE22:AE25)</f>
        <v/>
      </c>
      <c r="AF26" s="295">
        <f>SUM(AF22:AF25)</f>
        <v/>
      </c>
      <c r="AG26" s="295">
        <f>SUM(AG22:AG25)</f>
        <v/>
      </c>
      <c r="AH26" s="295">
        <f>SUM(AH22:AH25)</f>
        <v/>
      </c>
      <c r="AI26" s="295">
        <f>SUM(AI22:AI25)</f>
        <v/>
      </c>
      <c r="AJ26" s="295">
        <f>SUM(AJ22:AJ25)</f>
        <v/>
      </c>
      <c r="AK26" s="295">
        <f>SUM(AK22:AK25)</f>
        <v/>
      </c>
      <c r="AL26" s="295">
        <f>SUM(AL22:AL25)</f>
        <v/>
      </c>
      <c r="AM26" s="295">
        <f>SUM(AM22:AM25)</f>
        <v/>
      </c>
      <c r="AN26" s="295">
        <f>SUM(AB26:AM26)</f>
        <v/>
      </c>
      <c r="AO26" s="295">
        <f>SUM(AO22:AO25)</f>
        <v/>
      </c>
      <c r="AP26" s="295">
        <f>SUM(AP22:AP25)</f>
        <v/>
      </c>
      <c r="AQ26" s="295">
        <f>SUM(AQ22:AQ25)</f>
        <v/>
      </c>
      <c r="AR26" s="295">
        <f>SUM(AR22:AR25)</f>
        <v/>
      </c>
      <c r="AS26" s="295">
        <f>SUM(AS22:AS25)</f>
        <v/>
      </c>
      <c r="AT26" s="295">
        <f>SUM(AT22:AT25)</f>
        <v/>
      </c>
      <c r="AU26" s="295">
        <f>SUM(AU22:AU25)</f>
        <v/>
      </c>
      <c r="AV26" s="295">
        <f>SUM(AV22:AV25)</f>
        <v/>
      </c>
      <c r="AW26" s="295">
        <f>SUM(AW22:AW25)</f>
        <v/>
      </c>
      <c r="AX26" s="295">
        <f>SUM(AX22:AX25)</f>
        <v/>
      </c>
      <c r="AY26" s="295">
        <f>SUM(AY22:AY25)</f>
        <v/>
      </c>
      <c r="AZ26" s="295">
        <f>SUM(AZ22:AZ25)</f>
        <v/>
      </c>
      <c r="BA26" s="296">
        <f>SUM(AO26:AZ26)</f>
        <v/>
      </c>
      <c r="BB26" s="295">
        <f>SUM(BB22:BB25)</f>
        <v/>
      </c>
      <c r="BC26" s="295">
        <f>SUM(BC22:BC25)</f>
        <v/>
      </c>
      <c r="BD26" s="295">
        <f>SUM(BD22:BD25)</f>
        <v/>
      </c>
      <c r="BE26" s="295">
        <f>SUM(BE22:BE25)</f>
        <v/>
      </c>
      <c r="BF26" s="295">
        <f>SUM(BF22:BF25)</f>
        <v/>
      </c>
      <c r="BG26" s="295">
        <f>SUM(BG22:BG25)</f>
        <v/>
      </c>
      <c r="BH26" s="295">
        <f>SUM(BH22:BH25)</f>
        <v/>
      </c>
      <c r="BI26" s="295">
        <f>SUM(BI22:BI25)</f>
        <v/>
      </c>
      <c r="BJ26" s="295">
        <f>SUM(BJ22:BJ25)</f>
        <v/>
      </c>
      <c r="BK26" s="295">
        <f>SUM(BK22:BK25)</f>
        <v/>
      </c>
      <c r="BL26" s="295">
        <f>SUM(BL22:BL25)</f>
        <v/>
      </c>
      <c r="BM26" s="295">
        <f>SUM(BM22:BM25)</f>
        <v/>
      </c>
      <c r="BN26" s="296">
        <f>SUM(BB26:BM26)</f>
        <v/>
      </c>
    </row>
    <row r="27" ht="6" customHeight="1" s="218">
      <c r="A27" s="297" t="n"/>
      <c r="B27" s="297" t="n"/>
      <c r="C27" s="297" t="n"/>
      <c r="D27" s="297" t="n"/>
      <c r="E27" s="297" t="n"/>
      <c r="F27" s="297" t="n"/>
      <c r="G27" s="297" t="n"/>
      <c r="H27" s="297" t="n"/>
      <c r="I27" s="297" t="n"/>
      <c r="J27" s="297" t="n"/>
      <c r="K27" s="297" t="n"/>
      <c r="L27" s="297" t="n"/>
      <c r="M27" s="297" t="n"/>
      <c r="N27" s="297" t="n"/>
      <c r="O27" s="297" t="n"/>
      <c r="P27" s="297" t="n"/>
      <c r="Q27" s="297" t="n"/>
      <c r="R27" s="297" t="n"/>
      <c r="S27" s="297" t="n"/>
      <c r="T27" s="297" t="n"/>
      <c r="U27" s="297" t="n"/>
      <c r="V27" s="297" t="n"/>
      <c r="W27" s="297" t="n"/>
      <c r="X27" s="297" t="n"/>
      <c r="Y27" s="297" t="n"/>
      <c r="Z27" s="297" t="n"/>
      <c r="AA27" s="297" t="n"/>
      <c r="AB27" s="297" t="n"/>
      <c r="AC27" s="297" t="n"/>
      <c r="AD27" s="297" t="n"/>
      <c r="AE27" s="297" t="n"/>
      <c r="AF27" s="297" t="n"/>
      <c r="AG27" s="297" t="n"/>
      <c r="AH27" s="297" t="n"/>
      <c r="AI27" s="297" t="n"/>
      <c r="AJ27" s="297" t="n"/>
      <c r="AK27" s="297" t="n"/>
      <c r="AL27" s="297" t="n"/>
      <c r="AM27" s="297" t="n"/>
      <c r="AN27" s="297" t="n"/>
      <c r="AO27" s="297" t="n"/>
      <c r="AP27" s="297" t="n"/>
      <c r="AQ27" s="297" t="n"/>
      <c r="AR27" s="297" t="n"/>
      <c r="AS27" s="297" t="n"/>
      <c r="AT27" s="297" t="n"/>
      <c r="AU27" s="297" t="n"/>
      <c r="AV27" s="297" t="n"/>
      <c r="AW27" s="297" t="n"/>
      <c r="AX27" s="297" t="n"/>
      <c r="AY27" s="297" t="n"/>
      <c r="AZ27" s="297" t="n"/>
      <c r="BA27" s="298" t="n"/>
      <c r="BB27" s="297" t="n"/>
      <c r="BC27" s="297" t="n"/>
      <c r="BD27" s="297" t="n"/>
      <c r="BE27" s="297" t="n"/>
      <c r="BF27" s="297" t="n"/>
      <c r="BG27" s="297" t="n"/>
      <c r="BH27" s="297" t="n"/>
      <c r="BI27" s="297" t="n"/>
      <c r="BJ27" s="297" t="n"/>
      <c r="BK27" s="297" t="n"/>
      <c r="BL27" s="297" t="n"/>
      <c r="BM27" s="297" t="n"/>
      <c r="BN27" s="298" t="n"/>
    </row>
    <row r="28" ht="19.5" customHeight="1" s="218">
      <c r="A28" s="299" t="inlineStr">
        <is>
          <t>MARKETING</t>
        </is>
      </c>
    </row>
    <row r="29" ht="19.5" customHeight="1" s="218">
      <c r="A29" s="317">
        <f>IFERROR(ASSUMPTIONS!B59,"(empty)")</f>
        <v/>
      </c>
      <c r="B29" s="313">
        <f>IFERROR(IF(1&gt;=ASSUMPTIONS!$C$59,ASSUMPTIONS!$D$59*(1+ASSUMPTIONS!$B$66),0),0)</f>
        <v/>
      </c>
      <c r="C29" s="313">
        <f>IFERROR(IF(2&gt;=ASSUMPTIONS!$C$59,ASSUMPTIONS!$D$59*(1+ASSUMPTIONS!$B$66),0),0)</f>
        <v/>
      </c>
      <c r="D29" s="313">
        <f>IFERROR(IF(3&gt;=ASSUMPTIONS!$C$59,ASSUMPTIONS!$D$59*(1+ASSUMPTIONS!$B$66),0),0)</f>
        <v/>
      </c>
      <c r="E29" s="313">
        <f>IFERROR(IF(4&gt;=ASSUMPTIONS!$C$59,ASSUMPTIONS!$D$59*(1+ASSUMPTIONS!$B$66),0),0)</f>
        <v/>
      </c>
      <c r="F29" s="313">
        <f>IFERROR(IF(5&gt;=ASSUMPTIONS!$C$59,ASSUMPTIONS!$D$59*(1+ASSUMPTIONS!$B$66),0),0)</f>
        <v/>
      </c>
      <c r="G29" s="313">
        <f>IFERROR(IF(6&gt;=ASSUMPTIONS!$C$59,ASSUMPTIONS!$D$59*(1+ASSUMPTIONS!$B$66),0),0)</f>
        <v/>
      </c>
      <c r="H29" s="313">
        <f>IFERROR(IF(7&gt;=ASSUMPTIONS!$C$59,ASSUMPTIONS!$D$59*(1+ASSUMPTIONS!$B$66),0),0)</f>
        <v/>
      </c>
      <c r="I29" s="313">
        <f>IFERROR(IF(8&gt;=ASSUMPTIONS!$C$59,ASSUMPTIONS!$D$59*(1+ASSUMPTIONS!$B$66),0),0)</f>
        <v/>
      </c>
      <c r="J29" s="313">
        <f>IFERROR(IF(9&gt;=ASSUMPTIONS!$C$59,ASSUMPTIONS!$D$59*(1+ASSUMPTIONS!$B$66),0),0)</f>
        <v/>
      </c>
      <c r="K29" s="313">
        <f>IFERROR(IF(10&gt;=ASSUMPTIONS!$C$59,ASSUMPTIONS!$D$59*(1+ASSUMPTIONS!$B$66),0),0)</f>
        <v/>
      </c>
      <c r="L29" s="313">
        <f>IFERROR(IF(11&gt;=ASSUMPTIONS!$C$59,ASSUMPTIONS!$D$59*(1+ASSUMPTIONS!$B$66),0),0)</f>
        <v/>
      </c>
      <c r="M29" s="313">
        <f>IFERROR(IF(12&gt;=ASSUMPTIONS!$C$59,ASSUMPTIONS!$D$59*(1+ASSUMPTIONS!$B$66),0),0)</f>
        <v/>
      </c>
      <c r="N29" s="314">
        <f>SUM(B29:M29)</f>
        <v/>
      </c>
      <c r="O29" s="313">
        <f>IFERROR(IF(13&gt;=ASSUMPTIONS!$C$59,ASSUMPTIONS!$D$59*(1+ASSUMPTIONS!$B$66),0),0)</f>
        <v/>
      </c>
      <c r="P29" s="313">
        <f>IFERROR(IF(14&gt;=ASSUMPTIONS!$C$59,ASSUMPTIONS!$D$59*(1+ASSUMPTIONS!$B$66),0),0)</f>
        <v/>
      </c>
      <c r="Q29" s="313">
        <f>IFERROR(IF(15&gt;=ASSUMPTIONS!$C$59,ASSUMPTIONS!$D$59*(1+ASSUMPTIONS!$B$66),0),0)</f>
        <v/>
      </c>
      <c r="R29" s="313">
        <f>IFERROR(IF(16&gt;=ASSUMPTIONS!$C$59,ASSUMPTIONS!$D$59*(1+ASSUMPTIONS!$B$66),0),0)</f>
        <v/>
      </c>
      <c r="S29" s="313">
        <f>IFERROR(IF(17&gt;=ASSUMPTIONS!$C$59,ASSUMPTIONS!$D$59*(1+ASSUMPTIONS!$B$66),0),0)</f>
        <v/>
      </c>
      <c r="T29" s="313">
        <f>IFERROR(IF(18&gt;=ASSUMPTIONS!$C$59,ASSUMPTIONS!$D$59*(1+ASSUMPTIONS!$B$66),0),0)</f>
        <v/>
      </c>
      <c r="U29" s="313">
        <f>IFERROR(IF(19&gt;=ASSUMPTIONS!$C$59,ASSUMPTIONS!$D$59*(1+ASSUMPTIONS!$B$66),0),0)</f>
        <v/>
      </c>
      <c r="V29" s="313">
        <f>IFERROR(IF(20&gt;=ASSUMPTIONS!$C$59,ASSUMPTIONS!$D$59*(1+ASSUMPTIONS!$B$66),0),0)</f>
        <v/>
      </c>
      <c r="W29" s="313">
        <f>IFERROR(IF(21&gt;=ASSUMPTIONS!$C$59,ASSUMPTIONS!$D$59*(1+ASSUMPTIONS!$B$66),0),0)</f>
        <v/>
      </c>
      <c r="X29" s="313">
        <f>IFERROR(IF(22&gt;=ASSUMPTIONS!$C$59,ASSUMPTIONS!$D$59*(1+ASSUMPTIONS!$B$66),0),0)</f>
        <v/>
      </c>
      <c r="Y29" s="313">
        <f>IFERROR(IF(23&gt;=ASSUMPTIONS!$C$59,ASSUMPTIONS!$D$59*(1+ASSUMPTIONS!$B$66),0),0)</f>
        <v/>
      </c>
      <c r="Z29" s="313">
        <f>IFERROR(IF(24&gt;=ASSUMPTIONS!$C$59,ASSUMPTIONS!$D$59*(1+ASSUMPTIONS!$B$66),0),0)</f>
        <v/>
      </c>
      <c r="AA29" s="314">
        <f>SUM(O29:Z29)</f>
        <v/>
      </c>
      <c r="AB29" s="313">
        <f>IFERROR(IF(25&gt;=ASSUMPTIONS!$C$59,ASSUMPTIONS!$D$59*(1+ASSUMPTIONS!$B$66),0),0)</f>
        <v/>
      </c>
      <c r="AC29" s="313">
        <f>IFERROR(IF(26&gt;=ASSUMPTIONS!$C$59,ASSUMPTIONS!$D$59*(1+ASSUMPTIONS!$B$66),0),0)</f>
        <v/>
      </c>
      <c r="AD29" s="313">
        <f>IFERROR(IF(27&gt;=ASSUMPTIONS!$C$59,ASSUMPTIONS!$D$59*(1+ASSUMPTIONS!$B$66),0),0)</f>
        <v/>
      </c>
      <c r="AE29" s="313">
        <f>IFERROR(IF(28&gt;=ASSUMPTIONS!$C$59,ASSUMPTIONS!$D$59*(1+ASSUMPTIONS!$B$66),0),0)</f>
        <v/>
      </c>
      <c r="AF29" s="313">
        <f>IFERROR(IF(29&gt;=ASSUMPTIONS!$C$59,ASSUMPTIONS!$D$59*(1+ASSUMPTIONS!$B$66),0),0)</f>
        <v/>
      </c>
      <c r="AG29" s="313">
        <f>IFERROR(IF(30&gt;=ASSUMPTIONS!$C$59,ASSUMPTIONS!$D$59*(1+ASSUMPTIONS!$B$66),0),0)</f>
        <v/>
      </c>
      <c r="AH29" s="313">
        <f>IFERROR(IF(31&gt;=ASSUMPTIONS!$C$59,ASSUMPTIONS!$D$59*(1+ASSUMPTIONS!$B$66),0),0)</f>
        <v/>
      </c>
      <c r="AI29" s="313">
        <f>IFERROR(IF(32&gt;=ASSUMPTIONS!$C$59,ASSUMPTIONS!$D$59*(1+ASSUMPTIONS!$B$66),0),0)</f>
        <v/>
      </c>
      <c r="AJ29" s="313">
        <f>IFERROR(IF(33&gt;=ASSUMPTIONS!$C$59,ASSUMPTIONS!$D$59*(1+ASSUMPTIONS!$B$66),0),0)</f>
        <v/>
      </c>
      <c r="AK29" s="313">
        <f>IFERROR(IF(34&gt;=ASSUMPTIONS!$C$59,ASSUMPTIONS!$D$59*(1+ASSUMPTIONS!$B$66),0),0)</f>
        <v/>
      </c>
      <c r="AL29" s="313">
        <f>IFERROR(IF(35&gt;=ASSUMPTIONS!$C$59,ASSUMPTIONS!$D$59*(1+ASSUMPTIONS!$B$66),0),0)</f>
        <v/>
      </c>
      <c r="AM29" s="313">
        <f>IFERROR(IF(36&gt;=ASSUMPTIONS!$C$59,ASSUMPTIONS!$D$59*(1+ASSUMPTIONS!$B$66),0),0)</f>
        <v/>
      </c>
      <c r="AN29" s="314">
        <f>SUM(AB29:AM29)</f>
        <v/>
      </c>
      <c r="AO29" s="313">
        <f>IFERROR(IF(37&gt;=ASSUMPTIONS!$C$59,ASSUMPTIONS!$D$59*(1+ASSUMPTIONS!$B$66),0),0)</f>
        <v/>
      </c>
      <c r="AP29" s="313">
        <f>IFERROR(IF(38&gt;=ASSUMPTIONS!$C$59,ASSUMPTIONS!$D$59*(1+ASSUMPTIONS!$B$66),0),0)</f>
        <v/>
      </c>
      <c r="AQ29" s="313">
        <f>IFERROR(IF(39&gt;=ASSUMPTIONS!$C$59,ASSUMPTIONS!$D$59*(1+ASSUMPTIONS!$B$66),0),0)</f>
        <v/>
      </c>
      <c r="AR29" s="313">
        <f>IFERROR(IF(40&gt;=ASSUMPTIONS!$C$59,ASSUMPTIONS!$D$59*(1+ASSUMPTIONS!$B$66),0),0)</f>
        <v/>
      </c>
      <c r="AS29" s="313">
        <f>IFERROR(IF(41&gt;=ASSUMPTIONS!$C$59,ASSUMPTIONS!$D$59*(1+ASSUMPTIONS!$B$66),0),0)</f>
        <v/>
      </c>
      <c r="AT29" s="313">
        <f>IFERROR(IF(42&gt;=ASSUMPTIONS!$C$59,ASSUMPTIONS!$D$59*(1+ASSUMPTIONS!$B$66),0),0)</f>
        <v/>
      </c>
      <c r="AU29" s="313">
        <f>IFERROR(IF(43&gt;=ASSUMPTIONS!$C$59,ASSUMPTIONS!$D$59*(1+ASSUMPTIONS!$B$66),0),0)</f>
        <v/>
      </c>
      <c r="AV29" s="313">
        <f>IFERROR(IF(44&gt;=ASSUMPTIONS!$C$59,ASSUMPTIONS!$D$59*(1+ASSUMPTIONS!$B$66),0),0)</f>
        <v/>
      </c>
      <c r="AW29" s="313">
        <f>IFERROR(IF(45&gt;=ASSUMPTIONS!$C$59,ASSUMPTIONS!$D$59*(1+ASSUMPTIONS!$B$66),0),0)</f>
        <v/>
      </c>
      <c r="AX29" s="313">
        <f>IFERROR(IF(46&gt;=ASSUMPTIONS!$C$59,ASSUMPTIONS!$D$59*(1+ASSUMPTIONS!$B$66),0),0)</f>
        <v/>
      </c>
      <c r="AY29" s="313">
        <f>IFERROR(IF(47&gt;=ASSUMPTIONS!$C$59,ASSUMPTIONS!$D$59*(1+ASSUMPTIONS!$B$66),0),0)</f>
        <v/>
      </c>
      <c r="AZ29" s="313">
        <f>IFERROR(IF(48&gt;=ASSUMPTIONS!$C$59,ASSUMPTIONS!$D$59*(1+ASSUMPTIONS!$B$66),0),0)</f>
        <v/>
      </c>
      <c r="BA29" s="290">
        <f>SUM(AO29:AZ29)</f>
        <v/>
      </c>
      <c r="BB29" s="313">
        <f>IFERROR(IF(49&gt;=ASSUMPTIONS!$C$59,ASSUMPTIONS!$D$59*(1+ASSUMPTIONS!$B$66),0),0)</f>
        <v/>
      </c>
      <c r="BC29" s="313">
        <f>IFERROR(IF(50&gt;=ASSUMPTIONS!$C$59,ASSUMPTIONS!$D$59*(1+ASSUMPTIONS!$B$66),0),0)</f>
        <v/>
      </c>
      <c r="BD29" s="313">
        <f>IFERROR(IF(51&gt;=ASSUMPTIONS!$C$59,ASSUMPTIONS!$D$59*(1+ASSUMPTIONS!$B$66),0),0)</f>
        <v/>
      </c>
      <c r="BE29" s="313">
        <f>IFERROR(IF(52&gt;=ASSUMPTIONS!$C$59,ASSUMPTIONS!$D$59*(1+ASSUMPTIONS!$B$66),0),0)</f>
        <v/>
      </c>
      <c r="BF29" s="313">
        <f>IFERROR(IF(53&gt;=ASSUMPTIONS!$C$59,ASSUMPTIONS!$D$59*(1+ASSUMPTIONS!$B$66),0),0)</f>
        <v/>
      </c>
      <c r="BG29" s="313">
        <f>IFERROR(IF(54&gt;=ASSUMPTIONS!$C$59,ASSUMPTIONS!$D$59*(1+ASSUMPTIONS!$B$66),0),0)</f>
        <v/>
      </c>
      <c r="BH29" s="313">
        <f>IFERROR(IF(55&gt;=ASSUMPTIONS!$C$59,ASSUMPTIONS!$D$59*(1+ASSUMPTIONS!$B$66),0),0)</f>
        <v/>
      </c>
      <c r="BI29" s="313">
        <f>IFERROR(IF(56&gt;=ASSUMPTIONS!$C$59,ASSUMPTIONS!$D$59*(1+ASSUMPTIONS!$B$66),0),0)</f>
        <v/>
      </c>
      <c r="BJ29" s="313">
        <f>IFERROR(IF(57&gt;=ASSUMPTIONS!$C$59,ASSUMPTIONS!$D$59*(1+ASSUMPTIONS!$B$66),0),0)</f>
        <v/>
      </c>
      <c r="BK29" s="313">
        <f>IFERROR(IF(58&gt;=ASSUMPTIONS!$C$59,ASSUMPTIONS!$D$59*(1+ASSUMPTIONS!$B$66),0),0)</f>
        <v/>
      </c>
      <c r="BL29" s="313">
        <f>IFERROR(IF(59&gt;=ASSUMPTIONS!$C$59,ASSUMPTIONS!$D$59*(1+ASSUMPTIONS!$B$66),0),0)</f>
        <v/>
      </c>
      <c r="BM29" s="313">
        <f>IFERROR(IF(60&gt;=ASSUMPTIONS!$C$59,ASSUMPTIONS!$D$59*(1+ASSUMPTIONS!$B$66),0),0)</f>
        <v/>
      </c>
      <c r="BN29" s="290">
        <f>SUM(BB29:BM29)</f>
        <v/>
      </c>
    </row>
    <row r="30" ht="19.5" customHeight="1" s="218">
      <c r="A30" s="317">
        <f>IFERROR(ASSUMPTIONS!B60,"(empty)")</f>
        <v/>
      </c>
      <c r="B30" s="313">
        <f>IFERROR(IF(1&gt;=ASSUMPTIONS!$C$60,ASSUMPTIONS!$D$60*(1+ASSUMPTIONS!$B$66),0),0)</f>
        <v/>
      </c>
      <c r="C30" s="313">
        <f>IFERROR(IF(2&gt;=ASSUMPTIONS!$C$60,ASSUMPTIONS!$D$60*(1+ASSUMPTIONS!$B$66),0),0)</f>
        <v/>
      </c>
      <c r="D30" s="313">
        <f>IFERROR(IF(3&gt;=ASSUMPTIONS!$C$60,ASSUMPTIONS!$D$60*(1+ASSUMPTIONS!$B$66),0),0)</f>
        <v/>
      </c>
      <c r="E30" s="313">
        <f>IFERROR(IF(4&gt;=ASSUMPTIONS!$C$60,ASSUMPTIONS!$D$60*(1+ASSUMPTIONS!$B$66),0),0)</f>
        <v/>
      </c>
      <c r="F30" s="313">
        <f>IFERROR(IF(5&gt;=ASSUMPTIONS!$C$60,ASSUMPTIONS!$D$60*(1+ASSUMPTIONS!$B$66),0),0)</f>
        <v/>
      </c>
      <c r="G30" s="313">
        <f>IFERROR(IF(6&gt;=ASSUMPTIONS!$C$60,ASSUMPTIONS!$D$60*(1+ASSUMPTIONS!$B$66),0),0)</f>
        <v/>
      </c>
      <c r="H30" s="313">
        <f>IFERROR(IF(7&gt;=ASSUMPTIONS!$C$60,ASSUMPTIONS!$D$60*(1+ASSUMPTIONS!$B$66),0),0)</f>
        <v/>
      </c>
      <c r="I30" s="313">
        <f>IFERROR(IF(8&gt;=ASSUMPTIONS!$C$60,ASSUMPTIONS!$D$60*(1+ASSUMPTIONS!$B$66),0),0)</f>
        <v/>
      </c>
      <c r="J30" s="313">
        <f>IFERROR(IF(9&gt;=ASSUMPTIONS!$C$60,ASSUMPTIONS!$D$60*(1+ASSUMPTIONS!$B$66),0),0)</f>
        <v/>
      </c>
      <c r="K30" s="313">
        <f>IFERROR(IF(10&gt;=ASSUMPTIONS!$C$60,ASSUMPTIONS!$D$60*(1+ASSUMPTIONS!$B$66),0),0)</f>
        <v/>
      </c>
      <c r="L30" s="313">
        <f>IFERROR(IF(11&gt;=ASSUMPTIONS!$C$60,ASSUMPTIONS!$D$60*(1+ASSUMPTIONS!$B$66),0),0)</f>
        <v/>
      </c>
      <c r="M30" s="313">
        <f>IFERROR(IF(12&gt;=ASSUMPTIONS!$C$60,ASSUMPTIONS!$D$60*(1+ASSUMPTIONS!$B$66),0),0)</f>
        <v/>
      </c>
      <c r="N30" s="314">
        <f>SUM(B30:M30)</f>
        <v/>
      </c>
      <c r="O30" s="313">
        <f>IFERROR(IF(13&gt;=ASSUMPTIONS!$C$60,ASSUMPTIONS!$D$60*(1+ASSUMPTIONS!$B$66),0),0)</f>
        <v/>
      </c>
      <c r="P30" s="313">
        <f>IFERROR(IF(14&gt;=ASSUMPTIONS!$C$60,ASSUMPTIONS!$D$60*(1+ASSUMPTIONS!$B$66),0),0)</f>
        <v/>
      </c>
      <c r="Q30" s="313">
        <f>IFERROR(IF(15&gt;=ASSUMPTIONS!$C$60,ASSUMPTIONS!$D$60*(1+ASSUMPTIONS!$B$66),0),0)</f>
        <v/>
      </c>
      <c r="R30" s="313">
        <f>IFERROR(IF(16&gt;=ASSUMPTIONS!$C$60,ASSUMPTIONS!$D$60*(1+ASSUMPTIONS!$B$66),0),0)</f>
        <v/>
      </c>
      <c r="S30" s="313">
        <f>IFERROR(IF(17&gt;=ASSUMPTIONS!$C$60,ASSUMPTIONS!$D$60*(1+ASSUMPTIONS!$B$66),0),0)</f>
        <v/>
      </c>
      <c r="T30" s="313">
        <f>IFERROR(IF(18&gt;=ASSUMPTIONS!$C$60,ASSUMPTIONS!$D$60*(1+ASSUMPTIONS!$B$66),0),0)</f>
        <v/>
      </c>
      <c r="U30" s="313">
        <f>IFERROR(IF(19&gt;=ASSUMPTIONS!$C$60,ASSUMPTIONS!$D$60*(1+ASSUMPTIONS!$B$66),0),0)</f>
        <v/>
      </c>
      <c r="V30" s="313">
        <f>IFERROR(IF(20&gt;=ASSUMPTIONS!$C$60,ASSUMPTIONS!$D$60*(1+ASSUMPTIONS!$B$66),0),0)</f>
        <v/>
      </c>
      <c r="W30" s="313">
        <f>IFERROR(IF(21&gt;=ASSUMPTIONS!$C$60,ASSUMPTIONS!$D$60*(1+ASSUMPTIONS!$B$66),0),0)</f>
        <v/>
      </c>
      <c r="X30" s="313">
        <f>IFERROR(IF(22&gt;=ASSUMPTIONS!$C$60,ASSUMPTIONS!$D$60*(1+ASSUMPTIONS!$B$66),0),0)</f>
        <v/>
      </c>
      <c r="Y30" s="313">
        <f>IFERROR(IF(23&gt;=ASSUMPTIONS!$C$60,ASSUMPTIONS!$D$60*(1+ASSUMPTIONS!$B$66),0),0)</f>
        <v/>
      </c>
      <c r="Z30" s="313">
        <f>IFERROR(IF(24&gt;=ASSUMPTIONS!$C$60,ASSUMPTIONS!$D$60*(1+ASSUMPTIONS!$B$66),0),0)</f>
        <v/>
      </c>
      <c r="AA30" s="314">
        <f>SUM(O30:Z30)</f>
        <v/>
      </c>
      <c r="AB30" s="313">
        <f>IFERROR(IF(25&gt;=ASSUMPTIONS!$C$60,ASSUMPTIONS!$D$60*(1+ASSUMPTIONS!$B$66),0),0)</f>
        <v/>
      </c>
      <c r="AC30" s="313">
        <f>IFERROR(IF(26&gt;=ASSUMPTIONS!$C$60,ASSUMPTIONS!$D$60*(1+ASSUMPTIONS!$B$66),0),0)</f>
        <v/>
      </c>
      <c r="AD30" s="313">
        <f>IFERROR(IF(27&gt;=ASSUMPTIONS!$C$60,ASSUMPTIONS!$D$60*(1+ASSUMPTIONS!$B$66),0),0)</f>
        <v/>
      </c>
      <c r="AE30" s="313">
        <f>IFERROR(IF(28&gt;=ASSUMPTIONS!$C$60,ASSUMPTIONS!$D$60*(1+ASSUMPTIONS!$B$66),0),0)</f>
        <v/>
      </c>
      <c r="AF30" s="313">
        <f>IFERROR(IF(29&gt;=ASSUMPTIONS!$C$60,ASSUMPTIONS!$D$60*(1+ASSUMPTIONS!$B$66),0),0)</f>
        <v/>
      </c>
      <c r="AG30" s="313">
        <f>IFERROR(IF(30&gt;=ASSUMPTIONS!$C$60,ASSUMPTIONS!$D$60*(1+ASSUMPTIONS!$B$66),0),0)</f>
        <v/>
      </c>
      <c r="AH30" s="313">
        <f>IFERROR(IF(31&gt;=ASSUMPTIONS!$C$60,ASSUMPTIONS!$D$60*(1+ASSUMPTIONS!$B$66),0),0)</f>
        <v/>
      </c>
      <c r="AI30" s="313">
        <f>IFERROR(IF(32&gt;=ASSUMPTIONS!$C$60,ASSUMPTIONS!$D$60*(1+ASSUMPTIONS!$B$66),0),0)</f>
        <v/>
      </c>
      <c r="AJ30" s="313">
        <f>IFERROR(IF(33&gt;=ASSUMPTIONS!$C$60,ASSUMPTIONS!$D$60*(1+ASSUMPTIONS!$B$66),0),0)</f>
        <v/>
      </c>
      <c r="AK30" s="313">
        <f>IFERROR(IF(34&gt;=ASSUMPTIONS!$C$60,ASSUMPTIONS!$D$60*(1+ASSUMPTIONS!$B$66),0),0)</f>
        <v/>
      </c>
      <c r="AL30" s="313">
        <f>IFERROR(IF(35&gt;=ASSUMPTIONS!$C$60,ASSUMPTIONS!$D$60*(1+ASSUMPTIONS!$B$66),0),0)</f>
        <v/>
      </c>
      <c r="AM30" s="313">
        <f>IFERROR(IF(36&gt;=ASSUMPTIONS!$C$60,ASSUMPTIONS!$D$60*(1+ASSUMPTIONS!$B$66),0),0)</f>
        <v/>
      </c>
      <c r="AN30" s="314">
        <f>SUM(AB30:AM30)</f>
        <v/>
      </c>
      <c r="AO30" s="313">
        <f>IFERROR(IF(37&gt;=ASSUMPTIONS!$C$60,ASSUMPTIONS!$D$60*(1+ASSUMPTIONS!$B$66),0),0)</f>
        <v/>
      </c>
      <c r="AP30" s="313">
        <f>IFERROR(IF(38&gt;=ASSUMPTIONS!$C$60,ASSUMPTIONS!$D$60*(1+ASSUMPTIONS!$B$66),0),0)</f>
        <v/>
      </c>
      <c r="AQ30" s="313">
        <f>IFERROR(IF(39&gt;=ASSUMPTIONS!$C$60,ASSUMPTIONS!$D$60*(1+ASSUMPTIONS!$B$66),0),0)</f>
        <v/>
      </c>
      <c r="AR30" s="313">
        <f>IFERROR(IF(40&gt;=ASSUMPTIONS!$C$60,ASSUMPTIONS!$D$60*(1+ASSUMPTIONS!$B$66),0),0)</f>
        <v/>
      </c>
      <c r="AS30" s="313">
        <f>IFERROR(IF(41&gt;=ASSUMPTIONS!$C$60,ASSUMPTIONS!$D$60*(1+ASSUMPTIONS!$B$66),0),0)</f>
        <v/>
      </c>
      <c r="AT30" s="313">
        <f>IFERROR(IF(42&gt;=ASSUMPTIONS!$C$60,ASSUMPTIONS!$D$60*(1+ASSUMPTIONS!$B$66),0),0)</f>
        <v/>
      </c>
      <c r="AU30" s="313">
        <f>IFERROR(IF(43&gt;=ASSUMPTIONS!$C$60,ASSUMPTIONS!$D$60*(1+ASSUMPTIONS!$B$66),0),0)</f>
        <v/>
      </c>
      <c r="AV30" s="313">
        <f>IFERROR(IF(44&gt;=ASSUMPTIONS!$C$60,ASSUMPTIONS!$D$60*(1+ASSUMPTIONS!$B$66),0),0)</f>
        <v/>
      </c>
      <c r="AW30" s="313">
        <f>IFERROR(IF(45&gt;=ASSUMPTIONS!$C$60,ASSUMPTIONS!$D$60*(1+ASSUMPTIONS!$B$66),0),0)</f>
        <v/>
      </c>
      <c r="AX30" s="313">
        <f>IFERROR(IF(46&gt;=ASSUMPTIONS!$C$60,ASSUMPTIONS!$D$60*(1+ASSUMPTIONS!$B$66),0),0)</f>
        <v/>
      </c>
      <c r="AY30" s="313">
        <f>IFERROR(IF(47&gt;=ASSUMPTIONS!$C$60,ASSUMPTIONS!$D$60*(1+ASSUMPTIONS!$B$66),0),0)</f>
        <v/>
      </c>
      <c r="AZ30" s="313">
        <f>IFERROR(IF(48&gt;=ASSUMPTIONS!$C$60,ASSUMPTIONS!$D$60*(1+ASSUMPTIONS!$B$66),0),0)</f>
        <v/>
      </c>
      <c r="BA30" s="290">
        <f>SUM(AO30:AZ30)</f>
        <v/>
      </c>
      <c r="BB30" s="313">
        <f>IFERROR(IF(49&gt;=ASSUMPTIONS!$C$60,ASSUMPTIONS!$D$60*(1+ASSUMPTIONS!$B$66),0),0)</f>
        <v/>
      </c>
      <c r="BC30" s="313">
        <f>IFERROR(IF(50&gt;=ASSUMPTIONS!$C$60,ASSUMPTIONS!$D$60*(1+ASSUMPTIONS!$B$66),0),0)</f>
        <v/>
      </c>
      <c r="BD30" s="313">
        <f>IFERROR(IF(51&gt;=ASSUMPTIONS!$C$60,ASSUMPTIONS!$D$60*(1+ASSUMPTIONS!$B$66),0),0)</f>
        <v/>
      </c>
      <c r="BE30" s="313">
        <f>IFERROR(IF(52&gt;=ASSUMPTIONS!$C$60,ASSUMPTIONS!$D$60*(1+ASSUMPTIONS!$B$66),0),0)</f>
        <v/>
      </c>
      <c r="BF30" s="313">
        <f>IFERROR(IF(53&gt;=ASSUMPTIONS!$C$60,ASSUMPTIONS!$D$60*(1+ASSUMPTIONS!$B$66),0),0)</f>
        <v/>
      </c>
      <c r="BG30" s="313">
        <f>IFERROR(IF(54&gt;=ASSUMPTIONS!$C$60,ASSUMPTIONS!$D$60*(1+ASSUMPTIONS!$B$66),0),0)</f>
        <v/>
      </c>
      <c r="BH30" s="313">
        <f>IFERROR(IF(55&gt;=ASSUMPTIONS!$C$60,ASSUMPTIONS!$D$60*(1+ASSUMPTIONS!$B$66),0),0)</f>
        <v/>
      </c>
      <c r="BI30" s="313">
        <f>IFERROR(IF(56&gt;=ASSUMPTIONS!$C$60,ASSUMPTIONS!$D$60*(1+ASSUMPTIONS!$B$66),0),0)</f>
        <v/>
      </c>
      <c r="BJ30" s="313">
        <f>IFERROR(IF(57&gt;=ASSUMPTIONS!$C$60,ASSUMPTIONS!$D$60*(1+ASSUMPTIONS!$B$66),0),0)</f>
        <v/>
      </c>
      <c r="BK30" s="313">
        <f>IFERROR(IF(58&gt;=ASSUMPTIONS!$C$60,ASSUMPTIONS!$D$60*(1+ASSUMPTIONS!$B$66),0),0)</f>
        <v/>
      </c>
      <c r="BL30" s="313">
        <f>IFERROR(IF(59&gt;=ASSUMPTIONS!$C$60,ASSUMPTIONS!$D$60*(1+ASSUMPTIONS!$B$66),0),0)</f>
        <v/>
      </c>
      <c r="BM30" s="313">
        <f>IFERROR(IF(60&gt;=ASSUMPTIONS!$C$60,ASSUMPTIONS!$D$60*(1+ASSUMPTIONS!$B$66),0),0)</f>
        <v/>
      </c>
      <c r="BN30" s="290">
        <f>SUM(BB30:BM30)</f>
        <v/>
      </c>
    </row>
    <row r="31" ht="19.5" customHeight="1" s="218">
      <c r="A31" s="317">
        <f>IFERROR(ASSUMPTIONS!B61,"(empty)")</f>
        <v/>
      </c>
      <c r="B31" s="313">
        <f>IFERROR(IF(1&gt;=ASSUMPTIONS!$C$61,ASSUMPTIONS!$D$61*(1+ASSUMPTIONS!$B$66),0),0)</f>
        <v/>
      </c>
      <c r="C31" s="313">
        <f>IFERROR(IF(2&gt;=ASSUMPTIONS!$C$61,ASSUMPTIONS!$D$61*(1+ASSUMPTIONS!$B$66),0),0)</f>
        <v/>
      </c>
      <c r="D31" s="313">
        <f>IFERROR(IF(3&gt;=ASSUMPTIONS!$C$61,ASSUMPTIONS!$D$61*(1+ASSUMPTIONS!$B$66),0),0)</f>
        <v/>
      </c>
      <c r="E31" s="313">
        <f>IFERROR(IF(4&gt;=ASSUMPTIONS!$C$61,ASSUMPTIONS!$D$61*(1+ASSUMPTIONS!$B$66),0),0)</f>
        <v/>
      </c>
      <c r="F31" s="313">
        <f>IFERROR(IF(5&gt;=ASSUMPTIONS!$C$61,ASSUMPTIONS!$D$61*(1+ASSUMPTIONS!$B$66),0),0)</f>
        <v/>
      </c>
      <c r="G31" s="313">
        <f>IFERROR(IF(6&gt;=ASSUMPTIONS!$C$61,ASSUMPTIONS!$D$61*(1+ASSUMPTIONS!$B$66),0),0)</f>
        <v/>
      </c>
      <c r="H31" s="313">
        <f>IFERROR(IF(7&gt;=ASSUMPTIONS!$C$61,ASSUMPTIONS!$D$61*(1+ASSUMPTIONS!$B$66),0),0)</f>
        <v/>
      </c>
      <c r="I31" s="313">
        <f>IFERROR(IF(8&gt;=ASSUMPTIONS!$C$61,ASSUMPTIONS!$D$61*(1+ASSUMPTIONS!$B$66),0),0)</f>
        <v/>
      </c>
      <c r="J31" s="313">
        <f>IFERROR(IF(9&gt;=ASSUMPTIONS!$C$61,ASSUMPTIONS!$D$61*(1+ASSUMPTIONS!$B$66),0),0)</f>
        <v/>
      </c>
      <c r="K31" s="313">
        <f>IFERROR(IF(10&gt;=ASSUMPTIONS!$C$61,ASSUMPTIONS!$D$61*(1+ASSUMPTIONS!$B$66),0),0)</f>
        <v/>
      </c>
      <c r="L31" s="313">
        <f>IFERROR(IF(11&gt;=ASSUMPTIONS!$C$61,ASSUMPTIONS!$D$61*(1+ASSUMPTIONS!$B$66),0),0)</f>
        <v/>
      </c>
      <c r="M31" s="313">
        <f>IFERROR(IF(12&gt;=ASSUMPTIONS!$C$61,ASSUMPTIONS!$D$61*(1+ASSUMPTIONS!$B$66),0),0)</f>
        <v/>
      </c>
      <c r="N31" s="314">
        <f>SUM(B31:M31)</f>
        <v/>
      </c>
      <c r="O31" s="313">
        <f>IFERROR(IF(13&gt;=ASSUMPTIONS!$C$61,ASSUMPTIONS!$D$61*(1+ASSUMPTIONS!$B$66),0),0)</f>
        <v/>
      </c>
      <c r="P31" s="313">
        <f>IFERROR(IF(14&gt;=ASSUMPTIONS!$C$61,ASSUMPTIONS!$D$61*(1+ASSUMPTIONS!$B$66),0),0)</f>
        <v/>
      </c>
      <c r="Q31" s="313">
        <f>IFERROR(IF(15&gt;=ASSUMPTIONS!$C$61,ASSUMPTIONS!$D$61*(1+ASSUMPTIONS!$B$66),0),0)</f>
        <v/>
      </c>
      <c r="R31" s="313">
        <f>IFERROR(IF(16&gt;=ASSUMPTIONS!$C$61,ASSUMPTIONS!$D$61*(1+ASSUMPTIONS!$B$66),0),0)</f>
        <v/>
      </c>
      <c r="S31" s="313">
        <f>IFERROR(IF(17&gt;=ASSUMPTIONS!$C$61,ASSUMPTIONS!$D$61*(1+ASSUMPTIONS!$B$66),0),0)</f>
        <v/>
      </c>
      <c r="T31" s="313">
        <f>IFERROR(IF(18&gt;=ASSUMPTIONS!$C$61,ASSUMPTIONS!$D$61*(1+ASSUMPTIONS!$B$66),0),0)</f>
        <v/>
      </c>
      <c r="U31" s="313">
        <f>IFERROR(IF(19&gt;=ASSUMPTIONS!$C$61,ASSUMPTIONS!$D$61*(1+ASSUMPTIONS!$B$66),0),0)</f>
        <v/>
      </c>
      <c r="V31" s="313">
        <f>IFERROR(IF(20&gt;=ASSUMPTIONS!$C$61,ASSUMPTIONS!$D$61*(1+ASSUMPTIONS!$B$66),0),0)</f>
        <v/>
      </c>
      <c r="W31" s="313">
        <f>IFERROR(IF(21&gt;=ASSUMPTIONS!$C$61,ASSUMPTIONS!$D$61*(1+ASSUMPTIONS!$B$66),0),0)</f>
        <v/>
      </c>
      <c r="X31" s="313">
        <f>IFERROR(IF(22&gt;=ASSUMPTIONS!$C$61,ASSUMPTIONS!$D$61*(1+ASSUMPTIONS!$B$66),0),0)</f>
        <v/>
      </c>
      <c r="Y31" s="313">
        <f>IFERROR(IF(23&gt;=ASSUMPTIONS!$C$61,ASSUMPTIONS!$D$61*(1+ASSUMPTIONS!$B$66),0),0)</f>
        <v/>
      </c>
      <c r="Z31" s="313">
        <f>IFERROR(IF(24&gt;=ASSUMPTIONS!$C$61,ASSUMPTIONS!$D$61*(1+ASSUMPTIONS!$B$66),0),0)</f>
        <v/>
      </c>
      <c r="AA31" s="314">
        <f>SUM(O31:Z31)</f>
        <v/>
      </c>
      <c r="AB31" s="313">
        <f>IFERROR(IF(25&gt;=ASSUMPTIONS!$C$61,ASSUMPTIONS!$D$61*(1+ASSUMPTIONS!$B$66),0),0)</f>
        <v/>
      </c>
      <c r="AC31" s="313">
        <f>IFERROR(IF(26&gt;=ASSUMPTIONS!$C$61,ASSUMPTIONS!$D$61*(1+ASSUMPTIONS!$B$66),0),0)</f>
        <v/>
      </c>
      <c r="AD31" s="313">
        <f>IFERROR(IF(27&gt;=ASSUMPTIONS!$C$61,ASSUMPTIONS!$D$61*(1+ASSUMPTIONS!$B$66),0),0)</f>
        <v/>
      </c>
      <c r="AE31" s="313">
        <f>IFERROR(IF(28&gt;=ASSUMPTIONS!$C$61,ASSUMPTIONS!$D$61*(1+ASSUMPTIONS!$B$66),0),0)</f>
        <v/>
      </c>
      <c r="AF31" s="313">
        <f>IFERROR(IF(29&gt;=ASSUMPTIONS!$C$61,ASSUMPTIONS!$D$61*(1+ASSUMPTIONS!$B$66),0),0)</f>
        <v/>
      </c>
      <c r="AG31" s="313">
        <f>IFERROR(IF(30&gt;=ASSUMPTIONS!$C$61,ASSUMPTIONS!$D$61*(1+ASSUMPTIONS!$B$66),0),0)</f>
        <v/>
      </c>
      <c r="AH31" s="313">
        <f>IFERROR(IF(31&gt;=ASSUMPTIONS!$C$61,ASSUMPTIONS!$D$61*(1+ASSUMPTIONS!$B$66),0),0)</f>
        <v/>
      </c>
      <c r="AI31" s="313">
        <f>IFERROR(IF(32&gt;=ASSUMPTIONS!$C$61,ASSUMPTIONS!$D$61*(1+ASSUMPTIONS!$B$66),0),0)</f>
        <v/>
      </c>
      <c r="AJ31" s="313">
        <f>IFERROR(IF(33&gt;=ASSUMPTIONS!$C$61,ASSUMPTIONS!$D$61*(1+ASSUMPTIONS!$B$66),0),0)</f>
        <v/>
      </c>
      <c r="AK31" s="313">
        <f>IFERROR(IF(34&gt;=ASSUMPTIONS!$C$61,ASSUMPTIONS!$D$61*(1+ASSUMPTIONS!$B$66),0),0)</f>
        <v/>
      </c>
      <c r="AL31" s="313">
        <f>IFERROR(IF(35&gt;=ASSUMPTIONS!$C$61,ASSUMPTIONS!$D$61*(1+ASSUMPTIONS!$B$66),0),0)</f>
        <v/>
      </c>
      <c r="AM31" s="313">
        <f>IFERROR(IF(36&gt;=ASSUMPTIONS!$C$61,ASSUMPTIONS!$D$61*(1+ASSUMPTIONS!$B$66),0),0)</f>
        <v/>
      </c>
      <c r="AN31" s="314">
        <f>SUM(AB31:AM31)</f>
        <v/>
      </c>
      <c r="AO31" s="313">
        <f>IFERROR(IF(37&gt;=ASSUMPTIONS!$C$61,ASSUMPTIONS!$D$61*(1+ASSUMPTIONS!$B$66),0),0)</f>
        <v/>
      </c>
      <c r="AP31" s="313">
        <f>IFERROR(IF(38&gt;=ASSUMPTIONS!$C$61,ASSUMPTIONS!$D$61*(1+ASSUMPTIONS!$B$66),0),0)</f>
        <v/>
      </c>
      <c r="AQ31" s="313">
        <f>IFERROR(IF(39&gt;=ASSUMPTIONS!$C$61,ASSUMPTIONS!$D$61*(1+ASSUMPTIONS!$B$66),0),0)</f>
        <v/>
      </c>
      <c r="AR31" s="313">
        <f>IFERROR(IF(40&gt;=ASSUMPTIONS!$C$61,ASSUMPTIONS!$D$61*(1+ASSUMPTIONS!$B$66),0),0)</f>
        <v/>
      </c>
      <c r="AS31" s="313">
        <f>IFERROR(IF(41&gt;=ASSUMPTIONS!$C$61,ASSUMPTIONS!$D$61*(1+ASSUMPTIONS!$B$66),0),0)</f>
        <v/>
      </c>
      <c r="AT31" s="313">
        <f>IFERROR(IF(42&gt;=ASSUMPTIONS!$C$61,ASSUMPTIONS!$D$61*(1+ASSUMPTIONS!$B$66),0),0)</f>
        <v/>
      </c>
      <c r="AU31" s="313">
        <f>IFERROR(IF(43&gt;=ASSUMPTIONS!$C$61,ASSUMPTIONS!$D$61*(1+ASSUMPTIONS!$B$66),0),0)</f>
        <v/>
      </c>
      <c r="AV31" s="313">
        <f>IFERROR(IF(44&gt;=ASSUMPTIONS!$C$61,ASSUMPTIONS!$D$61*(1+ASSUMPTIONS!$B$66),0),0)</f>
        <v/>
      </c>
      <c r="AW31" s="313">
        <f>IFERROR(IF(45&gt;=ASSUMPTIONS!$C$61,ASSUMPTIONS!$D$61*(1+ASSUMPTIONS!$B$66),0),0)</f>
        <v/>
      </c>
      <c r="AX31" s="313">
        <f>IFERROR(IF(46&gt;=ASSUMPTIONS!$C$61,ASSUMPTIONS!$D$61*(1+ASSUMPTIONS!$B$66),0),0)</f>
        <v/>
      </c>
      <c r="AY31" s="313">
        <f>IFERROR(IF(47&gt;=ASSUMPTIONS!$C$61,ASSUMPTIONS!$D$61*(1+ASSUMPTIONS!$B$66),0),0)</f>
        <v/>
      </c>
      <c r="AZ31" s="313">
        <f>IFERROR(IF(48&gt;=ASSUMPTIONS!$C$61,ASSUMPTIONS!$D$61*(1+ASSUMPTIONS!$B$66),0),0)</f>
        <v/>
      </c>
      <c r="BA31" s="290">
        <f>SUM(AO31:AZ31)</f>
        <v/>
      </c>
      <c r="BB31" s="313">
        <f>IFERROR(IF(49&gt;=ASSUMPTIONS!$C$61,ASSUMPTIONS!$D$61*(1+ASSUMPTIONS!$B$66),0),0)</f>
        <v/>
      </c>
      <c r="BC31" s="313">
        <f>IFERROR(IF(50&gt;=ASSUMPTIONS!$C$61,ASSUMPTIONS!$D$61*(1+ASSUMPTIONS!$B$66),0),0)</f>
        <v/>
      </c>
      <c r="BD31" s="313">
        <f>IFERROR(IF(51&gt;=ASSUMPTIONS!$C$61,ASSUMPTIONS!$D$61*(1+ASSUMPTIONS!$B$66),0),0)</f>
        <v/>
      </c>
      <c r="BE31" s="313">
        <f>IFERROR(IF(52&gt;=ASSUMPTIONS!$C$61,ASSUMPTIONS!$D$61*(1+ASSUMPTIONS!$B$66),0),0)</f>
        <v/>
      </c>
      <c r="BF31" s="313">
        <f>IFERROR(IF(53&gt;=ASSUMPTIONS!$C$61,ASSUMPTIONS!$D$61*(1+ASSUMPTIONS!$B$66),0),0)</f>
        <v/>
      </c>
      <c r="BG31" s="313">
        <f>IFERROR(IF(54&gt;=ASSUMPTIONS!$C$61,ASSUMPTIONS!$D$61*(1+ASSUMPTIONS!$B$66),0),0)</f>
        <v/>
      </c>
      <c r="BH31" s="313">
        <f>IFERROR(IF(55&gt;=ASSUMPTIONS!$C$61,ASSUMPTIONS!$D$61*(1+ASSUMPTIONS!$B$66),0),0)</f>
        <v/>
      </c>
      <c r="BI31" s="313">
        <f>IFERROR(IF(56&gt;=ASSUMPTIONS!$C$61,ASSUMPTIONS!$D$61*(1+ASSUMPTIONS!$B$66),0),0)</f>
        <v/>
      </c>
      <c r="BJ31" s="313">
        <f>IFERROR(IF(57&gt;=ASSUMPTIONS!$C$61,ASSUMPTIONS!$D$61*(1+ASSUMPTIONS!$B$66),0),0)</f>
        <v/>
      </c>
      <c r="BK31" s="313">
        <f>IFERROR(IF(58&gt;=ASSUMPTIONS!$C$61,ASSUMPTIONS!$D$61*(1+ASSUMPTIONS!$B$66),0),0)</f>
        <v/>
      </c>
      <c r="BL31" s="313">
        <f>IFERROR(IF(59&gt;=ASSUMPTIONS!$C$61,ASSUMPTIONS!$D$61*(1+ASSUMPTIONS!$B$66),0),0)</f>
        <v/>
      </c>
      <c r="BM31" s="313">
        <f>IFERROR(IF(60&gt;=ASSUMPTIONS!$C$61,ASSUMPTIONS!$D$61*(1+ASSUMPTIONS!$B$66),0),0)</f>
        <v/>
      </c>
      <c r="BN31" s="290">
        <f>SUM(BB31:BM31)</f>
        <v/>
      </c>
    </row>
    <row r="32" ht="19.5" customHeight="1" s="218">
      <c r="A32" s="315" t="inlineStr">
        <is>
          <t>MARKETING — TOTAL (£)</t>
        </is>
      </c>
      <c r="B32" s="295">
        <f>SUM(B29:B31)</f>
        <v/>
      </c>
      <c r="C32" s="295">
        <f>SUM(C29:C31)</f>
        <v/>
      </c>
      <c r="D32" s="295">
        <f>SUM(D29:D31)</f>
        <v/>
      </c>
      <c r="E32" s="295">
        <f>SUM(E29:E31)</f>
        <v/>
      </c>
      <c r="F32" s="295">
        <f>SUM(F29:F31)</f>
        <v/>
      </c>
      <c r="G32" s="295">
        <f>SUM(G29:G31)</f>
        <v/>
      </c>
      <c r="H32" s="295">
        <f>SUM(H29:H31)</f>
        <v/>
      </c>
      <c r="I32" s="295">
        <f>SUM(I29:I31)</f>
        <v/>
      </c>
      <c r="J32" s="295">
        <f>SUM(J29:J31)</f>
        <v/>
      </c>
      <c r="K32" s="295">
        <f>SUM(K29:K31)</f>
        <v/>
      </c>
      <c r="L32" s="295">
        <f>SUM(L29:L31)</f>
        <v/>
      </c>
      <c r="M32" s="295">
        <f>SUM(M29:M31)</f>
        <v/>
      </c>
      <c r="N32" s="295">
        <f>SUM(B32:M32)</f>
        <v/>
      </c>
      <c r="O32" s="295">
        <f>SUM(O29:O31)</f>
        <v/>
      </c>
      <c r="P32" s="295">
        <f>SUM(P29:P31)</f>
        <v/>
      </c>
      <c r="Q32" s="295">
        <f>SUM(Q29:Q31)</f>
        <v/>
      </c>
      <c r="R32" s="295">
        <f>SUM(R29:R31)</f>
        <v/>
      </c>
      <c r="S32" s="295">
        <f>SUM(S29:S31)</f>
        <v/>
      </c>
      <c r="T32" s="295">
        <f>SUM(T29:T31)</f>
        <v/>
      </c>
      <c r="U32" s="295">
        <f>SUM(U29:U31)</f>
        <v/>
      </c>
      <c r="V32" s="295">
        <f>SUM(V29:V31)</f>
        <v/>
      </c>
      <c r="W32" s="295">
        <f>SUM(W29:W31)</f>
        <v/>
      </c>
      <c r="X32" s="295">
        <f>SUM(X29:X31)</f>
        <v/>
      </c>
      <c r="Y32" s="295">
        <f>SUM(Y29:Y31)</f>
        <v/>
      </c>
      <c r="Z32" s="295">
        <f>SUM(Z29:Z31)</f>
        <v/>
      </c>
      <c r="AA32" s="295">
        <f>SUM(O32:Z32)</f>
        <v/>
      </c>
      <c r="AB32" s="295">
        <f>SUM(AB29:AB31)</f>
        <v/>
      </c>
      <c r="AC32" s="295">
        <f>SUM(AC29:AC31)</f>
        <v/>
      </c>
      <c r="AD32" s="295">
        <f>SUM(AD29:AD31)</f>
        <v/>
      </c>
      <c r="AE32" s="295">
        <f>SUM(AE29:AE31)</f>
        <v/>
      </c>
      <c r="AF32" s="295">
        <f>SUM(AF29:AF31)</f>
        <v/>
      </c>
      <c r="AG32" s="295">
        <f>SUM(AG29:AG31)</f>
        <v/>
      </c>
      <c r="AH32" s="295">
        <f>SUM(AH29:AH31)</f>
        <v/>
      </c>
      <c r="AI32" s="295">
        <f>SUM(AI29:AI31)</f>
        <v/>
      </c>
      <c r="AJ32" s="295">
        <f>SUM(AJ29:AJ31)</f>
        <v/>
      </c>
      <c r="AK32" s="295">
        <f>SUM(AK29:AK31)</f>
        <v/>
      </c>
      <c r="AL32" s="295">
        <f>SUM(AL29:AL31)</f>
        <v/>
      </c>
      <c r="AM32" s="295">
        <f>SUM(AM29:AM31)</f>
        <v/>
      </c>
      <c r="AN32" s="295">
        <f>SUM(AB32:AM32)</f>
        <v/>
      </c>
      <c r="AO32" s="295">
        <f>SUM(AO29:AO31)</f>
        <v/>
      </c>
      <c r="AP32" s="295">
        <f>SUM(AP29:AP31)</f>
        <v/>
      </c>
      <c r="AQ32" s="295">
        <f>SUM(AQ29:AQ31)</f>
        <v/>
      </c>
      <c r="AR32" s="295">
        <f>SUM(AR29:AR31)</f>
        <v/>
      </c>
      <c r="AS32" s="295">
        <f>SUM(AS29:AS31)</f>
        <v/>
      </c>
      <c r="AT32" s="295">
        <f>SUM(AT29:AT31)</f>
        <v/>
      </c>
      <c r="AU32" s="295">
        <f>SUM(AU29:AU31)</f>
        <v/>
      </c>
      <c r="AV32" s="295">
        <f>SUM(AV29:AV31)</f>
        <v/>
      </c>
      <c r="AW32" s="295">
        <f>SUM(AW29:AW31)</f>
        <v/>
      </c>
      <c r="AX32" s="295">
        <f>SUM(AX29:AX31)</f>
        <v/>
      </c>
      <c r="AY32" s="295">
        <f>SUM(AY29:AY31)</f>
        <v/>
      </c>
      <c r="AZ32" s="295">
        <f>SUM(AZ29:AZ31)</f>
        <v/>
      </c>
      <c r="BA32" s="296">
        <f>SUM(AO32:AZ32)</f>
        <v/>
      </c>
      <c r="BB32" s="295">
        <f>SUM(BB29:BB31)</f>
        <v/>
      </c>
      <c r="BC32" s="295">
        <f>SUM(BC29:BC31)</f>
        <v/>
      </c>
      <c r="BD32" s="295">
        <f>SUM(BD29:BD31)</f>
        <v/>
      </c>
      <c r="BE32" s="295">
        <f>SUM(BE29:BE31)</f>
        <v/>
      </c>
      <c r="BF32" s="295">
        <f>SUM(BF29:BF31)</f>
        <v/>
      </c>
      <c r="BG32" s="295">
        <f>SUM(BG29:BG31)</f>
        <v/>
      </c>
      <c r="BH32" s="295">
        <f>SUM(BH29:BH31)</f>
        <v/>
      </c>
      <c r="BI32" s="295">
        <f>SUM(BI29:BI31)</f>
        <v/>
      </c>
      <c r="BJ32" s="295">
        <f>SUM(BJ29:BJ31)</f>
        <v/>
      </c>
      <c r="BK32" s="295">
        <f>SUM(BK29:BK31)</f>
        <v/>
      </c>
      <c r="BL32" s="295">
        <f>SUM(BL29:BL31)</f>
        <v/>
      </c>
      <c r="BM32" s="295">
        <f>SUM(BM29:BM31)</f>
        <v/>
      </c>
      <c r="BN32" s="296">
        <f>SUM(BB32:BM32)</f>
        <v/>
      </c>
    </row>
    <row r="33" ht="6" customHeight="1" s="218">
      <c r="A33" s="297" t="n"/>
      <c r="B33" s="297" t="n"/>
      <c r="C33" s="297" t="n"/>
      <c r="D33" s="297" t="n"/>
      <c r="E33" s="297" t="n"/>
      <c r="F33" s="297" t="n"/>
      <c r="G33" s="297" t="n"/>
      <c r="H33" s="297" t="n"/>
      <c r="I33" s="297" t="n"/>
      <c r="J33" s="297" t="n"/>
      <c r="K33" s="297" t="n"/>
      <c r="L33" s="297" t="n"/>
      <c r="M33" s="297" t="n"/>
      <c r="N33" s="297" t="n"/>
      <c r="O33" s="297" t="n"/>
      <c r="P33" s="297" t="n"/>
      <c r="Q33" s="297" t="n"/>
      <c r="R33" s="297" t="n"/>
      <c r="S33" s="297" t="n"/>
      <c r="T33" s="297" t="n"/>
      <c r="U33" s="297" t="n"/>
      <c r="V33" s="297" t="n"/>
      <c r="W33" s="297" t="n"/>
      <c r="X33" s="297" t="n"/>
      <c r="Y33" s="297" t="n"/>
      <c r="Z33" s="297" t="n"/>
      <c r="AA33" s="297" t="n"/>
      <c r="AB33" s="297" t="n"/>
      <c r="AC33" s="297" t="n"/>
      <c r="AD33" s="297" t="n"/>
      <c r="AE33" s="297" t="n"/>
      <c r="AF33" s="297" t="n"/>
      <c r="AG33" s="297" t="n"/>
      <c r="AH33" s="297" t="n"/>
      <c r="AI33" s="297" t="n"/>
      <c r="AJ33" s="297" t="n"/>
      <c r="AK33" s="297" t="n"/>
      <c r="AL33" s="297" t="n"/>
      <c r="AM33" s="297" t="n"/>
      <c r="AN33" s="297" t="n"/>
      <c r="AO33" s="297" t="n"/>
      <c r="AP33" s="297" t="n"/>
      <c r="AQ33" s="297" t="n"/>
      <c r="AR33" s="297" t="n"/>
      <c r="AS33" s="297" t="n"/>
      <c r="AT33" s="297" t="n"/>
      <c r="AU33" s="297" t="n"/>
      <c r="AV33" s="297" t="n"/>
      <c r="AW33" s="297" t="n"/>
      <c r="AX33" s="297" t="n"/>
      <c r="AY33" s="297" t="n"/>
      <c r="AZ33" s="297" t="n"/>
      <c r="BA33" s="298" t="n"/>
      <c r="BB33" s="297" t="n"/>
      <c r="BC33" s="297" t="n"/>
      <c r="BD33" s="297" t="n"/>
      <c r="BE33" s="297" t="n"/>
      <c r="BF33" s="297" t="n"/>
      <c r="BG33" s="297" t="n"/>
      <c r="BH33" s="297" t="n"/>
      <c r="BI33" s="297" t="n"/>
      <c r="BJ33" s="297" t="n"/>
      <c r="BK33" s="297" t="n"/>
      <c r="BL33" s="297" t="n"/>
      <c r="BM33" s="297" t="n"/>
      <c r="BN33" s="298" t="n"/>
    </row>
    <row r="34" ht="19.5" customHeight="1" s="218">
      <c r="A34" s="299" t="inlineStr">
        <is>
          <t>CUSTOMER SUCCESS</t>
        </is>
      </c>
    </row>
    <row r="35" ht="19.5" customHeight="1" s="218">
      <c r="A35" s="318">
        <f>IFERROR(ASSUMPTIONS!B62,"(empty)")</f>
        <v/>
      </c>
      <c r="B35" s="313">
        <f>IFERROR(IF(1&gt;=ASSUMPTIONS!$C$62,ASSUMPTIONS!$D$62*(1+ASSUMPTIONS!$B$66),0),0)</f>
        <v/>
      </c>
      <c r="C35" s="313">
        <f>IFERROR(IF(2&gt;=ASSUMPTIONS!$C$62,ASSUMPTIONS!$D$62*(1+ASSUMPTIONS!$B$66),0),0)</f>
        <v/>
      </c>
      <c r="D35" s="313">
        <f>IFERROR(IF(3&gt;=ASSUMPTIONS!$C$62,ASSUMPTIONS!$D$62*(1+ASSUMPTIONS!$B$66),0),0)</f>
        <v/>
      </c>
      <c r="E35" s="313">
        <f>IFERROR(IF(4&gt;=ASSUMPTIONS!$C$62,ASSUMPTIONS!$D$62*(1+ASSUMPTIONS!$B$66),0),0)</f>
        <v/>
      </c>
      <c r="F35" s="313">
        <f>IFERROR(IF(5&gt;=ASSUMPTIONS!$C$62,ASSUMPTIONS!$D$62*(1+ASSUMPTIONS!$B$66),0),0)</f>
        <v/>
      </c>
      <c r="G35" s="313">
        <f>IFERROR(IF(6&gt;=ASSUMPTIONS!$C$62,ASSUMPTIONS!$D$62*(1+ASSUMPTIONS!$B$66),0),0)</f>
        <v/>
      </c>
      <c r="H35" s="313">
        <f>IFERROR(IF(7&gt;=ASSUMPTIONS!$C$62,ASSUMPTIONS!$D$62*(1+ASSUMPTIONS!$B$66),0),0)</f>
        <v/>
      </c>
      <c r="I35" s="313">
        <f>IFERROR(IF(8&gt;=ASSUMPTIONS!$C$62,ASSUMPTIONS!$D$62*(1+ASSUMPTIONS!$B$66),0),0)</f>
        <v/>
      </c>
      <c r="J35" s="313">
        <f>IFERROR(IF(9&gt;=ASSUMPTIONS!$C$62,ASSUMPTIONS!$D$62*(1+ASSUMPTIONS!$B$66),0),0)</f>
        <v/>
      </c>
      <c r="K35" s="313">
        <f>IFERROR(IF(10&gt;=ASSUMPTIONS!$C$62,ASSUMPTIONS!$D$62*(1+ASSUMPTIONS!$B$66),0),0)</f>
        <v/>
      </c>
      <c r="L35" s="313">
        <f>IFERROR(IF(11&gt;=ASSUMPTIONS!$C$62,ASSUMPTIONS!$D$62*(1+ASSUMPTIONS!$B$66),0),0)</f>
        <v/>
      </c>
      <c r="M35" s="313">
        <f>IFERROR(IF(12&gt;=ASSUMPTIONS!$C$62,ASSUMPTIONS!$D$62*(1+ASSUMPTIONS!$B$66),0),0)</f>
        <v/>
      </c>
      <c r="N35" s="314">
        <f>SUM(B35:M35)</f>
        <v/>
      </c>
      <c r="O35" s="313">
        <f>IFERROR(IF(13&gt;=ASSUMPTIONS!$C$62,ASSUMPTIONS!$D$62*(1+ASSUMPTIONS!$B$66),0),0)</f>
        <v/>
      </c>
      <c r="P35" s="313">
        <f>IFERROR(IF(14&gt;=ASSUMPTIONS!$C$62,ASSUMPTIONS!$D$62*(1+ASSUMPTIONS!$B$66),0),0)</f>
        <v/>
      </c>
      <c r="Q35" s="313">
        <f>IFERROR(IF(15&gt;=ASSUMPTIONS!$C$62,ASSUMPTIONS!$D$62*(1+ASSUMPTIONS!$B$66),0),0)</f>
        <v/>
      </c>
      <c r="R35" s="313">
        <f>IFERROR(IF(16&gt;=ASSUMPTIONS!$C$62,ASSUMPTIONS!$D$62*(1+ASSUMPTIONS!$B$66),0),0)</f>
        <v/>
      </c>
      <c r="S35" s="313">
        <f>IFERROR(IF(17&gt;=ASSUMPTIONS!$C$62,ASSUMPTIONS!$D$62*(1+ASSUMPTIONS!$B$66),0),0)</f>
        <v/>
      </c>
      <c r="T35" s="313">
        <f>IFERROR(IF(18&gt;=ASSUMPTIONS!$C$62,ASSUMPTIONS!$D$62*(1+ASSUMPTIONS!$B$66),0),0)</f>
        <v/>
      </c>
      <c r="U35" s="313">
        <f>IFERROR(IF(19&gt;=ASSUMPTIONS!$C$62,ASSUMPTIONS!$D$62*(1+ASSUMPTIONS!$B$66),0),0)</f>
        <v/>
      </c>
      <c r="V35" s="313">
        <f>IFERROR(IF(20&gt;=ASSUMPTIONS!$C$62,ASSUMPTIONS!$D$62*(1+ASSUMPTIONS!$B$66),0),0)</f>
        <v/>
      </c>
      <c r="W35" s="313">
        <f>IFERROR(IF(21&gt;=ASSUMPTIONS!$C$62,ASSUMPTIONS!$D$62*(1+ASSUMPTIONS!$B$66),0),0)</f>
        <v/>
      </c>
      <c r="X35" s="313">
        <f>IFERROR(IF(22&gt;=ASSUMPTIONS!$C$62,ASSUMPTIONS!$D$62*(1+ASSUMPTIONS!$B$66),0),0)</f>
        <v/>
      </c>
      <c r="Y35" s="313">
        <f>IFERROR(IF(23&gt;=ASSUMPTIONS!$C$62,ASSUMPTIONS!$D$62*(1+ASSUMPTIONS!$B$66),0),0)</f>
        <v/>
      </c>
      <c r="Z35" s="313">
        <f>IFERROR(IF(24&gt;=ASSUMPTIONS!$C$62,ASSUMPTIONS!$D$62*(1+ASSUMPTIONS!$B$66),0),0)</f>
        <v/>
      </c>
      <c r="AA35" s="314">
        <f>SUM(O35:Z35)</f>
        <v/>
      </c>
      <c r="AB35" s="313">
        <f>IFERROR(IF(25&gt;=ASSUMPTIONS!$C$62,ASSUMPTIONS!$D$62*(1+ASSUMPTIONS!$B$66),0),0)</f>
        <v/>
      </c>
      <c r="AC35" s="313">
        <f>IFERROR(IF(26&gt;=ASSUMPTIONS!$C$62,ASSUMPTIONS!$D$62*(1+ASSUMPTIONS!$B$66),0),0)</f>
        <v/>
      </c>
      <c r="AD35" s="313">
        <f>IFERROR(IF(27&gt;=ASSUMPTIONS!$C$62,ASSUMPTIONS!$D$62*(1+ASSUMPTIONS!$B$66),0),0)</f>
        <v/>
      </c>
      <c r="AE35" s="313">
        <f>IFERROR(IF(28&gt;=ASSUMPTIONS!$C$62,ASSUMPTIONS!$D$62*(1+ASSUMPTIONS!$B$66),0),0)</f>
        <v/>
      </c>
      <c r="AF35" s="313">
        <f>IFERROR(IF(29&gt;=ASSUMPTIONS!$C$62,ASSUMPTIONS!$D$62*(1+ASSUMPTIONS!$B$66),0),0)</f>
        <v/>
      </c>
      <c r="AG35" s="313">
        <f>IFERROR(IF(30&gt;=ASSUMPTIONS!$C$62,ASSUMPTIONS!$D$62*(1+ASSUMPTIONS!$B$66),0),0)</f>
        <v/>
      </c>
      <c r="AH35" s="313">
        <f>IFERROR(IF(31&gt;=ASSUMPTIONS!$C$62,ASSUMPTIONS!$D$62*(1+ASSUMPTIONS!$B$66),0),0)</f>
        <v/>
      </c>
      <c r="AI35" s="313">
        <f>IFERROR(IF(32&gt;=ASSUMPTIONS!$C$62,ASSUMPTIONS!$D$62*(1+ASSUMPTIONS!$B$66),0),0)</f>
        <v/>
      </c>
      <c r="AJ35" s="313">
        <f>IFERROR(IF(33&gt;=ASSUMPTIONS!$C$62,ASSUMPTIONS!$D$62*(1+ASSUMPTIONS!$B$66),0),0)</f>
        <v/>
      </c>
      <c r="AK35" s="313">
        <f>IFERROR(IF(34&gt;=ASSUMPTIONS!$C$62,ASSUMPTIONS!$D$62*(1+ASSUMPTIONS!$B$66),0),0)</f>
        <v/>
      </c>
      <c r="AL35" s="313">
        <f>IFERROR(IF(35&gt;=ASSUMPTIONS!$C$62,ASSUMPTIONS!$D$62*(1+ASSUMPTIONS!$B$66),0),0)</f>
        <v/>
      </c>
      <c r="AM35" s="313">
        <f>IFERROR(IF(36&gt;=ASSUMPTIONS!$C$62,ASSUMPTIONS!$D$62*(1+ASSUMPTIONS!$B$66),0),0)</f>
        <v/>
      </c>
      <c r="AN35" s="314">
        <f>SUM(AB35:AM35)</f>
        <v/>
      </c>
      <c r="AO35" s="313">
        <f>IFERROR(IF(37&gt;=ASSUMPTIONS!$C$62,ASSUMPTIONS!$D$62*(1+ASSUMPTIONS!$B$66),0),0)</f>
        <v/>
      </c>
      <c r="AP35" s="313">
        <f>IFERROR(IF(38&gt;=ASSUMPTIONS!$C$62,ASSUMPTIONS!$D$62*(1+ASSUMPTIONS!$B$66),0),0)</f>
        <v/>
      </c>
      <c r="AQ35" s="313">
        <f>IFERROR(IF(39&gt;=ASSUMPTIONS!$C$62,ASSUMPTIONS!$D$62*(1+ASSUMPTIONS!$B$66),0),0)</f>
        <v/>
      </c>
      <c r="AR35" s="313">
        <f>IFERROR(IF(40&gt;=ASSUMPTIONS!$C$62,ASSUMPTIONS!$D$62*(1+ASSUMPTIONS!$B$66),0),0)</f>
        <v/>
      </c>
      <c r="AS35" s="313">
        <f>IFERROR(IF(41&gt;=ASSUMPTIONS!$C$62,ASSUMPTIONS!$D$62*(1+ASSUMPTIONS!$B$66),0),0)</f>
        <v/>
      </c>
      <c r="AT35" s="313">
        <f>IFERROR(IF(42&gt;=ASSUMPTIONS!$C$62,ASSUMPTIONS!$D$62*(1+ASSUMPTIONS!$B$66),0),0)</f>
        <v/>
      </c>
      <c r="AU35" s="313">
        <f>IFERROR(IF(43&gt;=ASSUMPTIONS!$C$62,ASSUMPTIONS!$D$62*(1+ASSUMPTIONS!$B$66),0),0)</f>
        <v/>
      </c>
      <c r="AV35" s="313">
        <f>IFERROR(IF(44&gt;=ASSUMPTIONS!$C$62,ASSUMPTIONS!$D$62*(1+ASSUMPTIONS!$B$66),0),0)</f>
        <v/>
      </c>
      <c r="AW35" s="313">
        <f>IFERROR(IF(45&gt;=ASSUMPTIONS!$C$62,ASSUMPTIONS!$D$62*(1+ASSUMPTIONS!$B$66),0),0)</f>
        <v/>
      </c>
      <c r="AX35" s="313">
        <f>IFERROR(IF(46&gt;=ASSUMPTIONS!$C$62,ASSUMPTIONS!$D$62*(1+ASSUMPTIONS!$B$66),0),0)</f>
        <v/>
      </c>
      <c r="AY35" s="313">
        <f>IFERROR(IF(47&gt;=ASSUMPTIONS!$C$62,ASSUMPTIONS!$D$62*(1+ASSUMPTIONS!$B$66),0),0)</f>
        <v/>
      </c>
      <c r="AZ35" s="313">
        <f>IFERROR(IF(48&gt;=ASSUMPTIONS!$C$62,ASSUMPTIONS!$D$62*(1+ASSUMPTIONS!$B$66),0),0)</f>
        <v/>
      </c>
      <c r="BA35" s="290">
        <f>SUM(AO35:AZ35)</f>
        <v/>
      </c>
      <c r="BB35" s="313">
        <f>IFERROR(IF(49&gt;=ASSUMPTIONS!$C$62,ASSUMPTIONS!$D$62*(1+ASSUMPTIONS!$B$66),0),0)</f>
        <v/>
      </c>
      <c r="BC35" s="313">
        <f>IFERROR(IF(50&gt;=ASSUMPTIONS!$C$62,ASSUMPTIONS!$D$62*(1+ASSUMPTIONS!$B$66),0),0)</f>
        <v/>
      </c>
      <c r="BD35" s="313">
        <f>IFERROR(IF(51&gt;=ASSUMPTIONS!$C$62,ASSUMPTIONS!$D$62*(1+ASSUMPTIONS!$B$66),0),0)</f>
        <v/>
      </c>
      <c r="BE35" s="313">
        <f>IFERROR(IF(52&gt;=ASSUMPTIONS!$C$62,ASSUMPTIONS!$D$62*(1+ASSUMPTIONS!$B$66),0),0)</f>
        <v/>
      </c>
      <c r="BF35" s="313">
        <f>IFERROR(IF(53&gt;=ASSUMPTIONS!$C$62,ASSUMPTIONS!$D$62*(1+ASSUMPTIONS!$B$66),0),0)</f>
        <v/>
      </c>
      <c r="BG35" s="313">
        <f>IFERROR(IF(54&gt;=ASSUMPTIONS!$C$62,ASSUMPTIONS!$D$62*(1+ASSUMPTIONS!$B$66),0),0)</f>
        <v/>
      </c>
      <c r="BH35" s="313">
        <f>IFERROR(IF(55&gt;=ASSUMPTIONS!$C$62,ASSUMPTIONS!$D$62*(1+ASSUMPTIONS!$B$66),0),0)</f>
        <v/>
      </c>
      <c r="BI35" s="313">
        <f>IFERROR(IF(56&gt;=ASSUMPTIONS!$C$62,ASSUMPTIONS!$D$62*(1+ASSUMPTIONS!$B$66),0),0)</f>
        <v/>
      </c>
      <c r="BJ35" s="313">
        <f>IFERROR(IF(57&gt;=ASSUMPTIONS!$C$62,ASSUMPTIONS!$D$62*(1+ASSUMPTIONS!$B$66),0),0)</f>
        <v/>
      </c>
      <c r="BK35" s="313">
        <f>IFERROR(IF(58&gt;=ASSUMPTIONS!$C$62,ASSUMPTIONS!$D$62*(1+ASSUMPTIONS!$B$66),0),0)</f>
        <v/>
      </c>
      <c r="BL35" s="313">
        <f>IFERROR(IF(59&gt;=ASSUMPTIONS!$C$62,ASSUMPTIONS!$D$62*(1+ASSUMPTIONS!$B$66),0),0)</f>
        <v/>
      </c>
      <c r="BM35" s="313">
        <f>IFERROR(IF(60&gt;=ASSUMPTIONS!$C$62,ASSUMPTIONS!$D$62*(1+ASSUMPTIONS!$B$66),0),0)</f>
        <v/>
      </c>
      <c r="BN35" s="290">
        <f>SUM(BB35:BM35)</f>
        <v/>
      </c>
    </row>
    <row r="36" ht="19.5" customHeight="1" s="218">
      <c r="A36" s="318">
        <f>IFERROR(ASSUMPTIONS!B63,"(empty)")</f>
        <v/>
      </c>
      <c r="B36" s="313">
        <f>IFERROR(IF(1&gt;=ASSUMPTIONS!$C$63,ASSUMPTIONS!$D$63*(1+ASSUMPTIONS!$B$66),0),0)</f>
        <v/>
      </c>
      <c r="C36" s="313">
        <f>IFERROR(IF(2&gt;=ASSUMPTIONS!$C$63,ASSUMPTIONS!$D$63*(1+ASSUMPTIONS!$B$66),0),0)</f>
        <v/>
      </c>
      <c r="D36" s="313">
        <f>IFERROR(IF(3&gt;=ASSUMPTIONS!$C$63,ASSUMPTIONS!$D$63*(1+ASSUMPTIONS!$B$66),0),0)</f>
        <v/>
      </c>
      <c r="E36" s="313">
        <f>IFERROR(IF(4&gt;=ASSUMPTIONS!$C$63,ASSUMPTIONS!$D$63*(1+ASSUMPTIONS!$B$66),0),0)</f>
        <v/>
      </c>
      <c r="F36" s="313">
        <f>IFERROR(IF(5&gt;=ASSUMPTIONS!$C$63,ASSUMPTIONS!$D$63*(1+ASSUMPTIONS!$B$66),0),0)</f>
        <v/>
      </c>
      <c r="G36" s="313">
        <f>IFERROR(IF(6&gt;=ASSUMPTIONS!$C$63,ASSUMPTIONS!$D$63*(1+ASSUMPTIONS!$B$66),0),0)</f>
        <v/>
      </c>
      <c r="H36" s="313">
        <f>IFERROR(IF(7&gt;=ASSUMPTIONS!$C$63,ASSUMPTIONS!$D$63*(1+ASSUMPTIONS!$B$66),0),0)</f>
        <v/>
      </c>
      <c r="I36" s="313">
        <f>IFERROR(IF(8&gt;=ASSUMPTIONS!$C$63,ASSUMPTIONS!$D$63*(1+ASSUMPTIONS!$B$66),0),0)</f>
        <v/>
      </c>
      <c r="J36" s="313">
        <f>IFERROR(IF(9&gt;=ASSUMPTIONS!$C$63,ASSUMPTIONS!$D$63*(1+ASSUMPTIONS!$B$66),0),0)</f>
        <v/>
      </c>
      <c r="K36" s="313">
        <f>IFERROR(IF(10&gt;=ASSUMPTIONS!$C$63,ASSUMPTIONS!$D$63*(1+ASSUMPTIONS!$B$66),0),0)</f>
        <v/>
      </c>
      <c r="L36" s="313">
        <f>IFERROR(IF(11&gt;=ASSUMPTIONS!$C$63,ASSUMPTIONS!$D$63*(1+ASSUMPTIONS!$B$66),0),0)</f>
        <v/>
      </c>
      <c r="M36" s="313">
        <f>IFERROR(IF(12&gt;=ASSUMPTIONS!$C$63,ASSUMPTIONS!$D$63*(1+ASSUMPTIONS!$B$66),0),0)</f>
        <v/>
      </c>
      <c r="N36" s="314">
        <f>SUM(B36:M36)</f>
        <v/>
      </c>
      <c r="O36" s="313">
        <f>IFERROR(IF(13&gt;=ASSUMPTIONS!$C$63,ASSUMPTIONS!$D$63*(1+ASSUMPTIONS!$B$66),0),0)</f>
        <v/>
      </c>
      <c r="P36" s="313">
        <f>IFERROR(IF(14&gt;=ASSUMPTIONS!$C$63,ASSUMPTIONS!$D$63*(1+ASSUMPTIONS!$B$66),0),0)</f>
        <v/>
      </c>
      <c r="Q36" s="313">
        <f>IFERROR(IF(15&gt;=ASSUMPTIONS!$C$63,ASSUMPTIONS!$D$63*(1+ASSUMPTIONS!$B$66),0),0)</f>
        <v/>
      </c>
      <c r="R36" s="313">
        <f>IFERROR(IF(16&gt;=ASSUMPTIONS!$C$63,ASSUMPTIONS!$D$63*(1+ASSUMPTIONS!$B$66),0),0)</f>
        <v/>
      </c>
      <c r="S36" s="313">
        <f>IFERROR(IF(17&gt;=ASSUMPTIONS!$C$63,ASSUMPTIONS!$D$63*(1+ASSUMPTIONS!$B$66),0),0)</f>
        <v/>
      </c>
      <c r="T36" s="313">
        <f>IFERROR(IF(18&gt;=ASSUMPTIONS!$C$63,ASSUMPTIONS!$D$63*(1+ASSUMPTIONS!$B$66),0),0)</f>
        <v/>
      </c>
      <c r="U36" s="313">
        <f>IFERROR(IF(19&gt;=ASSUMPTIONS!$C$63,ASSUMPTIONS!$D$63*(1+ASSUMPTIONS!$B$66),0),0)</f>
        <v/>
      </c>
      <c r="V36" s="313">
        <f>IFERROR(IF(20&gt;=ASSUMPTIONS!$C$63,ASSUMPTIONS!$D$63*(1+ASSUMPTIONS!$B$66),0),0)</f>
        <v/>
      </c>
      <c r="W36" s="313">
        <f>IFERROR(IF(21&gt;=ASSUMPTIONS!$C$63,ASSUMPTIONS!$D$63*(1+ASSUMPTIONS!$B$66),0),0)</f>
        <v/>
      </c>
      <c r="X36" s="313">
        <f>IFERROR(IF(22&gt;=ASSUMPTIONS!$C$63,ASSUMPTIONS!$D$63*(1+ASSUMPTIONS!$B$66),0),0)</f>
        <v/>
      </c>
      <c r="Y36" s="313">
        <f>IFERROR(IF(23&gt;=ASSUMPTIONS!$C$63,ASSUMPTIONS!$D$63*(1+ASSUMPTIONS!$B$66),0),0)</f>
        <v/>
      </c>
      <c r="Z36" s="313">
        <f>IFERROR(IF(24&gt;=ASSUMPTIONS!$C$63,ASSUMPTIONS!$D$63*(1+ASSUMPTIONS!$B$66),0),0)</f>
        <v/>
      </c>
      <c r="AA36" s="314">
        <f>SUM(O36:Z36)</f>
        <v/>
      </c>
      <c r="AB36" s="313">
        <f>IFERROR(IF(25&gt;=ASSUMPTIONS!$C$63,ASSUMPTIONS!$D$63*(1+ASSUMPTIONS!$B$66),0),0)</f>
        <v/>
      </c>
      <c r="AC36" s="313">
        <f>IFERROR(IF(26&gt;=ASSUMPTIONS!$C$63,ASSUMPTIONS!$D$63*(1+ASSUMPTIONS!$B$66),0),0)</f>
        <v/>
      </c>
      <c r="AD36" s="313">
        <f>IFERROR(IF(27&gt;=ASSUMPTIONS!$C$63,ASSUMPTIONS!$D$63*(1+ASSUMPTIONS!$B$66),0),0)</f>
        <v/>
      </c>
      <c r="AE36" s="313">
        <f>IFERROR(IF(28&gt;=ASSUMPTIONS!$C$63,ASSUMPTIONS!$D$63*(1+ASSUMPTIONS!$B$66),0),0)</f>
        <v/>
      </c>
      <c r="AF36" s="313">
        <f>IFERROR(IF(29&gt;=ASSUMPTIONS!$C$63,ASSUMPTIONS!$D$63*(1+ASSUMPTIONS!$B$66),0),0)</f>
        <v/>
      </c>
      <c r="AG36" s="313">
        <f>IFERROR(IF(30&gt;=ASSUMPTIONS!$C$63,ASSUMPTIONS!$D$63*(1+ASSUMPTIONS!$B$66),0),0)</f>
        <v/>
      </c>
      <c r="AH36" s="313">
        <f>IFERROR(IF(31&gt;=ASSUMPTIONS!$C$63,ASSUMPTIONS!$D$63*(1+ASSUMPTIONS!$B$66),0),0)</f>
        <v/>
      </c>
      <c r="AI36" s="313">
        <f>IFERROR(IF(32&gt;=ASSUMPTIONS!$C$63,ASSUMPTIONS!$D$63*(1+ASSUMPTIONS!$B$66),0),0)</f>
        <v/>
      </c>
      <c r="AJ36" s="313">
        <f>IFERROR(IF(33&gt;=ASSUMPTIONS!$C$63,ASSUMPTIONS!$D$63*(1+ASSUMPTIONS!$B$66),0),0)</f>
        <v/>
      </c>
      <c r="AK36" s="313">
        <f>IFERROR(IF(34&gt;=ASSUMPTIONS!$C$63,ASSUMPTIONS!$D$63*(1+ASSUMPTIONS!$B$66),0),0)</f>
        <v/>
      </c>
      <c r="AL36" s="313">
        <f>IFERROR(IF(35&gt;=ASSUMPTIONS!$C$63,ASSUMPTIONS!$D$63*(1+ASSUMPTIONS!$B$66),0),0)</f>
        <v/>
      </c>
      <c r="AM36" s="313">
        <f>IFERROR(IF(36&gt;=ASSUMPTIONS!$C$63,ASSUMPTIONS!$D$63*(1+ASSUMPTIONS!$B$66),0),0)</f>
        <v/>
      </c>
      <c r="AN36" s="314">
        <f>SUM(AB36:AM36)</f>
        <v/>
      </c>
      <c r="AO36" s="313">
        <f>IFERROR(IF(37&gt;=ASSUMPTIONS!$C$63,ASSUMPTIONS!$D$63*(1+ASSUMPTIONS!$B$66),0),0)</f>
        <v/>
      </c>
      <c r="AP36" s="313">
        <f>IFERROR(IF(38&gt;=ASSUMPTIONS!$C$63,ASSUMPTIONS!$D$63*(1+ASSUMPTIONS!$B$66),0),0)</f>
        <v/>
      </c>
      <c r="AQ36" s="313">
        <f>IFERROR(IF(39&gt;=ASSUMPTIONS!$C$63,ASSUMPTIONS!$D$63*(1+ASSUMPTIONS!$B$66),0),0)</f>
        <v/>
      </c>
      <c r="AR36" s="313">
        <f>IFERROR(IF(40&gt;=ASSUMPTIONS!$C$63,ASSUMPTIONS!$D$63*(1+ASSUMPTIONS!$B$66),0),0)</f>
        <v/>
      </c>
      <c r="AS36" s="313">
        <f>IFERROR(IF(41&gt;=ASSUMPTIONS!$C$63,ASSUMPTIONS!$D$63*(1+ASSUMPTIONS!$B$66),0),0)</f>
        <v/>
      </c>
      <c r="AT36" s="313">
        <f>IFERROR(IF(42&gt;=ASSUMPTIONS!$C$63,ASSUMPTIONS!$D$63*(1+ASSUMPTIONS!$B$66),0),0)</f>
        <v/>
      </c>
      <c r="AU36" s="313">
        <f>IFERROR(IF(43&gt;=ASSUMPTIONS!$C$63,ASSUMPTIONS!$D$63*(1+ASSUMPTIONS!$B$66),0),0)</f>
        <v/>
      </c>
      <c r="AV36" s="313">
        <f>IFERROR(IF(44&gt;=ASSUMPTIONS!$C$63,ASSUMPTIONS!$D$63*(1+ASSUMPTIONS!$B$66),0),0)</f>
        <v/>
      </c>
      <c r="AW36" s="313">
        <f>IFERROR(IF(45&gt;=ASSUMPTIONS!$C$63,ASSUMPTIONS!$D$63*(1+ASSUMPTIONS!$B$66),0),0)</f>
        <v/>
      </c>
      <c r="AX36" s="313">
        <f>IFERROR(IF(46&gt;=ASSUMPTIONS!$C$63,ASSUMPTIONS!$D$63*(1+ASSUMPTIONS!$B$66),0),0)</f>
        <v/>
      </c>
      <c r="AY36" s="313">
        <f>IFERROR(IF(47&gt;=ASSUMPTIONS!$C$63,ASSUMPTIONS!$D$63*(1+ASSUMPTIONS!$B$66),0),0)</f>
        <v/>
      </c>
      <c r="AZ36" s="313">
        <f>IFERROR(IF(48&gt;=ASSUMPTIONS!$C$63,ASSUMPTIONS!$D$63*(1+ASSUMPTIONS!$B$66),0),0)</f>
        <v/>
      </c>
      <c r="BA36" s="290">
        <f>SUM(AO36:AZ36)</f>
        <v/>
      </c>
      <c r="BB36" s="313">
        <f>IFERROR(IF(49&gt;=ASSUMPTIONS!$C$63,ASSUMPTIONS!$D$63*(1+ASSUMPTIONS!$B$66),0),0)</f>
        <v/>
      </c>
      <c r="BC36" s="313">
        <f>IFERROR(IF(50&gt;=ASSUMPTIONS!$C$63,ASSUMPTIONS!$D$63*(1+ASSUMPTIONS!$B$66),0),0)</f>
        <v/>
      </c>
      <c r="BD36" s="313">
        <f>IFERROR(IF(51&gt;=ASSUMPTIONS!$C$63,ASSUMPTIONS!$D$63*(1+ASSUMPTIONS!$B$66),0),0)</f>
        <v/>
      </c>
      <c r="BE36" s="313">
        <f>IFERROR(IF(52&gt;=ASSUMPTIONS!$C$63,ASSUMPTIONS!$D$63*(1+ASSUMPTIONS!$B$66),0),0)</f>
        <v/>
      </c>
      <c r="BF36" s="313">
        <f>IFERROR(IF(53&gt;=ASSUMPTIONS!$C$63,ASSUMPTIONS!$D$63*(1+ASSUMPTIONS!$B$66),0),0)</f>
        <v/>
      </c>
      <c r="BG36" s="313">
        <f>IFERROR(IF(54&gt;=ASSUMPTIONS!$C$63,ASSUMPTIONS!$D$63*(1+ASSUMPTIONS!$B$66),0),0)</f>
        <v/>
      </c>
      <c r="BH36" s="313">
        <f>IFERROR(IF(55&gt;=ASSUMPTIONS!$C$63,ASSUMPTIONS!$D$63*(1+ASSUMPTIONS!$B$66),0),0)</f>
        <v/>
      </c>
      <c r="BI36" s="313">
        <f>IFERROR(IF(56&gt;=ASSUMPTIONS!$C$63,ASSUMPTIONS!$D$63*(1+ASSUMPTIONS!$B$66),0),0)</f>
        <v/>
      </c>
      <c r="BJ36" s="313">
        <f>IFERROR(IF(57&gt;=ASSUMPTIONS!$C$63,ASSUMPTIONS!$D$63*(1+ASSUMPTIONS!$B$66),0),0)</f>
        <v/>
      </c>
      <c r="BK36" s="313">
        <f>IFERROR(IF(58&gt;=ASSUMPTIONS!$C$63,ASSUMPTIONS!$D$63*(1+ASSUMPTIONS!$B$66),0),0)</f>
        <v/>
      </c>
      <c r="BL36" s="313">
        <f>IFERROR(IF(59&gt;=ASSUMPTIONS!$C$63,ASSUMPTIONS!$D$63*(1+ASSUMPTIONS!$B$66),0),0)</f>
        <v/>
      </c>
      <c r="BM36" s="313">
        <f>IFERROR(IF(60&gt;=ASSUMPTIONS!$C$63,ASSUMPTIONS!$D$63*(1+ASSUMPTIONS!$B$66),0),0)</f>
        <v/>
      </c>
      <c r="BN36" s="290">
        <f>SUM(BB36:BM36)</f>
        <v/>
      </c>
    </row>
    <row r="37" ht="19.5" customHeight="1" s="218">
      <c r="A37" s="318">
        <f>IFERROR(ASSUMPTIONS!B64,"(empty)")</f>
        <v/>
      </c>
      <c r="B37" s="313">
        <f>IFERROR(IF(1&gt;=ASSUMPTIONS!$C$64,ASSUMPTIONS!$D$64*(1+ASSUMPTIONS!$B$66),0),0)</f>
        <v/>
      </c>
      <c r="C37" s="313">
        <f>IFERROR(IF(2&gt;=ASSUMPTIONS!$C$64,ASSUMPTIONS!$D$64*(1+ASSUMPTIONS!$B$66),0),0)</f>
        <v/>
      </c>
      <c r="D37" s="313">
        <f>IFERROR(IF(3&gt;=ASSUMPTIONS!$C$64,ASSUMPTIONS!$D$64*(1+ASSUMPTIONS!$B$66),0),0)</f>
        <v/>
      </c>
      <c r="E37" s="313">
        <f>IFERROR(IF(4&gt;=ASSUMPTIONS!$C$64,ASSUMPTIONS!$D$64*(1+ASSUMPTIONS!$B$66),0),0)</f>
        <v/>
      </c>
      <c r="F37" s="313">
        <f>IFERROR(IF(5&gt;=ASSUMPTIONS!$C$64,ASSUMPTIONS!$D$64*(1+ASSUMPTIONS!$B$66),0),0)</f>
        <v/>
      </c>
      <c r="G37" s="313">
        <f>IFERROR(IF(6&gt;=ASSUMPTIONS!$C$64,ASSUMPTIONS!$D$64*(1+ASSUMPTIONS!$B$66),0),0)</f>
        <v/>
      </c>
      <c r="H37" s="313">
        <f>IFERROR(IF(7&gt;=ASSUMPTIONS!$C$64,ASSUMPTIONS!$D$64*(1+ASSUMPTIONS!$B$66),0),0)</f>
        <v/>
      </c>
      <c r="I37" s="313">
        <f>IFERROR(IF(8&gt;=ASSUMPTIONS!$C$64,ASSUMPTIONS!$D$64*(1+ASSUMPTIONS!$B$66),0),0)</f>
        <v/>
      </c>
      <c r="J37" s="313">
        <f>IFERROR(IF(9&gt;=ASSUMPTIONS!$C$64,ASSUMPTIONS!$D$64*(1+ASSUMPTIONS!$B$66),0),0)</f>
        <v/>
      </c>
      <c r="K37" s="313">
        <f>IFERROR(IF(10&gt;=ASSUMPTIONS!$C$64,ASSUMPTIONS!$D$64*(1+ASSUMPTIONS!$B$66),0),0)</f>
        <v/>
      </c>
      <c r="L37" s="313">
        <f>IFERROR(IF(11&gt;=ASSUMPTIONS!$C$64,ASSUMPTIONS!$D$64*(1+ASSUMPTIONS!$B$66),0),0)</f>
        <v/>
      </c>
      <c r="M37" s="313">
        <f>IFERROR(IF(12&gt;=ASSUMPTIONS!$C$64,ASSUMPTIONS!$D$64*(1+ASSUMPTIONS!$B$66),0),0)</f>
        <v/>
      </c>
      <c r="N37" s="314">
        <f>SUM(B37:M37)</f>
        <v/>
      </c>
      <c r="O37" s="313">
        <f>IFERROR(IF(13&gt;=ASSUMPTIONS!$C$64,ASSUMPTIONS!$D$64*(1+ASSUMPTIONS!$B$66),0),0)</f>
        <v/>
      </c>
      <c r="P37" s="313">
        <f>IFERROR(IF(14&gt;=ASSUMPTIONS!$C$64,ASSUMPTIONS!$D$64*(1+ASSUMPTIONS!$B$66),0),0)</f>
        <v/>
      </c>
      <c r="Q37" s="313">
        <f>IFERROR(IF(15&gt;=ASSUMPTIONS!$C$64,ASSUMPTIONS!$D$64*(1+ASSUMPTIONS!$B$66),0),0)</f>
        <v/>
      </c>
      <c r="R37" s="313">
        <f>IFERROR(IF(16&gt;=ASSUMPTIONS!$C$64,ASSUMPTIONS!$D$64*(1+ASSUMPTIONS!$B$66),0),0)</f>
        <v/>
      </c>
      <c r="S37" s="313">
        <f>IFERROR(IF(17&gt;=ASSUMPTIONS!$C$64,ASSUMPTIONS!$D$64*(1+ASSUMPTIONS!$B$66),0),0)</f>
        <v/>
      </c>
      <c r="T37" s="313">
        <f>IFERROR(IF(18&gt;=ASSUMPTIONS!$C$64,ASSUMPTIONS!$D$64*(1+ASSUMPTIONS!$B$66),0),0)</f>
        <v/>
      </c>
      <c r="U37" s="313">
        <f>IFERROR(IF(19&gt;=ASSUMPTIONS!$C$64,ASSUMPTIONS!$D$64*(1+ASSUMPTIONS!$B$66),0),0)</f>
        <v/>
      </c>
      <c r="V37" s="313">
        <f>IFERROR(IF(20&gt;=ASSUMPTIONS!$C$64,ASSUMPTIONS!$D$64*(1+ASSUMPTIONS!$B$66),0),0)</f>
        <v/>
      </c>
      <c r="W37" s="313">
        <f>IFERROR(IF(21&gt;=ASSUMPTIONS!$C$64,ASSUMPTIONS!$D$64*(1+ASSUMPTIONS!$B$66),0),0)</f>
        <v/>
      </c>
      <c r="X37" s="313">
        <f>IFERROR(IF(22&gt;=ASSUMPTIONS!$C$64,ASSUMPTIONS!$D$64*(1+ASSUMPTIONS!$B$66),0),0)</f>
        <v/>
      </c>
      <c r="Y37" s="313">
        <f>IFERROR(IF(23&gt;=ASSUMPTIONS!$C$64,ASSUMPTIONS!$D$64*(1+ASSUMPTIONS!$B$66),0),0)</f>
        <v/>
      </c>
      <c r="Z37" s="313">
        <f>IFERROR(IF(24&gt;=ASSUMPTIONS!$C$64,ASSUMPTIONS!$D$64*(1+ASSUMPTIONS!$B$66),0),0)</f>
        <v/>
      </c>
      <c r="AA37" s="314">
        <f>SUM(O37:Z37)</f>
        <v/>
      </c>
      <c r="AB37" s="313">
        <f>IFERROR(IF(25&gt;=ASSUMPTIONS!$C$64,ASSUMPTIONS!$D$64*(1+ASSUMPTIONS!$B$66),0),0)</f>
        <v/>
      </c>
      <c r="AC37" s="313">
        <f>IFERROR(IF(26&gt;=ASSUMPTIONS!$C$64,ASSUMPTIONS!$D$64*(1+ASSUMPTIONS!$B$66),0),0)</f>
        <v/>
      </c>
      <c r="AD37" s="313">
        <f>IFERROR(IF(27&gt;=ASSUMPTIONS!$C$64,ASSUMPTIONS!$D$64*(1+ASSUMPTIONS!$B$66),0),0)</f>
        <v/>
      </c>
      <c r="AE37" s="313">
        <f>IFERROR(IF(28&gt;=ASSUMPTIONS!$C$64,ASSUMPTIONS!$D$64*(1+ASSUMPTIONS!$B$66),0),0)</f>
        <v/>
      </c>
      <c r="AF37" s="313">
        <f>IFERROR(IF(29&gt;=ASSUMPTIONS!$C$64,ASSUMPTIONS!$D$64*(1+ASSUMPTIONS!$B$66),0),0)</f>
        <v/>
      </c>
      <c r="AG37" s="313">
        <f>IFERROR(IF(30&gt;=ASSUMPTIONS!$C$64,ASSUMPTIONS!$D$64*(1+ASSUMPTIONS!$B$66),0),0)</f>
        <v/>
      </c>
      <c r="AH37" s="313">
        <f>IFERROR(IF(31&gt;=ASSUMPTIONS!$C$64,ASSUMPTIONS!$D$64*(1+ASSUMPTIONS!$B$66),0),0)</f>
        <v/>
      </c>
      <c r="AI37" s="313">
        <f>IFERROR(IF(32&gt;=ASSUMPTIONS!$C$64,ASSUMPTIONS!$D$64*(1+ASSUMPTIONS!$B$66),0),0)</f>
        <v/>
      </c>
      <c r="AJ37" s="313">
        <f>IFERROR(IF(33&gt;=ASSUMPTIONS!$C$64,ASSUMPTIONS!$D$64*(1+ASSUMPTIONS!$B$66),0),0)</f>
        <v/>
      </c>
      <c r="AK37" s="313">
        <f>IFERROR(IF(34&gt;=ASSUMPTIONS!$C$64,ASSUMPTIONS!$D$64*(1+ASSUMPTIONS!$B$66),0),0)</f>
        <v/>
      </c>
      <c r="AL37" s="313">
        <f>IFERROR(IF(35&gt;=ASSUMPTIONS!$C$64,ASSUMPTIONS!$D$64*(1+ASSUMPTIONS!$B$66),0),0)</f>
        <v/>
      </c>
      <c r="AM37" s="313">
        <f>IFERROR(IF(36&gt;=ASSUMPTIONS!$C$64,ASSUMPTIONS!$D$64*(1+ASSUMPTIONS!$B$66),0),0)</f>
        <v/>
      </c>
      <c r="AN37" s="314">
        <f>SUM(AB37:AM37)</f>
        <v/>
      </c>
      <c r="AO37" s="313">
        <f>IFERROR(IF(37&gt;=ASSUMPTIONS!$C$64,ASSUMPTIONS!$D$64*(1+ASSUMPTIONS!$B$66),0),0)</f>
        <v/>
      </c>
      <c r="AP37" s="313">
        <f>IFERROR(IF(38&gt;=ASSUMPTIONS!$C$64,ASSUMPTIONS!$D$64*(1+ASSUMPTIONS!$B$66),0),0)</f>
        <v/>
      </c>
      <c r="AQ37" s="313">
        <f>IFERROR(IF(39&gt;=ASSUMPTIONS!$C$64,ASSUMPTIONS!$D$64*(1+ASSUMPTIONS!$B$66),0),0)</f>
        <v/>
      </c>
      <c r="AR37" s="313">
        <f>IFERROR(IF(40&gt;=ASSUMPTIONS!$C$64,ASSUMPTIONS!$D$64*(1+ASSUMPTIONS!$B$66),0),0)</f>
        <v/>
      </c>
      <c r="AS37" s="313">
        <f>IFERROR(IF(41&gt;=ASSUMPTIONS!$C$64,ASSUMPTIONS!$D$64*(1+ASSUMPTIONS!$B$66),0),0)</f>
        <v/>
      </c>
      <c r="AT37" s="313">
        <f>IFERROR(IF(42&gt;=ASSUMPTIONS!$C$64,ASSUMPTIONS!$D$64*(1+ASSUMPTIONS!$B$66),0),0)</f>
        <v/>
      </c>
      <c r="AU37" s="313">
        <f>IFERROR(IF(43&gt;=ASSUMPTIONS!$C$64,ASSUMPTIONS!$D$64*(1+ASSUMPTIONS!$B$66),0),0)</f>
        <v/>
      </c>
      <c r="AV37" s="313">
        <f>IFERROR(IF(44&gt;=ASSUMPTIONS!$C$64,ASSUMPTIONS!$D$64*(1+ASSUMPTIONS!$B$66),0),0)</f>
        <v/>
      </c>
      <c r="AW37" s="313">
        <f>IFERROR(IF(45&gt;=ASSUMPTIONS!$C$64,ASSUMPTIONS!$D$64*(1+ASSUMPTIONS!$B$66),0),0)</f>
        <v/>
      </c>
      <c r="AX37" s="313">
        <f>IFERROR(IF(46&gt;=ASSUMPTIONS!$C$64,ASSUMPTIONS!$D$64*(1+ASSUMPTIONS!$B$66),0),0)</f>
        <v/>
      </c>
      <c r="AY37" s="313">
        <f>IFERROR(IF(47&gt;=ASSUMPTIONS!$C$64,ASSUMPTIONS!$D$64*(1+ASSUMPTIONS!$B$66),0),0)</f>
        <v/>
      </c>
      <c r="AZ37" s="313">
        <f>IFERROR(IF(48&gt;=ASSUMPTIONS!$C$64,ASSUMPTIONS!$D$64*(1+ASSUMPTIONS!$B$66),0),0)</f>
        <v/>
      </c>
      <c r="BA37" s="290">
        <f>SUM(AO37:AZ37)</f>
        <v/>
      </c>
      <c r="BB37" s="313">
        <f>IFERROR(IF(49&gt;=ASSUMPTIONS!$C$64,ASSUMPTIONS!$D$64*(1+ASSUMPTIONS!$B$66),0),0)</f>
        <v/>
      </c>
      <c r="BC37" s="313">
        <f>IFERROR(IF(50&gt;=ASSUMPTIONS!$C$64,ASSUMPTIONS!$D$64*(1+ASSUMPTIONS!$B$66),0),0)</f>
        <v/>
      </c>
      <c r="BD37" s="313">
        <f>IFERROR(IF(51&gt;=ASSUMPTIONS!$C$64,ASSUMPTIONS!$D$64*(1+ASSUMPTIONS!$B$66),0),0)</f>
        <v/>
      </c>
      <c r="BE37" s="313">
        <f>IFERROR(IF(52&gt;=ASSUMPTIONS!$C$64,ASSUMPTIONS!$D$64*(1+ASSUMPTIONS!$B$66),0),0)</f>
        <v/>
      </c>
      <c r="BF37" s="313">
        <f>IFERROR(IF(53&gt;=ASSUMPTIONS!$C$64,ASSUMPTIONS!$D$64*(1+ASSUMPTIONS!$B$66),0),0)</f>
        <v/>
      </c>
      <c r="BG37" s="313">
        <f>IFERROR(IF(54&gt;=ASSUMPTIONS!$C$64,ASSUMPTIONS!$D$64*(1+ASSUMPTIONS!$B$66),0),0)</f>
        <v/>
      </c>
      <c r="BH37" s="313">
        <f>IFERROR(IF(55&gt;=ASSUMPTIONS!$C$64,ASSUMPTIONS!$D$64*(1+ASSUMPTIONS!$B$66),0),0)</f>
        <v/>
      </c>
      <c r="BI37" s="313">
        <f>IFERROR(IF(56&gt;=ASSUMPTIONS!$C$64,ASSUMPTIONS!$D$64*(1+ASSUMPTIONS!$B$66),0),0)</f>
        <v/>
      </c>
      <c r="BJ37" s="313">
        <f>IFERROR(IF(57&gt;=ASSUMPTIONS!$C$64,ASSUMPTIONS!$D$64*(1+ASSUMPTIONS!$B$66),0),0)</f>
        <v/>
      </c>
      <c r="BK37" s="313">
        <f>IFERROR(IF(58&gt;=ASSUMPTIONS!$C$64,ASSUMPTIONS!$D$64*(1+ASSUMPTIONS!$B$66),0),0)</f>
        <v/>
      </c>
      <c r="BL37" s="313">
        <f>IFERROR(IF(59&gt;=ASSUMPTIONS!$C$64,ASSUMPTIONS!$D$64*(1+ASSUMPTIONS!$B$66),0),0)</f>
        <v/>
      </c>
      <c r="BM37" s="313">
        <f>IFERROR(IF(60&gt;=ASSUMPTIONS!$C$64,ASSUMPTIONS!$D$64*(1+ASSUMPTIONS!$B$66),0),0)</f>
        <v/>
      </c>
      <c r="BN37" s="290">
        <f>SUM(BB37:BM37)</f>
        <v/>
      </c>
    </row>
    <row r="38" ht="19.5" customHeight="1" s="218">
      <c r="A38" s="315" t="inlineStr">
        <is>
          <t>CUSTOMER SUCCESS — TOTAL (£)</t>
        </is>
      </c>
      <c r="B38" s="295">
        <f>SUM(B35:B37)</f>
        <v/>
      </c>
      <c r="C38" s="295">
        <f>SUM(C35:C37)</f>
        <v/>
      </c>
      <c r="D38" s="295">
        <f>SUM(D35:D37)</f>
        <v/>
      </c>
      <c r="E38" s="295">
        <f>SUM(E35:E37)</f>
        <v/>
      </c>
      <c r="F38" s="295">
        <f>SUM(F35:F37)</f>
        <v/>
      </c>
      <c r="G38" s="295">
        <f>SUM(G35:G37)</f>
        <v/>
      </c>
      <c r="H38" s="295">
        <f>SUM(H35:H37)</f>
        <v/>
      </c>
      <c r="I38" s="295">
        <f>SUM(I35:I37)</f>
        <v/>
      </c>
      <c r="J38" s="295">
        <f>SUM(J35:J37)</f>
        <v/>
      </c>
      <c r="K38" s="295">
        <f>SUM(K35:K37)</f>
        <v/>
      </c>
      <c r="L38" s="295">
        <f>SUM(L35:L37)</f>
        <v/>
      </c>
      <c r="M38" s="295">
        <f>SUM(M35:M37)</f>
        <v/>
      </c>
      <c r="N38" s="295">
        <f>SUM(B38:M38)</f>
        <v/>
      </c>
      <c r="O38" s="295">
        <f>SUM(O35:O37)</f>
        <v/>
      </c>
      <c r="P38" s="295">
        <f>SUM(P35:P37)</f>
        <v/>
      </c>
      <c r="Q38" s="295">
        <f>SUM(Q35:Q37)</f>
        <v/>
      </c>
      <c r="R38" s="295">
        <f>SUM(R35:R37)</f>
        <v/>
      </c>
      <c r="S38" s="295">
        <f>SUM(S35:S37)</f>
        <v/>
      </c>
      <c r="T38" s="295">
        <f>SUM(T35:T37)</f>
        <v/>
      </c>
      <c r="U38" s="295">
        <f>SUM(U35:U37)</f>
        <v/>
      </c>
      <c r="V38" s="295">
        <f>SUM(V35:V37)</f>
        <v/>
      </c>
      <c r="W38" s="295">
        <f>SUM(W35:W37)</f>
        <v/>
      </c>
      <c r="X38" s="295">
        <f>SUM(X35:X37)</f>
        <v/>
      </c>
      <c r="Y38" s="295">
        <f>SUM(Y35:Y37)</f>
        <v/>
      </c>
      <c r="Z38" s="295">
        <f>SUM(Z35:Z37)</f>
        <v/>
      </c>
      <c r="AA38" s="295">
        <f>SUM(O38:Z38)</f>
        <v/>
      </c>
      <c r="AB38" s="295">
        <f>SUM(AB35:AB37)</f>
        <v/>
      </c>
      <c r="AC38" s="295">
        <f>SUM(AC35:AC37)</f>
        <v/>
      </c>
      <c r="AD38" s="295">
        <f>SUM(AD35:AD37)</f>
        <v/>
      </c>
      <c r="AE38" s="295">
        <f>SUM(AE35:AE37)</f>
        <v/>
      </c>
      <c r="AF38" s="295">
        <f>SUM(AF35:AF37)</f>
        <v/>
      </c>
      <c r="AG38" s="295">
        <f>SUM(AG35:AG37)</f>
        <v/>
      </c>
      <c r="AH38" s="295">
        <f>SUM(AH35:AH37)</f>
        <v/>
      </c>
      <c r="AI38" s="295">
        <f>SUM(AI35:AI37)</f>
        <v/>
      </c>
      <c r="AJ38" s="295">
        <f>SUM(AJ35:AJ37)</f>
        <v/>
      </c>
      <c r="AK38" s="295">
        <f>SUM(AK35:AK37)</f>
        <v/>
      </c>
      <c r="AL38" s="295">
        <f>SUM(AL35:AL37)</f>
        <v/>
      </c>
      <c r="AM38" s="295">
        <f>SUM(AM35:AM37)</f>
        <v/>
      </c>
      <c r="AN38" s="295">
        <f>SUM(AB38:AM38)</f>
        <v/>
      </c>
      <c r="AO38" s="295">
        <f>SUM(AO35:AO37)</f>
        <v/>
      </c>
      <c r="AP38" s="295">
        <f>SUM(AP35:AP37)</f>
        <v/>
      </c>
      <c r="AQ38" s="295">
        <f>SUM(AQ35:AQ37)</f>
        <v/>
      </c>
      <c r="AR38" s="295">
        <f>SUM(AR35:AR37)</f>
        <v/>
      </c>
      <c r="AS38" s="295">
        <f>SUM(AS35:AS37)</f>
        <v/>
      </c>
      <c r="AT38" s="295">
        <f>SUM(AT35:AT37)</f>
        <v/>
      </c>
      <c r="AU38" s="295">
        <f>SUM(AU35:AU37)</f>
        <v/>
      </c>
      <c r="AV38" s="295">
        <f>SUM(AV35:AV37)</f>
        <v/>
      </c>
      <c r="AW38" s="295">
        <f>SUM(AW35:AW37)</f>
        <v/>
      </c>
      <c r="AX38" s="295">
        <f>SUM(AX35:AX37)</f>
        <v/>
      </c>
      <c r="AY38" s="295">
        <f>SUM(AY35:AY37)</f>
        <v/>
      </c>
      <c r="AZ38" s="295">
        <f>SUM(AZ35:AZ37)</f>
        <v/>
      </c>
      <c r="BA38" s="296">
        <f>SUM(AO38:AZ38)</f>
        <v/>
      </c>
      <c r="BB38" s="295">
        <f>SUM(BB35:BB37)</f>
        <v/>
      </c>
      <c r="BC38" s="295">
        <f>SUM(BC35:BC37)</f>
        <v/>
      </c>
      <c r="BD38" s="295">
        <f>SUM(BD35:BD37)</f>
        <v/>
      </c>
      <c r="BE38" s="295">
        <f>SUM(BE35:BE37)</f>
        <v/>
      </c>
      <c r="BF38" s="295">
        <f>SUM(BF35:BF37)</f>
        <v/>
      </c>
      <c r="BG38" s="295">
        <f>SUM(BG35:BG37)</f>
        <v/>
      </c>
      <c r="BH38" s="295">
        <f>SUM(BH35:BH37)</f>
        <v/>
      </c>
      <c r="BI38" s="295">
        <f>SUM(BI35:BI37)</f>
        <v/>
      </c>
      <c r="BJ38" s="295">
        <f>SUM(BJ35:BJ37)</f>
        <v/>
      </c>
      <c r="BK38" s="295">
        <f>SUM(BK35:BK37)</f>
        <v/>
      </c>
      <c r="BL38" s="295">
        <f>SUM(BL35:BL37)</f>
        <v/>
      </c>
      <c r="BM38" s="295">
        <f>SUM(BM35:BM37)</f>
        <v/>
      </c>
      <c r="BN38" s="296">
        <f>SUM(BB38:BM38)</f>
        <v/>
      </c>
    </row>
    <row r="39" ht="6" customHeight="1" s="218">
      <c r="A39" s="297" t="n"/>
      <c r="B39" s="297" t="n"/>
      <c r="C39" s="297" t="n"/>
      <c r="D39" s="297" t="n"/>
      <c r="E39" s="297" t="n"/>
      <c r="F39" s="297" t="n"/>
      <c r="G39" s="297" t="n"/>
      <c r="H39" s="297" t="n"/>
      <c r="I39" s="297" t="n"/>
      <c r="J39" s="297" t="n"/>
      <c r="K39" s="297" t="n"/>
      <c r="L39" s="297" t="n"/>
      <c r="M39" s="297" t="n"/>
      <c r="N39" s="297" t="n"/>
      <c r="O39" s="297" t="n"/>
      <c r="P39" s="297" t="n"/>
      <c r="Q39" s="297" t="n"/>
      <c r="R39" s="297" t="n"/>
      <c r="S39" s="297" t="n"/>
      <c r="T39" s="297" t="n"/>
      <c r="U39" s="297" t="n"/>
      <c r="V39" s="297" t="n"/>
      <c r="W39" s="297" t="n"/>
      <c r="X39" s="297" t="n"/>
      <c r="Y39" s="297" t="n"/>
      <c r="Z39" s="297" t="n"/>
      <c r="AA39" s="297" t="n"/>
      <c r="AB39" s="297" t="n"/>
      <c r="AC39" s="297" t="n"/>
      <c r="AD39" s="297" t="n"/>
      <c r="AE39" s="297" t="n"/>
      <c r="AF39" s="297" t="n"/>
      <c r="AG39" s="297" t="n"/>
      <c r="AH39" s="297" t="n"/>
      <c r="AI39" s="297" t="n"/>
      <c r="AJ39" s="297" t="n"/>
      <c r="AK39" s="297" t="n"/>
      <c r="AL39" s="297" t="n"/>
      <c r="AM39" s="297" t="n"/>
      <c r="AN39" s="297" t="n"/>
      <c r="AO39" s="297" t="n"/>
      <c r="AP39" s="297" t="n"/>
      <c r="AQ39" s="297" t="n"/>
      <c r="AR39" s="297" t="n"/>
      <c r="AS39" s="297" t="n"/>
      <c r="AT39" s="297" t="n"/>
      <c r="AU39" s="297" t="n"/>
      <c r="AV39" s="297" t="n"/>
      <c r="AW39" s="297" t="n"/>
      <c r="AX39" s="297" t="n"/>
      <c r="AY39" s="297" t="n"/>
      <c r="AZ39" s="297" t="n"/>
      <c r="BA39" s="298" t="n"/>
      <c r="BB39" s="297" t="n"/>
      <c r="BC39" s="297" t="n"/>
      <c r="BD39" s="297" t="n"/>
      <c r="BE39" s="297" t="n"/>
      <c r="BF39" s="297" t="n"/>
      <c r="BG39" s="297" t="n"/>
      <c r="BH39" s="297" t="n"/>
      <c r="BI39" s="297" t="n"/>
      <c r="BJ39" s="297" t="n"/>
      <c r="BK39" s="297" t="n"/>
      <c r="BL39" s="297" t="n"/>
      <c r="BM39" s="297" t="n"/>
      <c r="BN39" s="298" t="n"/>
    </row>
    <row r="40" ht="19.5" customHeight="1" s="218">
      <c r="A40" s="299" t="inlineStr">
        <is>
          <t>G&amp;A</t>
        </is>
      </c>
    </row>
    <row r="41" ht="19.5" customHeight="1" s="218">
      <c r="A41" s="319">
        <f>IFERROR(ASSUMPTIONS!B65,"(empty)")</f>
        <v/>
      </c>
      <c r="B41" s="313">
        <f>IFERROR(IF(1&gt;=ASSUMPTIONS!$C$65,ASSUMPTIONS!$D$65*(1+ASSUMPTIONS!$B$66),0),0)</f>
        <v/>
      </c>
      <c r="C41" s="313">
        <f>IFERROR(IF(2&gt;=ASSUMPTIONS!$C$65,ASSUMPTIONS!$D$65*(1+ASSUMPTIONS!$B$66),0),0)</f>
        <v/>
      </c>
      <c r="D41" s="313">
        <f>IFERROR(IF(3&gt;=ASSUMPTIONS!$C$65,ASSUMPTIONS!$D$65*(1+ASSUMPTIONS!$B$66),0),0)</f>
        <v/>
      </c>
      <c r="E41" s="313">
        <f>IFERROR(IF(4&gt;=ASSUMPTIONS!$C$65,ASSUMPTIONS!$D$65*(1+ASSUMPTIONS!$B$66),0),0)</f>
        <v/>
      </c>
      <c r="F41" s="313">
        <f>IFERROR(IF(5&gt;=ASSUMPTIONS!$C$65,ASSUMPTIONS!$D$65*(1+ASSUMPTIONS!$B$66),0),0)</f>
        <v/>
      </c>
      <c r="G41" s="313">
        <f>IFERROR(IF(6&gt;=ASSUMPTIONS!$C$65,ASSUMPTIONS!$D$65*(1+ASSUMPTIONS!$B$66),0),0)</f>
        <v/>
      </c>
      <c r="H41" s="313">
        <f>IFERROR(IF(7&gt;=ASSUMPTIONS!$C$65,ASSUMPTIONS!$D$65*(1+ASSUMPTIONS!$B$66),0),0)</f>
        <v/>
      </c>
      <c r="I41" s="313">
        <f>IFERROR(IF(8&gt;=ASSUMPTIONS!$C$65,ASSUMPTIONS!$D$65*(1+ASSUMPTIONS!$B$66),0),0)</f>
        <v/>
      </c>
      <c r="J41" s="313">
        <f>IFERROR(IF(9&gt;=ASSUMPTIONS!$C$65,ASSUMPTIONS!$D$65*(1+ASSUMPTIONS!$B$66),0),0)</f>
        <v/>
      </c>
      <c r="K41" s="313">
        <f>IFERROR(IF(10&gt;=ASSUMPTIONS!$C$65,ASSUMPTIONS!$D$65*(1+ASSUMPTIONS!$B$66),0),0)</f>
        <v/>
      </c>
      <c r="L41" s="313">
        <f>IFERROR(IF(11&gt;=ASSUMPTIONS!$C$65,ASSUMPTIONS!$D$65*(1+ASSUMPTIONS!$B$66),0),0)</f>
        <v/>
      </c>
      <c r="M41" s="313">
        <f>IFERROR(IF(12&gt;=ASSUMPTIONS!$C$65,ASSUMPTIONS!$D$65*(1+ASSUMPTIONS!$B$66),0),0)</f>
        <v/>
      </c>
      <c r="N41" s="314">
        <f>SUM(B41:M41)</f>
        <v/>
      </c>
      <c r="O41" s="313">
        <f>IFERROR(IF(13&gt;=ASSUMPTIONS!$C$65,ASSUMPTIONS!$D$65*(1+ASSUMPTIONS!$B$66),0),0)</f>
        <v/>
      </c>
      <c r="P41" s="313">
        <f>IFERROR(IF(14&gt;=ASSUMPTIONS!$C$65,ASSUMPTIONS!$D$65*(1+ASSUMPTIONS!$B$66),0),0)</f>
        <v/>
      </c>
      <c r="Q41" s="313">
        <f>IFERROR(IF(15&gt;=ASSUMPTIONS!$C$65,ASSUMPTIONS!$D$65*(1+ASSUMPTIONS!$B$66),0),0)</f>
        <v/>
      </c>
      <c r="R41" s="313">
        <f>IFERROR(IF(16&gt;=ASSUMPTIONS!$C$65,ASSUMPTIONS!$D$65*(1+ASSUMPTIONS!$B$66),0),0)</f>
        <v/>
      </c>
      <c r="S41" s="313">
        <f>IFERROR(IF(17&gt;=ASSUMPTIONS!$C$65,ASSUMPTIONS!$D$65*(1+ASSUMPTIONS!$B$66),0),0)</f>
        <v/>
      </c>
      <c r="T41" s="313">
        <f>IFERROR(IF(18&gt;=ASSUMPTIONS!$C$65,ASSUMPTIONS!$D$65*(1+ASSUMPTIONS!$B$66),0),0)</f>
        <v/>
      </c>
      <c r="U41" s="313">
        <f>IFERROR(IF(19&gt;=ASSUMPTIONS!$C$65,ASSUMPTIONS!$D$65*(1+ASSUMPTIONS!$B$66),0),0)</f>
        <v/>
      </c>
      <c r="V41" s="313">
        <f>IFERROR(IF(20&gt;=ASSUMPTIONS!$C$65,ASSUMPTIONS!$D$65*(1+ASSUMPTIONS!$B$66),0),0)</f>
        <v/>
      </c>
      <c r="W41" s="313">
        <f>IFERROR(IF(21&gt;=ASSUMPTIONS!$C$65,ASSUMPTIONS!$D$65*(1+ASSUMPTIONS!$B$66),0),0)</f>
        <v/>
      </c>
      <c r="X41" s="313">
        <f>IFERROR(IF(22&gt;=ASSUMPTIONS!$C$65,ASSUMPTIONS!$D$65*(1+ASSUMPTIONS!$B$66),0),0)</f>
        <v/>
      </c>
      <c r="Y41" s="313">
        <f>IFERROR(IF(23&gt;=ASSUMPTIONS!$C$65,ASSUMPTIONS!$D$65*(1+ASSUMPTIONS!$B$66),0),0)</f>
        <v/>
      </c>
      <c r="Z41" s="313">
        <f>IFERROR(IF(24&gt;=ASSUMPTIONS!$C$65,ASSUMPTIONS!$D$65*(1+ASSUMPTIONS!$B$66),0),0)</f>
        <v/>
      </c>
      <c r="AA41" s="314">
        <f>SUM(O41:Z41)</f>
        <v/>
      </c>
      <c r="AB41" s="313">
        <f>IFERROR(IF(25&gt;=ASSUMPTIONS!$C$65,ASSUMPTIONS!$D$65*(1+ASSUMPTIONS!$B$66),0),0)</f>
        <v/>
      </c>
      <c r="AC41" s="313">
        <f>IFERROR(IF(26&gt;=ASSUMPTIONS!$C$65,ASSUMPTIONS!$D$65*(1+ASSUMPTIONS!$B$66),0),0)</f>
        <v/>
      </c>
      <c r="AD41" s="313">
        <f>IFERROR(IF(27&gt;=ASSUMPTIONS!$C$65,ASSUMPTIONS!$D$65*(1+ASSUMPTIONS!$B$66),0),0)</f>
        <v/>
      </c>
      <c r="AE41" s="313">
        <f>IFERROR(IF(28&gt;=ASSUMPTIONS!$C$65,ASSUMPTIONS!$D$65*(1+ASSUMPTIONS!$B$66),0),0)</f>
        <v/>
      </c>
      <c r="AF41" s="313">
        <f>IFERROR(IF(29&gt;=ASSUMPTIONS!$C$65,ASSUMPTIONS!$D$65*(1+ASSUMPTIONS!$B$66),0),0)</f>
        <v/>
      </c>
      <c r="AG41" s="313">
        <f>IFERROR(IF(30&gt;=ASSUMPTIONS!$C$65,ASSUMPTIONS!$D$65*(1+ASSUMPTIONS!$B$66),0),0)</f>
        <v/>
      </c>
      <c r="AH41" s="313">
        <f>IFERROR(IF(31&gt;=ASSUMPTIONS!$C$65,ASSUMPTIONS!$D$65*(1+ASSUMPTIONS!$B$66),0),0)</f>
        <v/>
      </c>
      <c r="AI41" s="313">
        <f>IFERROR(IF(32&gt;=ASSUMPTIONS!$C$65,ASSUMPTIONS!$D$65*(1+ASSUMPTIONS!$B$66),0),0)</f>
        <v/>
      </c>
      <c r="AJ41" s="313">
        <f>IFERROR(IF(33&gt;=ASSUMPTIONS!$C$65,ASSUMPTIONS!$D$65*(1+ASSUMPTIONS!$B$66),0),0)</f>
        <v/>
      </c>
      <c r="AK41" s="313">
        <f>IFERROR(IF(34&gt;=ASSUMPTIONS!$C$65,ASSUMPTIONS!$D$65*(1+ASSUMPTIONS!$B$66),0),0)</f>
        <v/>
      </c>
      <c r="AL41" s="313">
        <f>IFERROR(IF(35&gt;=ASSUMPTIONS!$C$65,ASSUMPTIONS!$D$65*(1+ASSUMPTIONS!$B$66),0),0)</f>
        <v/>
      </c>
      <c r="AM41" s="313">
        <f>IFERROR(IF(36&gt;=ASSUMPTIONS!$C$65,ASSUMPTIONS!$D$65*(1+ASSUMPTIONS!$B$66),0),0)</f>
        <v/>
      </c>
      <c r="AN41" s="314">
        <f>SUM(AB41:AM41)</f>
        <v/>
      </c>
      <c r="AO41" s="313">
        <f>IFERROR(IF(37&gt;=ASSUMPTIONS!$C$65,ASSUMPTIONS!$D$65*(1+ASSUMPTIONS!$B$66),0),0)</f>
        <v/>
      </c>
      <c r="AP41" s="313">
        <f>IFERROR(IF(38&gt;=ASSUMPTIONS!$C$65,ASSUMPTIONS!$D$65*(1+ASSUMPTIONS!$B$66),0),0)</f>
        <v/>
      </c>
      <c r="AQ41" s="313">
        <f>IFERROR(IF(39&gt;=ASSUMPTIONS!$C$65,ASSUMPTIONS!$D$65*(1+ASSUMPTIONS!$B$66),0),0)</f>
        <v/>
      </c>
      <c r="AR41" s="313">
        <f>IFERROR(IF(40&gt;=ASSUMPTIONS!$C$65,ASSUMPTIONS!$D$65*(1+ASSUMPTIONS!$B$66),0),0)</f>
        <v/>
      </c>
      <c r="AS41" s="313">
        <f>IFERROR(IF(41&gt;=ASSUMPTIONS!$C$65,ASSUMPTIONS!$D$65*(1+ASSUMPTIONS!$B$66),0),0)</f>
        <v/>
      </c>
      <c r="AT41" s="313">
        <f>IFERROR(IF(42&gt;=ASSUMPTIONS!$C$65,ASSUMPTIONS!$D$65*(1+ASSUMPTIONS!$B$66),0),0)</f>
        <v/>
      </c>
      <c r="AU41" s="313">
        <f>IFERROR(IF(43&gt;=ASSUMPTIONS!$C$65,ASSUMPTIONS!$D$65*(1+ASSUMPTIONS!$B$66),0),0)</f>
        <v/>
      </c>
      <c r="AV41" s="313">
        <f>IFERROR(IF(44&gt;=ASSUMPTIONS!$C$65,ASSUMPTIONS!$D$65*(1+ASSUMPTIONS!$B$66),0),0)</f>
        <v/>
      </c>
      <c r="AW41" s="313">
        <f>IFERROR(IF(45&gt;=ASSUMPTIONS!$C$65,ASSUMPTIONS!$D$65*(1+ASSUMPTIONS!$B$66),0),0)</f>
        <v/>
      </c>
      <c r="AX41" s="313">
        <f>IFERROR(IF(46&gt;=ASSUMPTIONS!$C$65,ASSUMPTIONS!$D$65*(1+ASSUMPTIONS!$B$66),0),0)</f>
        <v/>
      </c>
      <c r="AY41" s="313">
        <f>IFERROR(IF(47&gt;=ASSUMPTIONS!$C$65,ASSUMPTIONS!$D$65*(1+ASSUMPTIONS!$B$66),0),0)</f>
        <v/>
      </c>
      <c r="AZ41" s="313">
        <f>IFERROR(IF(48&gt;=ASSUMPTIONS!$C$65,ASSUMPTIONS!$D$65*(1+ASSUMPTIONS!$B$66),0),0)</f>
        <v/>
      </c>
      <c r="BA41" s="290">
        <f>SUM(AO41:AZ41)</f>
        <v/>
      </c>
      <c r="BB41" s="313">
        <f>IFERROR(IF(49&gt;=ASSUMPTIONS!$C$65,ASSUMPTIONS!$D$65*(1+ASSUMPTIONS!$B$66),0),0)</f>
        <v/>
      </c>
      <c r="BC41" s="313">
        <f>IFERROR(IF(50&gt;=ASSUMPTIONS!$C$65,ASSUMPTIONS!$D$65*(1+ASSUMPTIONS!$B$66),0),0)</f>
        <v/>
      </c>
      <c r="BD41" s="313">
        <f>IFERROR(IF(51&gt;=ASSUMPTIONS!$C$65,ASSUMPTIONS!$D$65*(1+ASSUMPTIONS!$B$66),0),0)</f>
        <v/>
      </c>
      <c r="BE41" s="313">
        <f>IFERROR(IF(52&gt;=ASSUMPTIONS!$C$65,ASSUMPTIONS!$D$65*(1+ASSUMPTIONS!$B$66),0),0)</f>
        <v/>
      </c>
      <c r="BF41" s="313">
        <f>IFERROR(IF(53&gt;=ASSUMPTIONS!$C$65,ASSUMPTIONS!$D$65*(1+ASSUMPTIONS!$B$66),0),0)</f>
        <v/>
      </c>
      <c r="BG41" s="313">
        <f>IFERROR(IF(54&gt;=ASSUMPTIONS!$C$65,ASSUMPTIONS!$D$65*(1+ASSUMPTIONS!$B$66),0),0)</f>
        <v/>
      </c>
      <c r="BH41" s="313">
        <f>IFERROR(IF(55&gt;=ASSUMPTIONS!$C$65,ASSUMPTIONS!$D$65*(1+ASSUMPTIONS!$B$66),0),0)</f>
        <v/>
      </c>
      <c r="BI41" s="313">
        <f>IFERROR(IF(56&gt;=ASSUMPTIONS!$C$65,ASSUMPTIONS!$D$65*(1+ASSUMPTIONS!$B$66),0),0)</f>
        <v/>
      </c>
      <c r="BJ41" s="313">
        <f>IFERROR(IF(57&gt;=ASSUMPTIONS!$C$65,ASSUMPTIONS!$D$65*(1+ASSUMPTIONS!$B$66),0),0)</f>
        <v/>
      </c>
      <c r="BK41" s="313">
        <f>IFERROR(IF(58&gt;=ASSUMPTIONS!$C$65,ASSUMPTIONS!$D$65*(1+ASSUMPTIONS!$B$66),0),0)</f>
        <v/>
      </c>
      <c r="BL41" s="313">
        <f>IFERROR(IF(59&gt;=ASSUMPTIONS!$C$65,ASSUMPTIONS!$D$65*(1+ASSUMPTIONS!$B$66),0),0)</f>
        <v/>
      </c>
      <c r="BM41" s="313">
        <f>IFERROR(IF(60&gt;=ASSUMPTIONS!$C$65,ASSUMPTIONS!$D$65*(1+ASSUMPTIONS!$B$66),0),0)</f>
        <v/>
      </c>
      <c r="BN41" s="290">
        <f>SUM(BB41:BM41)</f>
        <v/>
      </c>
    </row>
    <row r="42" ht="19.5" customHeight="1" s="218">
      <c r="A42" s="319">
        <f>IFERROR(ASSUMPTIONS!B66,"(empty)")</f>
        <v/>
      </c>
      <c r="B42" s="313">
        <f>IFERROR(IF(1&gt;=ASSUMPTIONS!$C$66,ASSUMPTIONS!$D$66*(1+ASSUMPTIONS!$B$66),0),0)</f>
        <v/>
      </c>
      <c r="C42" s="313">
        <f>IFERROR(IF(2&gt;=ASSUMPTIONS!$C$66,ASSUMPTIONS!$D$66*(1+ASSUMPTIONS!$B$66),0),0)</f>
        <v/>
      </c>
      <c r="D42" s="313">
        <f>IFERROR(IF(3&gt;=ASSUMPTIONS!$C$66,ASSUMPTIONS!$D$66*(1+ASSUMPTIONS!$B$66),0),0)</f>
        <v/>
      </c>
      <c r="E42" s="313">
        <f>IFERROR(IF(4&gt;=ASSUMPTIONS!$C$66,ASSUMPTIONS!$D$66*(1+ASSUMPTIONS!$B$66),0),0)</f>
        <v/>
      </c>
      <c r="F42" s="313">
        <f>IFERROR(IF(5&gt;=ASSUMPTIONS!$C$66,ASSUMPTIONS!$D$66*(1+ASSUMPTIONS!$B$66),0),0)</f>
        <v/>
      </c>
      <c r="G42" s="313">
        <f>IFERROR(IF(6&gt;=ASSUMPTIONS!$C$66,ASSUMPTIONS!$D$66*(1+ASSUMPTIONS!$B$66),0),0)</f>
        <v/>
      </c>
      <c r="H42" s="313">
        <f>IFERROR(IF(7&gt;=ASSUMPTIONS!$C$66,ASSUMPTIONS!$D$66*(1+ASSUMPTIONS!$B$66),0),0)</f>
        <v/>
      </c>
      <c r="I42" s="313">
        <f>IFERROR(IF(8&gt;=ASSUMPTIONS!$C$66,ASSUMPTIONS!$D$66*(1+ASSUMPTIONS!$B$66),0),0)</f>
        <v/>
      </c>
      <c r="J42" s="313">
        <f>IFERROR(IF(9&gt;=ASSUMPTIONS!$C$66,ASSUMPTIONS!$D$66*(1+ASSUMPTIONS!$B$66),0),0)</f>
        <v/>
      </c>
      <c r="K42" s="313">
        <f>IFERROR(IF(10&gt;=ASSUMPTIONS!$C$66,ASSUMPTIONS!$D$66*(1+ASSUMPTIONS!$B$66),0),0)</f>
        <v/>
      </c>
      <c r="L42" s="313">
        <f>IFERROR(IF(11&gt;=ASSUMPTIONS!$C$66,ASSUMPTIONS!$D$66*(1+ASSUMPTIONS!$B$66),0),0)</f>
        <v/>
      </c>
      <c r="M42" s="313">
        <f>IFERROR(IF(12&gt;=ASSUMPTIONS!$C$66,ASSUMPTIONS!$D$66*(1+ASSUMPTIONS!$B$66),0),0)</f>
        <v/>
      </c>
      <c r="N42" s="314">
        <f>SUM(B42:M42)</f>
        <v/>
      </c>
      <c r="O42" s="313">
        <f>IFERROR(IF(13&gt;=ASSUMPTIONS!$C$66,ASSUMPTIONS!$D$66*(1+ASSUMPTIONS!$B$66),0),0)</f>
        <v/>
      </c>
      <c r="P42" s="313">
        <f>IFERROR(IF(14&gt;=ASSUMPTIONS!$C$66,ASSUMPTIONS!$D$66*(1+ASSUMPTIONS!$B$66),0),0)</f>
        <v/>
      </c>
      <c r="Q42" s="313">
        <f>IFERROR(IF(15&gt;=ASSUMPTIONS!$C$66,ASSUMPTIONS!$D$66*(1+ASSUMPTIONS!$B$66),0),0)</f>
        <v/>
      </c>
      <c r="R42" s="313">
        <f>IFERROR(IF(16&gt;=ASSUMPTIONS!$C$66,ASSUMPTIONS!$D$66*(1+ASSUMPTIONS!$B$66),0),0)</f>
        <v/>
      </c>
      <c r="S42" s="313">
        <f>IFERROR(IF(17&gt;=ASSUMPTIONS!$C$66,ASSUMPTIONS!$D$66*(1+ASSUMPTIONS!$B$66),0),0)</f>
        <v/>
      </c>
      <c r="T42" s="313">
        <f>IFERROR(IF(18&gt;=ASSUMPTIONS!$C$66,ASSUMPTIONS!$D$66*(1+ASSUMPTIONS!$B$66),0),0)</f>
        <v/>
      </c>
      <c r="U42" s="313">
        <f>IFERROR(IF(19&gt;=ASSUMPTIONS!$C$66,ASSUMPTIONS!$D$66*(1+ASSUMPTIONS!$B$66),0),0)</f>
        <v/>
      </c>
      <c r="V42" s="313">
        <f>IFERROR(IF(20&gt;=ASSUMPTIONS!$C$66,ASSUMPTIONS!$D$66*(1+ASSUMPTIONS!$B$66),0),0)</f>
        <v/>
      </c>
      <c r="W42" s="313">
        <f>IFERROR(IF(21&gt;=ASSUMPTIONS!$C$66,ASSUMPTIONS!$D$66*(1+ASSUMPTIONS!$B$66),0),0)</f>
        <v/>
      </c>
      <c r="X42" s="313">
        <f>IFERROR(IF(22&gt;=ASSUMPTIONS!$C$66,ASSUMPTIONS!$D$66*(1+ASSUMPTIONS!$B$66),0),0)</f>
        <v/>
      </c>
      <c r="Y42" s="313">
        <f>IFERROR(IF(23&gt;=ASSUMPTIONS!$C$66,ASSUMPTIONS!$D$66*(1+ASSUMPTIONS!$B$66),0),0)</f>
        <v/>
      </c>
      <c r="Z42" s="313">
        <f>IFERROR(IF(24&gt;=ASSUMPTIONS!$C$66,ASSUMPTIONS!$D$66*(1+ASSUMPTIONS!$B$66),0),0)</f>
        <v/>
      </c>
      <c r="AA42" s="314">
        <f>SUM(O42:Z42)</f>
        <v/>
      </c>
      <c r="AB42" s="313">
        <f>IFERROR(IF(25&gt;=ASSUMPTIONS!$C$66,ASSUMPTIONS!$D$66*(1+ASSUMPTIONS!$B$66),0),0)</f>
        <v/>
      </c>
      <c r="AC42" s="313">
        <f>IFERROR(IF(26&gt;=ASSUMPTIONS!$C$66,ASSUMPTIONS!$D$66*(1+ASSUMPTIONS!$B$66),0),0)</f>
        <v/>
      </c>
      <c r="AD42" s="313">
        <f>IFERROR(IF(27&gt;=ASSUMPTIONS!$C$66,ASSUMPTIONS!$D$66*(1+ASSUMPTIONS!$B$66),0),0)</f>
        <v/>
      </c>
      <c r="AE42" s="313">
        <f>IFERROR(IF(28&gt;=ASSUMPTIONS!$C$66,ASSUMPTIONS!$D$66*(1+ASSUMPTIONS!$B$66),0),0)</f>
        <v/>
      </c>
      <c r="AF42" s="313">
        <f>IFERROR(IF(29&gt;=ASSUMPTIONS!$C$66,ASSUMPTIONS!$D$66*(1+ASSUMPTIONS!$B$66),0),0)</f>
        <v/>
      </c>
      <c r="AG42" s="313">
        <f>IFERROR(IF(30&gt;=ASSUMPTIONS!$C$66,ASSUMPTIONS!$D$66*(1+ASSUMPTIONS!$B$66),0),0)</f>
        <v/>
      </c>
      <c r="AH42" s="313">
        <f>IFERROR(IF(31&gt;=ASSUMPTIONS!$C$66,ASSUMPTIONS!$D$66*(1+ASSUMPTIONS!$B$66),0),0)</f>
        <v/>
      </c>
      <c r="AI42" s="313">
        <f>IFERROR(IF(32&gt;=ASSUMPTIONS!$C$66,ASSUMPTIONS!$D$66*(1+ASSUMPTIONS!$B$66),0),0)</f>
        <v/>
      </c>
      <c r="AJ42" s="313">
        <f>IFERROR(IF(33&gt;=ASSUMPTIONS!$C$66,ASSUMPTIONS!$D$66*(1+ASSUMPTIONS!$B$66),0),0)</f>
        <v/>
      </c>
      <c r="AK42" s="313">
        <f>IFERROR(IF(34&gt;=ASSUMPTIONS!$C$66,ASSUMPTIONS!$D$66*(1+ASSUMPTIONS!$B$66),0),0)</f>
        <v/>
      </c>
      <c r="AL42" s="313">
        <f>IFERROR(IF(35&gt;=ASSUMPTIONS!$C$66,ASSUMPTIONS!$D$66*(1+ASSUMPTIONS!$B$66),0),0)</f>
        <v/>
      </c>
      <c r="AM42" s="313">
        <f>IFERROR(IF(36&gt;=ASSUMPTIONS!$C$66,ASSUMPTIONS!$D$66*(1+ASSUMPTIONS!$B$66),0),0)</f>
        <v/>
      </c>
      <c r="AN42" s="314">
        <f>SUM(AB42:AM42)</f>
        <v/>
      </c>
      <c r="AO42" s="313">
        <f>IFERROR(IF(37&gt;=ASSUMPTIONS!$C$66,ASSUMPTIONS!$D$66*(1+ASSUMPTIONS!$B$66),0),0)</f>
        <v/>
      </c>
      <c r="AP42" s="313">
        <f>IFERROR(IF(38&gt;=ASSUMPTIONS!$C$66,ASSUMPTIONS!$D$66*(1+ASSUMPTIONS!$B$66),0),0)</f>
        <v/>
      </c>
      <c r="AQ42" s="313">
        <f>IFERROR(IF(39&gt;=ASSUMPTIONS!$C$66,ASSUMPTIONS!$D$66*(1+ASSUMPTIONS!$B$66),0),0)</f>
        <v/>
      </c>
      <c r="AR42" s="313">
        <f>IFERROR(IF(40&gt;=ASSUMPTIONS!$C$66,ASSUMPTIONS!$D$66*(1+ASSUMPTIONS!$B$66),0),0)</f>
        <v/>
      </c>
      <c r="AS42" s="313">
        <f>IFERROR(IF(41&gt;=ASSUMPTIONS!$C$66,ASSUMPTIONS!$D$66*(1+ASSUMPTIONS!$B$66),0),0)</f>
        <v/>
      </c>
      <c r="AT42" s="313">
        <f>IFERROR(IF(42&gt;=ASSUMPTIONS!$C$66,ASSUMPTIONS!$D$66*(1+ASSUMPTIONS!$B$66),0),0)</f>
        <v/>
      </c>
      <c r="AU42" s="313">
        <f>IFERROR(IF(43&gt;=ASSUMPTIONS!$C$66,ASSUMPTIONS!$D$66*(1+ASSUMPTIONS!$B$66),0),0)</f>
        <v/>
      </c>
      <c r="AV42" s="313">
        <f>IFERROR(IF(44&gt;=ASSUMPTIONS!$C$66,ASSUMPTIONS!$D$66*(1+ASSUMPTIONS!$B$66),0),0)</f>
        <v/>
      </c>
      <c r="AW42" s="313">
        <f>IFERROR(IF(45&gt;=ASSUMPTIONS!$C$66,ASSUMPTIONS!$D$66*(1+ASSUMPTIONS!$B$66),0),0)</f>
        <v/>
      </c>
      <c r="AX42" s="313">
        <f>IFERROR(IF(46&gt;=ASSUMPTIONS!$C$66,ASSUMPTIONS!$D$66*(1+ASSUMPTIONS!$B$66),0),0)</f>
        <v/>
      </c>
      <c r="AY42" s="313">
        <f>IFERROR(IF(47&gt;=ASSUMPTIONS!$C$66,ASSUMPTIONS!$D$66*(1+ASSUMPTIONS!$B$66),0),0)</f>
        <v/>
      </c>
      <c r="AZ42" s="313">
        <f>IFERROR(IF(48&gt;=ASSUMPTIONS!$C$66,ASSUMPTIONS!$D$66*(1+ASSUMPTIONS!$B$66),0),0)</f>
        <v/>
      </c>
      <c r="BA42" s="290">
        <f>SUM(AO42:AZ42)</f>
        <v/>
      </c>
      <c r="BB42" s="313">
        <f>IFERROR(IF(49&gt;=ASSUMPTIONS!$C$66,ASSUMPTIONS!$D$66*(1+ASSUMPTIONS!$B$66),0),0)</f>
        <v/>
      </c>
      <c r="BC42" s="313">
        <f>IFERROR(IF(50&gt;=ASSUMPTIONS!$C$66,ASSUMPTIONS!$D$66*(1+ASSUMPTIONS!$B$66),0),0)</f>
        <v/>
      </c>
      <c r="BD42" s="313">
        <f>IFERROR(IF(51&gt;=ASSUMPTIONS!$C$66,ASSUMPTIONS!$D$66*(1+ASSUMPTIONS!$B$66),0),0)</f>
        <v/>
      </c>
      <c r="BE42" s="313">
        <f>IFERROR(IF(52&gt;=ASSUMPTIONS!$C$66,ASSUMPTIONS!$D$66*(1+ASSUMPTIONS!$B$66),0),0)</f>
        <v/>
      </c>
      <c r="BF42" s="313">
        <f>IFERROR(IF(53&gt;=ASSUMPTIONS!$C$66,ASSUMPTIONS!$D$66*(1+ASSUMPTIONS!$B$66),0),0)</f>
        <v/>
      </c>
      <c r="BG42" s="313">
        <f>IFERROR(IF(54&gt;=ASSUMPTIONS!$C$66,ASSUMPTIONS!$D$66*(1+ASSUMPTIONS!$B$66),0),0)</f>
        <v/>
      </c>
      <c r="BH42" s="313">
        <f>IFERROR(IF(55&gt;=ASSUMPTIONS!$C$66,ASSUMPTIONS!$D$66*(1+ASSUMPTIONS!$B$66),0),0)</f>
        <v/>
      </c>
      <c r="BI42" s="313">
        <f>IFERROR(IF(56&gt;=ASSUMPTIONS!$C$66,ASSUMPTIONS!$D$66*(1+ASSUMPTIONS!$B$66),0),0)</f>
        <v/>
      </c>
      <c r="BJ42" s="313">
        <f>IFERROR(IF(57&gt;=ASSUMPTIONS!$C$66,ASSUMPTIONS!$D$66*(1+ASSUMPTIONS!$B$66),0),0)</f>
        <v/>
      </c>
      <c r="BK42" s="313">
        <f>IFERROR(IF(58&gt;=ASSUMPTIONS!$C$66,ASSUMPTIONS!$D$66*(1+ASSUMPTIONS!$B$66),0),0)</f>
        <v/>
      </c>
      <c r="BL42" s="313">
        <f>IFERROR(IF(59&gt;=ASSUMPTIONS!$C$66,ASSUMPTIONS!$D$66*(1+ASSUMPTIONS!$B$66),0),0)</f>
        <v/>
      </c>
      <c r="BM42" s="313">
        <f>IFERROR(IF(60&gt;=ASSUMPTIONS!$C$66,ASSUMPTIONS!$D$66*(1+ASSUMPTIONS!$B$66),0),0)</f>
        <v/>
      </c>
      <c r="BN42" s="290">
        <f>SUM(BB42:BM42)</f>
        <v/>
      </c>
    </row>
    <row r="43" ht="19.5" customHeight="1" s="218">
      <c r="A43" s="315" t="inlineStr">
        <is>
          <t>G&amp;A — TOTAL (£)</t>
        </is>
      </c>
      <c r="B43" s="295">
        <f>SUM(B41:B42)</f>
        <v/>
      </c>
      <c r="C43" s="295">
        <f>SUM(C41:C42)</f>
        <v/>
      </c>
      <c r="D43" s="295">
        <f>SUM(D41:D42)</f>
        <v/>
      </c>
      <c r="E43" s="295">
        <f>SUM(E41:E42)</f>
        <v/>
      </c>
      <c r="F43" s="295">
        <f>SUM(F41:F42)</f>
        <v/>
      </c>
      <c r="G43" s="295">
        <f>SUM(G41:G42)</f>
        <v/>
      </c>
      <c r="H43" s="295">
        <f>SUM(H41:H42)</f>
        <v/>
      </c>
      <c r="I43" s="295">
        <f>SUM(I41:I42)</f>
        <v/>
      </c>
      <c r="J43" s="295">
        <f>SUM(J41:J42)</f>
        <v/>
      </c>
      <c r="K43" s="295">
        <f>SUM(K41:K42)</f>
        <v/>
      </c>
      <c r="L43" s="295">
        <f>SUM(L41:L42)</f>
        <v/>
      </c>
      <c r="M43" s="295">
        <f>SUM(M41:M42)</f>
        <v/>
      </c>
      <c r="N43" s="295">
        <f>SUM(B43:M43)</f>
        <v/>
      </c>
      <c r="O43" s="295">
        <f>SUM(O41:O42)</f>
        <v/>
      </c>
      <c r="P43" s="295">
        <f>SUM(P41:P42)</f>
        <v/>
      </c>
      <c r="Q43" s="295">
        <f>SUM(Q41:Q42)</f>
        <v/>
      </c>
      <c r="R43" s="295">
        <f>SUM(R41:R42)</f>
        <v/>
      </c>
      <c r="S43" s="295">
        <f>SUM(S41:S42)</f>
        <v/>
      </c>
      <c r="T43" s="295">
        <f>SUM(T41:T42)</f>
        <v/>
      </c>
      <c r="U43" s="295">
        <f>SUM(U41:U42)</f>
        <v/>
      </c>
      <c r="V43" s="295">
        <f>SUM(V41:V42)</f>
        <v/>
      </c>
      <c r="W43" s="295">
        <f>SUM(W41:W42)</f>
        <v/>
      </c>
      <c r="X43" s="295">
        <f>SUM(X41:X42)</f>
        <v/>
      </c>
      <c r="Y43" s="295">
        <f>SUM(Y41:Y42)</f>
        <v/>
      </c>
      <c r="Z43" s="295">
        <f>SUM(Z41:Z42)</f>
        <v/>
      </c>
      <c r="AA43" s="295">
        <f>SUM(O43:Z43)</f>
        <v/>
      </c>
      <c r="AB43" s="295">
        <f>SUM(AB41:AB42)</f>
        <v/>
      </c>
      <c r="AC43" s="295">
        <f>SUM(AC41:AC42)</f>
        <v/>
      </c>
      <c r="AD43" s="295">
        <f>SUM(AD41:AD42)</f>
        <v/>
      </c>
      <c r="AE43" s="295">
        <f>SUM(AE41:AE42)</f>
        <v/>
      </c>
      <c r="AF43" s="295">
        <f>SUM(AF41:AF42)</f>
        <v/>
      </c>
      <c r="AG43" s="295">
        <f>SUM(AG41:AG42)</f>
        <v/>
      </c>
      <c r="AH43" s="295">
        <f>SUM(AH41:AH42)</f>
        <v/>
      </c>
      <c r="AI43" s="295">
        <f>SUM(AI41:AI42)</f>
        <v/>
      </c>
      <c r="AJ43" s="295">
        <f>SUM(AJ41:AJ42)</f>
        <v/>
      </c>
      <c r="AK43" s="295">
        <f>SUM(AK41:AK42)</f>
        <v/>
      </c>
      <c r="AL43" s="295">
        <f>SUM(AL41:AL42)</f>
        <v/>
      </c>
      <c r="AM43" s="295">
        <f>SUM(AM41:AM42)</f>
        <v/>
      </c>
      <c r="AN43" s="295">
        <f>SUM(AB43:AM43)</f>
        <v/>
      </c>
      <c r="AO43" s="295">
        <f>SUM(AO41:AO42)</f>
        <v/>
      </c>
      <c r="AP43" s="295">
        <f>SUM(AP41:AP42)</f>
        <v/>
      </c>
      <c r="AQ43" s="295">
        <f>SUM(AQ41:AQ42)</f>
        <v/>
      </c>
      <c r="AR43" s="295">
        <f>SUM(AR41:AR42)</f>
        <v/>
      </c>
      <c r="AS43" s="295">
        <f>SUM(AS41:AS42)</f>
        <v/>
      </c>
      <c r="AT43" s="295">
        <f>SUM(AT41:AT42)</f>
        <v/>
      </c>
      <c r="AU43" s="295">
        <f>SUM(AU41:AU42)</f>
        <v/>
      </c>
      <c r="AV43" s="295">
        <f>SUM(AV41:AV42)</f>
        <v/>
      </c>
      <c r="AW43" s="295">
        <f>SUM(AW41:AW42)</f>
        <v/>
      </c>
      <c r="AX43" s="295">
        <f>SUM(AX41:AX42)</f>
        <v/>
      </c>
      <c r="AY43" s="295">
        <f>SUM(AY41:AY42)</f>
        <v/>
      </c>
      <c r="AZ43" s="295">
        <f>SUM(AZ41:AZ42)</f>
        <v/>
      </c>
      <c r="BA43" s="296">
        <f>SUM(AO43:AZ43)</f>
        <v/>
      </c>
      <c r="BB43" s="295">
        <f>SUM(BB41:BB42)</f>
        <v/>
      </c>
      <c r="BC43" s="295">
        <f>SUM(BC41:BC42)</f>
        <v/>
      </c>
      <c r="BD43" s="295">
        <f>SUM(BD41:BD42)</f>
        <v/>
      </c>
      <c r="BE43" s="295">
        <f>SUM(BE41:BE42)</f>
        <v/>
      </c>
      <c r="BF43" s="295">
        <f>SUM(BF41:BF42)</f>
        <v/>
      </c>
      <c r="BG43" s="295">
        <f>SUM(BG41:BG42)</f>
        <v/>
      </c>
      <c r="BH43" s="295">
        <f>SUM(BH41:BH42)</f>
        <v/>
      </c>
      <c r="BI43" s="295">
        <f>SUM(BI41:BI42)</f>
        <v/>
      </c>
      <c r="BJ43" s="295">
        <f>SUM(BJ41:BJ42)</f>
        <v/>
      </c>
      <c r="BK43" s="295">
        <f>SUM(BK41:BK42)</f>
        <v/>
      </c>
      <c r="BL43" s="295">
        <f>SUM(BL41:BL42)</f>
        <v/>
      </c>
      <c r="BM43" s="295">
        <f>SUM(BM41:BM42)</f>
        <v/>
      </c>
      <c r="BN43" s="296">
        <f>SUM(BB43:BM43)</f>
        <v/>
      </c>
    </row>
    <row r="44" ht="6" customHeight="1" s="218">
      <c r="A44" s="297" t="n"/>
      <c r="B44" s="297" t="n"/>
      <c r="C44" s="297" t="n"/>
      <c r="D44" s="297" t="n"/>
      <c r="E44" s="297" t="n"/>
      <c r="F44" s="297" t="n"/>
      <c r="G44" s="297" t="n"/>
      <c r="H44" s="297" t="n"/>
      <c r="I44" s="297" t="n"/>
      <c r="J44" s="297" t="n"/>
      <c r="K44" s="297" t="n"/>
      <c r="L44" s="297" t="n"/>
      <c r="M44" s="297" t="n"/>
      <c r="N44" s="297" t="n"/>
      <c r="O44" s="297" t="n"/>
      <c r="P44" s="297" t="n"/>
      <c r="Q44" s="297" t="n"/>
      <c r="R44" s="297" t="n"/>
      <c r="S44" s="297" t="n"/>
      <c r="T44" s="297" t="n"/>
      <c r="U44" s="297" t="n"/>
      <c r="V44" s="297" t="n"/>
      <c r="W44" s="297" t="n"/>
      <c r="X44" s="297" t="n"/>
      <c r="Y44" s="297" t="n"/>
      <c r="Z44" s="297" t="n"/>
      <c r="AA44" s="297" t="n"/>
      <c r="AB44" s="297" t="n"/>
      <c r="AC44" s="297" t="n"/>
      <c r="AD44" s="297" t="n"/>
      <c r="AE44" s="297" t="n"/>
      <c r="AF44" s="297" t="n"/>
      <c r="AG44" s="297" t="n"/>
      <c r="AH44" s="297" t="n"/>
      <c r="AI44" s="297" t="n"/>
      <c r="AJ44" s="297" t="n"/>
      <c r="AK44" s="297" t="n"/>
      <c r="AL44" s="297" t="n"/>
      <c r="AM44" s="297" t="n"/>
      <c r="AN44" s="297" t="n"/>
      <c r="AO44" s="297" t="n"/>
      <c r="AP44" s="297" t="n"/>
      <c r="AQ44" s="297" t="n"/>
      <c r="AR44" s="297" t="n"/>
      <c r="AS44" s="297" t="n"/>
      <c r="AT44" s="297" t="n"/>
      <c r="AU44" s="297" t="n"/>
      <c r="AV44" s="297" t="n"/>
      <c r="AW44" s="297" t="n"/>
      <c r="AX44" s="297" t="n"/>
      <c r="AY44" s="297" t="n"/>
      <c r="AZ44" s="297" t="n"/>
      <c r="BA44" s="298" t="n"/>
      <c r="BB44" s="297" t="n"/>
      <c r="BC44" s="297" t="n"/>
      <c r="BD44" s="297" t="n"/>
      <c r="BE44" s="297" t="n"/>
      <c r="BF44" s="297" t="n"/>
      <c r="BG44" s="297" t="n"/>
      <c r="BH44" s="297" t="n"/>
      <c r="BI44" s="297" t="n"/>
      <c r="BJ44" s="297" t="n"/>
      <c r="BK44" s="297" t="n"/>
      <c r="BL44" s="297" t="n"/>
      <c r="BM44" s="297" t="n"/>
      <c r="BN44" s="298" t="n"/>
    </row>
    <row r="45" ht="21.75" customHeight="1" s="218">
      <c r="A45" s="320" t="inlineStr">
        <is>
          <t>TOTAL HEADCOUNT COST (£)</t>
        </is>
      </c>
      <c r="B45" s="321">
        <f>IFERROR(B13+B19+B26+B32+B38+B43,0)</f>
        <v/>
      </c>
      <c r="C45" s="321">
        <f>IFERROR(C13+C19+C26+C32+C38+C43,0)</f>
        <v/>
      </c>
      <c r="D45" s="321">
        <f>IFERROR(D13+D19+D26+D32+D38+D43,0)</f>
        <v/>
      </c>
      <c r="E45" s="321">
        <f>IFERROR(E13+E19+E26+E32+E38+E43,0)</f>
        <v/>
      </c>
      <c r="F45" s="321">
        <f>IFERROR(F13+F19+F26+F32+F38+F43,0)</f>
        <v/>
      </c>
      <c r="G45" s="321">
        <f>IFERROR(G13+G19+G26+G32+G38+G43,0)</f>
        <v/>
      </c>
      <c r="H45" s="321">
        <f>IFERROR(H13+H19+H26+H32+H38+H43,0)</f>
        <v/>
      </c>
      <c r="I45" s="321">
        <f>IFERROR(I13+I19+I26+I32+I38+I43,0)</f>
        <v/>
      </c>
      <c r="J45" s="321">
        <f>IFERROR(J13+J19+J26+J32+J38+J43,0)</f>
        <v/>
      </c>
      <c r="K45" s="321">
        <f>IFERROR(K13+K19+K26+K32+K38+K43,0)</f>
        <v/>
      </c>
      <c r="L45" s="321">
        <f>IFERROR(L13+L19+L26+L32+L38+L43,0)</f>
        <v/>
      </c>
      <c r="M45" s="321">
        <f>IFERROR(M13+M19+M26+M32+M38+M43,0)</f>
        <v/>
      </c>
      <c r="N45" s="295">
        <f>SUM(B45:M45)</f>
        <v/>
      </c>
      <c r="O45" s="321">
        <f>IFERROR(O13+O19+O26+O32+O38+O43,0)</f>
        <v/>
      </c>
      <c r="P45" s="321">
        <f>IFERROR(P13+P19+P26+P32+P38+P43,0)</f>
        <v/>
      </c>
      <c r="Q45" s="321">
        <f>IFERROR(Q13+Q19+Q26+Q32+Q38+Q43,0)</f>
        <v/>
      </c>
      <c r="R45" s="321">
        <f>IFERROR(R13+R19+R26+R32+R38+R43,0)</f>
        <v/>
      </c>
      <c r="S45" s="321">
        <f>IFERROR(S13+S19+S26+S32+S38+S43,0)</f>
        <v/>
      </c>
      <c r="T45" s="321">
        <f>IFERROR(T13+T19+T26+T32+T38+T43,0)</f>
        <v/>
      </c>
      <c r="U45" s="321">
        <f>IFERROR(U13+U19+U26+U32+U38+U43,0)</f>
        <v/>
      </c>
      <c r="V45" s="321">
        <f>IFERROR(V13+V19+V26+V32+V38+V43,0)</f>
        <v/>
      </c>
      <c r="W45" s="321">
        <f>IFERROR(W13+W19+W26+W32+W38+W43,0)</f>
        <v/>
      </c>
      <c r="X45" s="321">
        <f>IFERROR(X13+X19+X26+X32+X38+X43,0)</f>
        <v/>
      </c>
      <c r="Y45" s="321">
        <f>IFERROR(Y13+Y19+Y26+Y32+Y38+Y43,0)</f>
        <v/>
      </c>
      <c r="Z45" s="321">
        <f>IFERROR(Z13+Z19+Z26+Z32+Z38+Z43,0)</f>
        <v/>
      </c>
      <c r="AA45" s="295">
        <f>SUM(O45:Z45)</f>
        <v/>
      </c>
      <c r="AB45" s="321">
        <f>IFERROR(AB13+AB19+AB26+AB32+AB38+AB43,0)</f>
        <v/>
      </c>
      <c r="AC45" s="321">
        <f>IFERROR(AC13+AC19+AC26+AC32+AC38+AC43,0)</f>
        <v/>
      </c>
      <c r="AD45" s="321">
        <f>IFERROR(AD13+AD19+AD26+AD32+AD38+AD43,0)</f>
        <v/>
      </c>
      <c r="AE45" s="321">
        <f>IFERROR(AE13+AE19+AE26+AE32+AE38+AE43,0)</f>
        <v/>
      </c>
      <c r="AF45" s="321">
        <f>IFERROR(AF13+AF19+AF26+AF32+AF38+AF43,0)</f>
        <v/>
      </c>
      <c r="AG45" s="321">
        <f>IFERROR(AG13+AG19+AG26+AG32+AG38+AG43,0)</f>
        <v/>
      </c>
      <c r="AH45" s="321">
        <f>IFERROR(AH13+AH19+AH26+AH32+AH38+AH43,0)</f>
        <v/>
      </c>
      <c r="AI45" s="321">
        <f>IFERROR(AI13+AI19+AI26+AI32+AI38+AI43,0)</f>
        <v/>
      </c>
      <c r="AJ45" s="321">
        <f>IFERROR(AJ13+AJ19+AJ26+AJ32+AJ38+AJ43,0)</f>
        <v/>
      </c>
      <c r="AK45" s="321">
        <f>IFERROR(AK13+AK19+AK26+AK32+AK38+AK43,0)</f>
        <v/>
      </c>
      <c r="AL45" s="321">
        <f>IFERROR(AL13+AL19+AL26+AL32+AL38+AL43,0)</f>
        <v/>
      </c>
      <c r="AM45" s="321">
        <f>IFERROR(AM13+AM19+AM26+AM32+AM38+AM43,0)</f>
        <v/>
      </c>
      <c r="AN45" s="295">
        <f>SUM(AB45:AM45)</f>
        <v/>
      </c>
      <c r="AO45" s="321">
        <f>IFERROR(AO13+AO19+AO26+AO32+AO38+AO43,0)</f>
        <v/>
      </c>
      <c r="AP45" s="321">
        <f>IFERROR(AP13+AP19+AP26+AP32+AP38+AP43,0)</f>
        <v/>
      </c>
      <c r="AQ45" s="321">
        <f>IFERROR(AQ13+AQ19+AQ26+AQ32+AQ38+AQ43,0)</f>
        <v/>
      </c>
      <c r="AR45" s="321">
        <f>IFERROR(AR13+AR19+AR26+AR32+AR38+AR43,0)</f>
        <v/>
      </c>
      <c r="AS45" s="321">
        <f>IFERROR(AS13+AS19+AS26+AS32+AS38+AS43,0)</f>
        <v/>
      </c>
      <c r="AT45" s="321">
        <f>IFERROR(AT13+AT19+AT26+AT32+AT38+AT43,0)</f>
        <v/>
      </c>
      <c r="AU45" s="321">
        <f>IFERROR(AU13+AU19+AU26+AU32+AU38+AU43,0)</f>
        <v/>
      </c>
      <c r="AV45" s="321">
        <f>IFERROR(AV13+AV19+AV26+AV32+AV38+AV43,0)</f>
        <v/>
      </c>
      <c r="AW45" s="321">
        <f>IFERROR(AW13+AW19+AW26+AW32+AW38+AW43,0)</f>
        <v/>
      </c>
      <c r="AX45" s="321">
        <f>IFERROR(AX13+AX19+AX26+AX32+AX38+AX43,0)</f>
        <v/>
      </c>
      <c r="AY45" s="321">
        <f>IFERROR(AY13+AY19+AY26+AY32+AY38+AY43,0)</f>
        <v/>
      </c>
      <c r="AZ45" s="321">
        <f>IFERROR(AZ13+AZ19+AZ26+AZ32+AZ38+AZ43,0)</f>
        <v/>
      </c>
      <c r="BA45" s="296">
        <f>SUM(AO45:AZ45)</f>
        <v/>
      </c>
      <c r="BB45" s="321">
        <f>IFERROR(BB13+BB19+BB26+BB32+BB38+BB43,0)</f>
        <v/>
      </c>
      <c r="BC45" s="321">
        <f>IFERROR(BC13+BC19+BC26+BC32+BC38+BC43,0)</f>
        <v/>
      </c>
      <c r="BD45" s="321">
        <f>IFERROR(BD13+BD19+BD26+BD32+BD38+BD43,0)</f>
        <v/>
      </c>
      <c r="BE45" s="321">
        <f>IFERROR(BE13+BE19+BE26+BE32+BE38+BE43,0)</f>
        <v/>
      </c>
      <c r="BF45" s="321">
        <f>IFERROR(BF13+BF19+BF26+BF32+BF38+BF43,0)</f>
        <v/>
      </c>
      <c r="BG45" s="321">
        <f>IFERROR(BG13+BG19+BG26+BG32+BG38+BG43,0)</f>
        <v/>
      </c>
      <c r="BH45" s="321">
        <f>IFERROR(BH13+BH19+BH26+BH32+BH38+BH43,0)</f>
        <v/>
      </c>
      <c r="BI45" s="321">
        <f>IFERROR(BI13+BI19+BI26+BI32+BI38+BI43,0)</f>
        <v/>
      </c>
      <c r="BJ45" s="321">
        <f>IFERROR(BJ13+BJ19+BJ26+BJ32+BJ38+BJ43,0)</f>
        <v/>
      </c>
      <c r="BK45" s="321">
        <f>IFERROR(BK13+BK19+BK26+BK32+BK38+BK43,0)</f>
        <v/>
      </c>
      <c r="BL45" s="321">
        <f>IFERROR(BL13+BL19+BL26+BL32+BL38+BL43,0)</f>
        <v/>
      </c>
      <c r="BM45" s="321">
        <f>IFERROR(BM13+BM19+BM26+BM32+BM38+BM43,0)</f>
        <v/>
      </c>
      <c r="BN45" s="296">
        <f>SUM(BB45:BM45)</f>
        <v/>
      </c>
    </row>
    <row r="46" ht="15.75" customHeight="1" s="218"/>
    <row r="47" ht="15.75" customHeight="1" s="218"/>
    <row r="48" ht="15.75" customHeight="1" s="218"/>
    <row r="49" ht="15.75" customHeight="1" s="218"/>
    <row r="50" ht="15.75" customHeight="1" s="218"/>
    <row r="51" ht="15.75" customHeight="1" s="218"/>
    <row r="52" ht="15.75" customHeight="1" s="218"/>
    <row r="53" ht="15.75" customHeight="1" s="218"/>
    <row r="54" ht="15.75" customHeight="1" s="218"/>
    <row r="55" ht="15.75" customHeight="1" s="218"/>
    <row r="56" ht="15.75" customHeight="1" s="218"/>
    <row r="57" ht="15.75" customHeight="1" s="218"/>
    <row r="58" ht="15.75" customHeight="1" s="218"/>
    <row r="59" ht="15.75" customHeight="1" s="218"/>
    <row r="60" ht="15.75" customHeight="1" s="218"/>
    <row r="61" ht="15.75" customHeight="1" s="218"/>
    <row r="62" ht="15.75" customHeight="1" s="218"/>
    <row r="63" ht="15.75" customHeight="1" s="218"/>
    <row r="64" ht="15.75" customHeight="1" s="218"/>
    <row r="65" ht="15.75" customHeight="1" s="218"/>
    <row r="66" ht="15.75" customHeight="1" s="218"/>
    <row r="67" ht="15.75" customHeight="1" s="218"/>
    <row r="68" ht="15.75" customHeight="1" s="218"/>
    <row r="69" ht="15.75" customHeight="1" s="218"/>
    <row r="70" ht="15.75" customHeight="1" s="218"/>
    <row r="71" ht="15.75" customHeight="1" s="218"/>
    <row r="72" ht="15.75" customHeight="1" s="218"/>
    <row r="73" ht="15.75" customHeight="1" s="218"/>
    <row r="74" ht="15.75" customHeight="1" s="218"/>
    <row r="75" ht="15.75" customHeight="1" s="218"/>
    <row r="76" ht="15.75" customHeight="1" s="218"/>
    <row r="77" ht="15.75" customHeight="1" s="218"/>
    <row r="78" ht="15.75" customHeight="1" s="218"/>
    <row r="79" ht="15.75" customHeight="1" s="218"/>
    <row r="80" ht="15.75" customHeight="1" s="218"/>
    <row r="81" ht="15.75" customHeight="1" s="218"/>
    <row r="82" ht="15.75" customHeight="1" s="218"/>
    <row r="83" ht="15.75" customHeight="1" s="218"/>
    <row r="84" ht="15.75" customHeight="1" s="218"/>
    <row r="85" ht="15.75" customHeight="1" s="218"/>
    <row r="86" ht="15.75" customHeight="1" s="218"/>
    <row r="87" ht="15.75" customHeight="1" s="218"/>
    <row r="88" ht="15.75" customHeight="1" s="218"/>
    <row r="89" ht="15.75" customHeight="1" s="218"/>
    <row r="90" ht="15.75" customHeight="1" s="218"/>
    <row r="91" ht="15.75" customHeight="1" s="218"/>
    <row r="92" ht="15.75" customHeight="1" s="218"/>
    <row r="93" ht="15.75" customHeight="1" s="218"/>
    <row r="94" ht="15.75" customHeight="1" s="218"/>
    <row r="95" ht="15.75" customHeight="1" s="218"/>
    <row r="96" ht="15.75" customHeight="1" s="218"/>
    <row r="97" ht="15.75" customHeight="1" s="218"/>
    <row r="98" ht="15.75" customHeight="1" s="218"/>
    <row r="99" ht="15.75" customHeight="1" s="218"/>
    <row r="100" ht="15.75" customHeight="1" s="218"/>
    <row r="101" ht="15.75" customHeight="1" s="218"/>
    <row r="102" ht="15.75" customHeight="1" s="218"/>
    <row r="103" ht="15.75" customHeight="1" s="218"/>
    <row r="104" ht="15.75" customHeight="1" s="218"/>
    <row r="105" ht="15.75" customHeight="1" s="218"/>
    <row r="106" ht="15.75" customHeight="1" s="218"/>
    <row r="107" ht="15.75" customHeight="1" s="218"/>
    <row r="108" ht="15.75" customHeight="1" s="218"/>
    <row r="109" ht="15.75" customHeight="1" s="218"/>
    <row r="110" ht="15.75" customHeight="1" s="218"/>
    <row r="111" ht="15.75" customHeight="1" s="218"/>
    <row r="112" ht="15.75" customHeight="1" s="218"/>
    <row r="113" ht="15.75" customHeight="1" s="218"/>
    <row r="114" ht="15.75" customHeight="1" s="218"/>
    <row r="115" ht="15.75" customHeight="1" s="218"/>
    <row r="116" ht="15.75" customHeight="1" s="218"/>
    <row r="117" ht="15.75" customHeight="1" s="218"/>
    <row r="118" ht="15.75" customHeight="1" s="218"/>
    <row r="119" ht="15.75" customHeight="1" s="218"/>
    <row r="120" ht="15.75" customHeight="1" s="218"/>
    <row r="121" ht="15.75" customHeight="1" s="218"/>
    <row r="122" ht="15.75" customHeight="1" s="218"/>
    <row r="123" ht="15.75" customHeight="1" s="218"/>
    <row r="124" ht="15.75" customHeight="1" s="218"/>
    <row r="125" ht="15.75" customHeight="1" s="218"/>
    <row r="126" ht="15.75" customHeight="1" s="218"/>
    <row r="127" ht="15.75" customHeight="1" s="218"/>
    <row r="128" ht="15.75" customHeight="1" s="218"/>
    <row r="129" ht="15.75" customHeight="1" s="218"/>
    <row r="130" ht="15.75" customHeight="1" s="218"/>
    <row r="131" ht="15.75" customHeight="1" s="218"/>
    <row r="132" ht="15.75" customHeight="1" s="218"/>
    <row r="133" ht="15.75" customHeight="1" s="218"/>
    <row r="134" ht="15.75" customHeight="1" s="218"/>
    <row r="135" ht="15.75" customHeight="1" s="218"/>
    <row r="136" ht="15.75" customHeight="1" s="218"/>
    <row r="137" ht="15.75" customHeight="1" s="218"/>
    <row r="138" ht="15.75" customHeight="1" s="218"/>
    <row r="139" ht="15.75" customHeight="1" s="218"/>
    <row r="140" ht="15.75" customHeight="1" s="218"/>
    <row r="141" ht="15.75" customHeight="1" s="218"/>
    <row r="142" ht="15.75" customHeight="1" s="218"/>
    <row r="143" ht="15.75" customHeight="1" s="218"/>
    <row r="144" ht="15.75" customHeight="1" s="218"/>
    <row r="145" ht="15.75" customHeight="1" s="218"/>
    <row r="146" ht="15.75" customHeight="1" s="218"/>
    <row r="147" ht="15.75" customHeight="1" s="218"/>
    <row r="148" ht="15.75" customHeight="1" s="218"/>
    <row r="149" ht="15.75" customHeight="1" s="218"/>
    <row r="150" ht="15.75" customHeight="1" s="218"/>
    <row r="151" ht="15.75" customHeight="1" s="218"/>
    <row r="152" ht="15.75" customHeight="1" s="218"/>
    <row r="153" ht="15.75" customHeight="1" s="218"/>
    <row r="154" ht="15.75" customHeight="1" s="218"/>
    <row r="155" ht="15.75" customHeight="1" s="218"/>
    <row r="156" ht="15.75" customHeight="1" s="218"/>
    <row r="157" ht="15.75" customHeight="1" s="218"/>
    <row r="158" ht="15.75" customHeight="1" s="218"/>
    <row r="159" ht="15.75" customHeight="1" s="218"/>
    <row r="160" ht="15.75" customHeight="1" s="218"/>
    <row r="161" ht="15.75" customHeight="1" s="218"/>
    <row r="162" ht="15.75" customHeight="1" s="218"/>
    <row r="163" ht="15.75" customHeight="1" s="218"/>
    <row r="164" ht="15.75" customHeight="1" s="218"/>
    <row r="165" ht="15.75" customHeight="1" s="218"/>
    <row r="166" ht="15.75" customHeight="1" s="218"/>
    <row r="167" ht="15.75" customHeight="1" s="218"/>
    <row r="168" ht="15.75" customHeight="1" s="218"/>
    <row r="169" ht="15.75" customHeight="1" s="218"/>
    <row r="170" ht="15.75" customHeight="1" s="218"/>
    <row r="171" ht="15.75" customHeight="1" s="218"/>
    <row r="172" ht="15.75" customHeight="1" s="218"/>
    <row r="173" ht="15.75" customHeight="1" s="218"/>
    <row r="174" ht="15.75" customHeight="1" s="218"/>
    <row r="175" ht="15.75" customHeight="1" s="218"/>
    <row r="176" ht="15.75" customHeight="1" s="218"/>
    <row r="177" ht="15.75" customHeight="1" s="218"/>
    <row r="178" ht="15.75" customHeight="1" s="218"/>
    <row r="179" ht="15.75" customHeight="1" s="218"/>
    <row r="180" ht="15.75" customHeight="1" s="218"/>
    <row r="181" ht="15.75" customHeight="1" s="218"/>
    <row r="182" ht="15.75" customHeight="1" s="218"/>
    <row r="183" ht="15.75" customHeight="1" s="218"/>
    <row r="184" ht="15.75" customHeight="1" s="218"/>
    <row r="185" ht="15.75" customHeight="1" s="218"/>
    <row r="186" ht="15.75" customHeight="1" s="218"/>
    <row r="187" ht="15.75" customHeight="1" s="218"/>
    <row r="188" ht="15.75" customHeight="1" s="218"/>
    <row r="189" ht="15.75" customHeight="1" s="218"/>
    <row r="190" ht="15.75" customHeight="1" s="218"/>
    <row r="191" ht="15.75" customHeight="1" s="218"/>
    <row r="192" ht="15.75" customHeight="1" s="218"/>
    <row r="193" ht="15.75" customHeight="1" s="218"/>
    <row r="194" ht="15.75" customHeight="1" s="218"/>
    <row r="195" ht="15.75" customHeight="1" s="218"/>
    <row r="196" ht="15.75" customHeight="1" s="218"/>
    <row r="197" ht="15.75" customHeight="1" s="218"/>
    <row r="198" ht="15.75" customHeight="1" s="218"/>
    <row r="199" ht="15.75" customHeight="1" s="218"/>
    <row r="200" ht="15.75" customHeight="1" s="218"/>
    <row r="201" ht="15.75" customHeight="1" s="218"/>
    <row r="202" ht="15.75" customHeight="1" s="218"/>
    <row r="203" ht="15.75" customHeight="1" s="218"/>
    <row r="204" ht="15.75" customHeight="1" s="218"/>
    <row r="205" ht="15.75" customHeight="1" s="218"/>
    <row r="206" ht="15.75" customHeight="1" s="218"/>
    <row r="207" ht="15.75" customHeight="1" s="218"/>
    <row r="208" ht="15.75" customHeight="1" s="218"/>
    <row r="209" ht="15.75" customHeight="1" s="218"/>
    <row r="210" ht="15.75" customHeight="1" s="218"/>
    <row r="211" ht="15.75" customHeight="1" s="218"/>
    <row r="212" ht="15.75" customHeight="1" s="218"/>
    <row r="213" ht="15.75" customHeight="1" s="218"/>
    <row r="214" ht="15.75" customHeight="1" s="218"/>
    <row r="215" ht="15.75" customHeight="1" s="218"/>
    <row r="216" ht="15.75" customHeight="1" s="218"/>
    <row r="217" ht="15.75" customHeight="1" s="218"/>
    <row r="218" ht="15.75" customHeight="1" s="218"/>
    <row r="219" ht="15.75" customHeight="1" s="218"/>
    <row r="220" ht="15.75" customHeight="1" s="218"/>
    <row r="221" ht="15.75" customHeight="1" s="218"/>
    <row r="222" ht="15.75" customHeight="1" s="218"/>
    <row r="223" ht="15.75" customHeight="1" s="218"/>
    <row r="224" ht="15.75" customHeight="1" s="218"/>
    <row r="225" ht="15.75" customHeight="1" s="218"/>
    <row r="226" ht="15.75" customHeight="1" s="218"/>
    <row r="227" ht="15.75" customHeight="1" s="218"/>
    <row r="228" ht="15.75" customHeight="1" s="218"/>
    <row r="229" ht="15.75" customHeight="1" s="218"/>
    <row r="230" ht="15.75" customHeight="1" s="218"/>
    <row r="231" ht="15.75" customHeight="1" s="218"/>
    <row r="232" ht="15.75" customHeight="1" s="218"/>
    <row r="233" ht="15.75" customHeight="1" s="218"/>
    <row r="234" ht="15.75" customHeight="1" s="218"/>
    <row r="235" ht="15.75" customHeight="1" s="218"/>
    <row r="236" ht="15.75" customHeight="1" s="218"/>
    <row r="237" ht="15.75" customHeight="1" s="218"/>
    <row r="238" ht="15.75" customHeight="1" s="218"/>
    <row r="239" ht="15.75" customHeight="1" s="218"/>
    <row r="240" ht="15.75" customHeight="1" s="218"/>
    <row r="241" ht="15.75" customHeight="1" s="218"/>
    <row r="242" ht="15.75" customHeight="1" s="218"/>
    <row r="243" ht="15.75" customHeight="1" s="218"/>
    <row r="244" ht="15.75" customHeight="1" s="218"/>
    <row r="245" ht="15.75" customHeight="1" s="218"/>
    <row r="246" ht="15.75" customHeight="1" s="218"/>
    <row r="247" ht="15.75" customHeight="1" s="218"/>
    <row r="248" ht="15.75" customHeight="1" s="218"/>
    <row r="249" ht="15.75" customHeight="1" s="218"/>
    <row r="250" ht="15.75" customHeight="1" s="218"/>
    <row r="251" ht="15.75" customHeight="1" s="218"/>
    <row r="252" ht="15.75" customHeight="1" s="218"/>
    <row r="253" ht="15.75" customHeight="1" s="218"/>
    <row r="254" ht="15.75" customHeight="1" s="218"/>
    <row r="255" ht="15.75" customHeight="1" s="218"/>
    <row r="256" ht="15.75" customHeight="1" s="218"/>
    <row r="257" ht="15.75" customHeight="1" s="218"/>
    <row r="258" ht="15.75" customHeight="1" s="218"/>
    <row r="259" ht="15.75" customHeight="1" s="218"/>
    <row r="260" ht="15.75" customHeight="1" s="218"/>
    <row r="261" ht="15.75" customHeight="1" s="218"/>
    <row r="262" ht="15.75" customHeight="1" s="218"/>
    <row r="263" ht="15.75" customHeight="1" s="218"/>
    <row r="264" ht="15.75" customHeight="1" s="218"/>
    <row r="265" ht="15.75" customHeight="1" s="218"/>
    <row r="266" ht="15.75" customHeight="1" s="218"/>
    <row r="267" ht="15.75" customHeight="1" s="218"/>
    <row r="268" ht="15.75" customHeight="1" s="218"/>
    <row r="269" ht="15.75" customHeight="1" s="218"/>
    <row r="270" ht="15.75" customHeight="1" s="218"/>
    <row r="271" ht="15.75" customHeight="1" s="218"/>
    <row r="272" ht="15.75" customHeight="1" s="218"/>
    <row r="273" ht="15.75" customHeight="1" s="218"/>
    <row r="274" ht="15.75" customHeight="1" s="218"/>
    <row r="275" ht="15.75" customHeight="1" s="218"/>
    <row r="276" ht="15.75" customHeight="1" s="218"/>
    <row r="277" ht="15.75" customHeight="1" s="218"/>
    <row r="278" ht="15.75" customHeight="1" s="218"/>
    <row r="279" ht="15.75" customHeight="1" s="218"/>
    <row r="280" ht="15.75" customHeight="1" s="218"/>
    <row r="281" ht="15.75" customHeight="1" s="218"/>
    <row r="282" ht="15.75" customHeight="1" s="218"/>
    <row r="283" ht="15.75" customHeight="1" s="218"/>
    <row r="284" ht="15.75" customHeight="1" s="218"/>
    <row r="285" ht="15.75" customHeight="1" s="218"/>
    <row r="286" ht="15.75" customHeight="1" s="218"/>
    <row r="287" ht="15.75" customHeight="1" s="218"/>
    <row r="288" ht="15.75" customHeight="1" s="218"/>
    <row r="289" ht="15.75" customHeight="1" s="218"/>
    <row r="290" ht="15.75" customHeight="1" s="218"/>
    <row r="291" ht="15.75" customHeight="1" s="218"/>
    <row r="292" ht="15.75" customHeight="1" s="218"/>
    <row r="293" ht="15.75" customHeight="1" s="218"/>
    <row r="294" ht="15.75" customHeight="1" s="218"/>
    <row r="295" ht="15.75" customHeight="1" s="218"/>
    <row r="296" ht="15.75" customHeight="1" s="218"/>
    <row r="297" ht="15.75" customHeight="1" s="218"/>
    <row r="298" ht="15.75" customHeight="1" s="218"/>
    <row r="299" ht="15.75" customHeight="1" s="218"/>
    <row r="300" ht="15.75" customHeight="1" s="218"/>
    <row r="301" ht="15.75" customHeight="1" s="218"/>
    <row r="302" ht="15.75" customHeight="1" s="218"/>
    <row r="303" ht="15.75" customHeight="1" s="218"/>
    <row r="304" ht="15.75" customHeight="1" s="218"/>
    <row r="305" ht="15.75" customHeight="1" s="218"/>
    <row r="306" ht="15.75" customHeight="1" s="218"/>
    <row r="307" ht="15.75" customHeight="1" s="218"/>
    <row r="308" ht="15.75" customHeight="1" s="218"/>
    <row r="309" ht="15.75" customHeight="1" s="218"/>
    <row r="310" ht="15.75" customHeight="1" s="218"/>
    <row r="311" ht="15.75" customHeight="1" s="218"/>
    <row r="312" ht="15.75" customHeight="1" s="218"/>
    <row r="313" ht="15.75" customHeight="1" s="218"/>
    <row r="314" ht="15.75" customHeight="1" s="218"/>
    <row r="315" ht="15.75" customHeight="1" s="218"/>
    <row r="316" ht="15.75" customHeight="1" s="218"/>
    <row r="317" ht="15.75" customHeight="1" s="218"/>
    <row r="318" ht="15.75" customHeight="1" s="218"/>
    <row r="319" ht="15.75" customHeight="1" s="218"/>
    <row r="320" ht="15.75" customHeight="1" s="218"/>
    <row r="321" ht="15.75" customHeight="1" s="218"/>
    <row r="322" ht="15.75" customHeight="1" s="218"/>
    <row r="323" ht="15.75" customHeight="1" s="218"/>
    <row r="324" ht="15.75" customHeight="1" s="218"/>
    <row r="325" ht="15.75" customHeight="1" s="218"/>
    <row r="326" ht="15.75" customHeight="1" s="218"/>
    <row r="327" ht="15.75" customHeight="1" s="218"/>
    <row r="328" ht="15.75" customHeight="1" s="218"/>
    <row r="329" ht="15.75" customHeight="1" s="218"/>
    <row r="330" ht="15.75" customHeight="1" s="218"/>
    <row r="331" ht="15.75" customHeight="1" s="218"/>
    <row r="332" ht="15.75" customHeight="1" s="218"/>
    <row r="333" ht="15.75" customHeight="1" s="218"/>
    <row r="334" ht="15.75" customHeight="1" s="218"/>
    <row r="335" ht="15.75" customHeight="1" s="218"/>
    <row r="336" ht="15.75" customHeight="1" s="218"/>
    <row r="337" ht="15.75" customHeight="1" s="218"/>
    <row r="338" ht="15.75" customHeight="1" s="218"/>
    <row r="339" ht="15.75" customHeight="1" s="218"/>
    <row r="340" ht="15.75" customHeight="1" s="218"/>
    <row r="341" ht="15.75" customHeight="1" s="218"/>
    <row r="342" ht="15.75" customHeight="1" s="218"/>
    <row r="343" ht="15.75" customHeight="1" s="218"/>
    <row r="344" ht="15.75" customHeight="1" s="218"/>
    <row r="345" ht="15.75" customHeight="1" s="218"/>
    <row r="346" ht="15.75" customHeight="1" s="218"/>
    <row r="347" ht="15.75" customHeight="1" s="218"/>
    <row r="348" ht="15.75" customHeight="1" s="218"/>
    <row r="349" ht="15.75" customHeight="1" s="218"/>
    <row r="350" ht="15.75" customHeight="1" s="218"/>
    <row r="351" ht="15.75" customHeight="1" s="218"/>
    <row r="352" ht="15.75" customHeight="1" s="218"/>
    <row r="353" ht="15.75" customHeight="1" s="218"/>
    <row r="354" ht="15.75" customHeight="1" s="218"/>
    <row r="355" ht="15.75" customHeight="1" s="218"/>
    <row r="356" ht="15.75" customHeight="1" s="218"/>
    <row r="357" ht="15.75" customHeight="1" s="218"/>
    <row r="358" ht="15.75" customHeight="1" s="218"/>
    <row r="359" ht="15.75" customHeight="1" s="218"/>
    <row r="360" ht="15.75" customHeight="1" s="218"/>
    <row r="361" ht="15.75" customHeight="1" s="218"/>
    <row r="362" ht="15.75" customHeight="1" s="218"/>
    <row r="363" ht="15.75" customHeight="1" s="218"/>
    <row r="364" ht="15.75" customHeight="1" s="218"/>
    <row r="365" ht="15.75" customHeight="1" s="218"/>
    <row r="366" ht="15.75" customHeight="1" s="218"/>
    <row r="367" ht="15.75" customHeight="1" s="218"/>
    <row r="368" ht="15.75" customHeight="1" s="218"/>
    <row r="369" ht="15.75" customHeight="1" s="218"/>
    <row r="370" ht="15.75" customHeight="1" s="218"/>
    <row r="371" ht="15.75" customHeight="1" s="218"/>
    <row r="372" ht="15.75" customHeight="1" s="218"/>
    <row r="373" ht="15.75" customHeight="1" s="218"/>
    <row r="374" ht="15.75" customHeight="1" s="218"/>
    <row r="375" ht="15.75" customHeight="1" s="218"/>
    <row r="376" ht="15.75" customHeight="1" s="218"/>
    <row r="377" ht="15.75" customHeight="1" s="218"/>
    <row r="378" ht="15.75" customHeight="1" s="218"/>
    <row r="379" ht="15.75" customHeight="1" s="218"/>
    <row r="380" ht="15.75" customHeight="1" s="218"/>
    <row r="381" ht="15.75" customHeight="1" s="218"/>
    <row r="382" ht="15.75" customHeight="1" s="218"/>
    <row r="383" ht="15.75" customHeight="1" s="218"/>
    <row r="384" ht="15.75" customHeight="1" s="218"/>
    <row r="385" ht="15.75" customHeight="1" s="218"/>
    <row r="386" ht="15.75" customHeight="1" s="218"/>
    <row r="387" ht="15.75" customHeight="1" s="218"/>
    <row r="388" ht="15.75" customHeight="1" s="218"/>
    <row r="389" ht="15.75" customHeight="1" s="218"/>
    <row r="390" ht="15.75" customHeight="1" s="218"/>
    <row r="391" ht="15.75" customHeight="1" s="218"/>
    <row r="392" ht="15.75" customHeight="1" s="218"/>
    <row r="393" ht="15.75" customHeight="1" s="218"/>
    <row r="394" ht="15.75" customHeight="1" s="218"/>
    <row r="395" ht="15.75" customHeight="1" s="218"/>
    <row r="396" ht="15.75" customHeight="1" s="218"/>
    <row r="397" ht="15.75" customHeight="1" s="218"/>
    <row r="398" ht="15.75" customHeight="1" s="218"/>
    <row r="399" ht="15.75" customHeight="1" s="218"/>
    <row r="400" ht="15.75" customHeight="1" s="218"/>
    <row r="401" ht="15.75" customHeight="1" s="218"/>
    <row r="402" ht="15.75" customHeight="1" s="218"/>
    <row r="403" ht="15.75" customHeight="1" s="218"/>
    <row r="404" ht="15.75" customHeight="1" s="218"/>
    <row r="405" ht="15.75" customHeight="1" s="218"/>
    <row r="406" ht="15.75" customHeight="1" s="218"/>
    <row r="407" ht="15.75" customHeight="1" s="218"/>
    <row r="408" ht="15.75" customHeight="1" s="218"/>
    <row r="409" ht="15.75" customHeight="1" s="218"/>
    <row r="410" ht="15.75" customHeight="1" s="218"/>
    <row r="411" ht="15.75" customHeight="1" s="218"/>
    <row r="412" ht="15.75" customHeight="1" s="218"/>
    <row r="413" ht="15.75" customHeight="1" s="218"/>
    <row r="414" ht="15.75" customHeight="1" s="218"/>
    <row r="415" ht="15.75" customHeight="1" s="218"/>
    <row r="416" ht="15.75" customHeight="1" s="218"/>
    <row r="417" ht="15.75" customHeight="1" s="218"/>
    <row r="418" ht="15.75" customHeight="1" s="218"/>
    <row r="419" ht="15.75" customHeight="1" s="218"/>
    <row r="420" ht="15.75" customHeight="1" s="218"/>
    <row r="421" ht="15.75" customHeight="1" s="218"/>
    <row r="422" ht="15.75" customHeight="1" s="218"/>
    <row r="423" ht="15.75" customHeight="1" s="218"/>
    <row r="424" ht="15.75" customHeight="1" s="218"/>
    <row r="425" ht="15.75" customHeight="1" s="218"/>
    <row r="426" ht="15.75" customHeight="1" s="218"/>
    <row r="427" ht="15.75" customHeight="1" s="218"/>
    <row r="428" ht="15.75" customHeight="1" s="218"/>
    <row r="429" ht="15.75" customHeight="1" s="218"/>
    <row r="430" ht="15.75" customHeight="1" s="218"/>
    <row r="431" ht="15.75" customHeight="1" s="218"/>
    <row r="432" ht="15.75" customHeight="1" s="218"/>
    <row r="433" ht="15.75" customHeight="1" s="218"/>
    <row r="434" ht="15.75" customHeight="1" s="218"/>
    <row r="435" ht="15.75" customHeight="1" s="218"/>
    <row r="436" ht="15.75" customHeight="1" s="218"/>
    <row r="437" ht="15.75" customHeight="1" s="218"/>
    <row r="438" ht="15.75" customHeight="1" s="218"/>
    <row r="439" ht="15.75" customHeight="1" s="218"/>
    <row r="440" ht="15.75" customHeight="1" s="218"/>
    <row r="441" ht="15.75" customHeight="1" s="218"/>
    <row r="442" ht="15.75" customHeight="1" s="218"/>
    <row r="443" ht="15.75" customHeight="1" s="218"/>
    <row r="444" ht="15.75" customHeight="1" s="218"/>
    <row r="445" ht="15.75" customHeight="1" s="218"/>
    <row r="446" ht="15.75" customHeight="1" s="218"/>
    <row r="447" ht="15.75" customHeight="1" s="218"/>
    <row r="448" ht="15.75" customHeight="1" s="218"/>
    <row r="449" ht="15.75" customHeight="1" s="218"/>
    <row r="450" ht="15.75" customHeight="1" s="218"/>
    <row r="451" ht="15.75" customHeight="1" s="218"/>
    <row r="452" ht="15.75" customHeight="1" s="218"/>
    <row r="453" ht="15.75" customHeight="1" s="218"/>
    <row r="454" ht="15.75" customHeight="1" s="218"/>
    <row r="455" ht="15.75" customHeight="1" s="218"/>
    <row r="456" ht="15.75" customHeight="1" s="218"/>
    <row r="457" ht="15.75" customHeight="1" s="218"/>
    <row r="458" ht="15.75" customHeight="1" s="218"/>
    <row r="459" ht="15.75" customHeight="1" s="218"/>
    <row r="460" ht="15.75" customHeight="1" s="218"/>
    <row r="461" ht="15.75" customHeight="1" s="218"/>
    <row r="462" ht="15.75" customHeight="1" s="218"/>
    <row r="463" ht="15.75" customHeight="1" s="218"/>
    <row r="464" ht="15.75" customHeight="1" s="218"/>
    <row r="465" ht="15.75" customHeight="1" s="218"/>
    <row r="466" ht="15.75" customHeight="1" s="218"/>
    <row r="467" ht="15.75" customHeight="1" s="218"/>
    <row r="468" ht="15.75" customHeight="1" s="218"/>
    <row r="469" ht="15.75" customHeight="1" s="218"/>
    <row r="470" ht="15.75" customHeight="1" s="218"/>
    <row r="471" ht="15.75" customHeight="1" s="218"/>
    <row r="472" ht="15.75" customHeight="1" s="218"/>
    <row r="473" ht="15.75" customHeight="1" s="218"/>
    <row r="474" ht="15.75" customHeight="1" s="218"/>
    <row r="475" ht="15.75" customHeight="1" s="218"/>
    <row r="476" ht="15.75" customHeight="1" s="218"/>
    <row r="477" ht="15.75" customHeight="1" s="218"/>
    <row r="478" ht="15.75" customHeight="1" s="218"/>
    <row r="479" ht="15.75" customHeight="1" s="218"/>
    <row r="480" ht="15.75" customHeight="1" s="218"/>
    <row r="481" ht="15.75" customHeight="1" s="218"/>
    <row r="482" ht="15.75" customHeight="1" s="218"/>
    <row r="483" ht="15.75" customHeight="1" s="218"/>
    <row r="484" ht="15.75" customHeight="1" s="218"/>
    <row r="485" ht="15.75" customHeight="1" s="218"/>
    <row r="486" ht="15.75" customHeight="1" s="218"/>
    <row r="487" ht="15.75" customHeight="1" s="218"/>
    <row r="488" ht="15.75" customHeight="1" s="218"/>
    <row r="489" ht="15.75" customHeight="1" s="218"/>
    <row r="490" ht="15.75" customHeight="1" s="218"/>
    <row r="491" ht="15.75" customHeight="1" s="218"/>
    <row r="492" ht="15.75" customHeight="1" s="218"/>
    <row r="493" ht="15.75" customHeight="1" s="218"/>
    <row r="494" ht="15.75" customHeight="1" s="218"/>
    <row r="495" ht="15.75" customHeight="1" s="218"/>
    <row r="496" ht="15.75" customHeight="1" s="218"/>
    <row r="497" ht="15.75" customHeight="1" s="218"/>
    <row r="498" ht="15.75" customHeight="1" s="218"/>
    <row r="499" ht="15.75" customHeight="1" s="218"/>
    <row r="500" ht="15.75" customHeight="1" s="218"/>
    <row r="501" ht="15.75" customHeight="1" s="218"/>
    <row r="502" ht="15.75" customHeight="1" s="218"/>
    <row r="503" ht="15.75" customHeight="1" s="218"/>
    <row r="504" ht="15.75" customHeight="1" s="218"/>
    <row r="505" ht="15.75" customHeight="1" s="218"/>
    <row r="506" ht="15.75" customHeight="1" s="218"/>
    <row r="507" ht="15.75" customHeight="1" s="218"/>
    <row r="508" ht="15.75" customHeight="1" s="218"/>
    <row r="509" ht="15.75" customHeight="1" s="218"/>
    <row r="510" ht="15.75" customHeight="1" s="218"/>
    <row r="511" ht="15.75" customHeight="1" s="218"/>
    <row r="512" ht="15.75" customHeight="1" s="218"/>
    <row r="513" ht="15.75" customHeight="1" s="218"/>
    <row r="514" ht="15.75" customHeight="1" s="218"/>
    <row r="515" ht="15.75" customHeight="1" s="218"/>
    <row r="516" ht="15.75" customHeight="1" s="218"/>
    <row r="517" ht="15.75" customHeight="1" s="218"/>
    <row r="518" ht="15.75" customHeight="1" s="218"/>
    <row r="519" ht="15.75" customHeight="1" s="218"/>
    <row r="520" ht="15.75" customHeight="1" s="218"/>
    <row r="521" ht="15.75" customHeight="1" s="218"/>
    <row r="522" ht="15.75" customHeight="1" s="218"/>
    <row r="523" ht="15.75" customHeight="1" s="218"/>
    <row r="524" ht="15.75" customHeight="1" s="218"/>
    <row r="525" ht="15.75" customHeight="1" s="218"/>
    <row r="526" ht="15.75" customHeight="1" s="218"/>
    <row r="527" ht="15.75" customHeight="1" s="218"/>
    <row r="528" ht="15.75" customHeight="1" s="218"/>
    <row r="529" ht="15.75" customHeight="1" s="218"/>
    <row r="530" ht="15.75" customHeight="1" s="218"/>
    <row r="531" ht="15.75" customHeight="1" s="218"/>
    <row r="532" ht="15.75" customHeight="1" s="218"/>
    <row r="533" ht="15.75" customHeight="1" s="218"/>
    <row r="534" ht="15.75" customHeight="1" s="218"/>
    <row r="535" ht="15.75" customHeight="1" s="218"/>
    <row r="536" ht="15.75" customHeight="1" s="218"/>
    <row r="537" ht="15.75" customHeight="1" s="218"/>
    <row r="538" ht="15.75" customHeight="1" s="218"/>
    <row r="539" ht="15.75" customHeight="1" s="218"/>
    <row r="540" ht="15.75" customHeight="1" s="218"/>
    <row r="541" ht="15.75" customHeight="1" s="218"/>
    <row r="542" ht="15.75" customHeight="1" s="218"/>
    <row r="543" ht="15.75" customHeight="1" s="218"/>
    <row r="544" ht="15.75" customHeight="1" s="218"/>
    <row r="545" ht="15.75" customHeight="1" s="218"/>
    <row r="546" ht="15.75" customHeight="1" s="218"/>
    <row r="547" ht="15.75" customHeight="1" s="218"/>
    <row r="548" ht="15.75" customHeight="1" s="218"/>
    <row r="549" ht="15.75" customHeight="1" s="218"/>
    <row r="550" ht="15.75" customHeight="1" s="218"/>
    <row r="551" ht="15.75" customHeight="1" s="218"/>
    <row r="552" ht="15.75" customHeight="1" s="218"/>
    <row r="553" ht="15.75" customHeight="1" s="218"/>
    <row r="554" ht="15.75" customHeight="1" s="218"/>
    <row r="555" ht="15.75" customHeight="1" s="218"/>
    <row r="556" ht="15.75" customHeight="1" s="218"/>
    <row r="557" ht="15.75" customHeight="1" s="218"/>
    <row r="558" ht="15.75" customHeight="1" s="218"/>
    <row r="559" ht="15.75" customHeight="1" s="218"/>
    <row r="560" ht="15.75" customHeight="1" s="218"/>
    <row r="561" ht="15.75" customHeight="1" s="218"/>
    <row r="562" ht="15.75" customHeight="1" s="218"/>
    <row r="563" ht="15.75" customHeight="1" s="218"/>
    <row r="564" ht="15.75" customHeight="1" s="218"/>
    <row r="565" ht="15.75" customHeight="1" s="218"/>
    <row r="566" ht="15.75" customHeight="1" s="218"/>
    <row r="567" ht="15.75" customHeight="1" s="218"/>
    <row r="568" ht="15.75" customHeight="1" s="218"/>
    <row r="569" ht="15.75" customHeight="1" s="218"/>
    <row r="570" ht="15.75" customHeight="1" s="218"/>
    <row r="571" ht="15.75" customHeight="1" s="218"/>
    <row r="572" ht="15.75" customHeight="1" s="218"/>
    <row r="573" ht="15.75" customHeight="1" s="218"/>
    <row r="574" ht="15.75" customHeight="1" s="218"/>
    <row r="575" ht="15.75" customHeight="1" s="218"/>
    <row r="576" ht="15.75" customHeight="1" s="218"/>
    <row r="577" ht="15.75" customHeight="1" s="218"/>
    <row r="578" ht="15.75" customHeight="1" s="218"/>
    <row r="579" ht="15.75" customHeight="1" s="218"/>
    <row r="580" ht="15.75" customHeight="1" s="218"/>
    <row r="581" ht="15.75" customHeight="1" s="218"/>
    <row r="582" ht="15.75" customHeight="1" s="218"/>
    <row r="583" ht="15.75" customHeight="1" s="218"/>
    <row r="584" ht="15.75" customHeight="1" s="218"/>
    <row r="585" ht="15.75" customHeight="1" s="218"/>
    <row r="586" ht="15.75" customHeight="1" s="218"/>
    <row r="587" ht="15.75" customHeight="1" s="218"/>
    <row r="588" ht="15.75" customHeight="1" s="218"/>
    <row r="589" ht="15.75" customHeight="1" s="218"/>
    <row r="590" ht="15.75" customHeight="1" s="218"/>
    <row r="591" ht="15.75" customHeight="1" s="218"/>
    <row r="592" ht="15.75" customHeight="1" s="218"/>
    <row r="593" ht="15.75" customHeight="1" s="218"/>
    <row r="594" ht="15.75" customHeight="1" s="218"/>
    <row r="595" ht="15.75" customHeight="1" s="218"/>
    <row r="596" ht="15.75" customHeight="1" s="218"/>
    <row r="597" ht="15.75" customHeight="1" s="218"/>
    <row r="598" ht="15.75" customHeight="1" s="218"/>
    <row r="599" ht="15.75" customHeight="1" s="218"/>
    <row r="600" ht="15.75" customHeight="1" s="218"/>
    <row r="601" ht="15.75" customHeight="1" s="218"/>
    <row r="602" ht="15.75" customHeight="1" s="218"/>
    <row r="603" ht="15.75" customHeight="1" s="218"/>
    <row r="604" ht="15.75" customHeight="1" s="218"/>
    <row r="605" ht="15.75" customHeight="1" s="218"/>
    <row r="606" ht="15.75" customHeight="1" s="218"/>
    <row r="607" ht="15.75" customHeight="1" s="218"/>
    <row r="608" ht="15.75" customHeight="1" s="218"/>
    <row r="609" ht="15.75" customHeight="1" s="218"/>
    <row r="610" ht="15.75" customHeight="1" s="218"/>
    <row r="611" ht="15.75" customHeight="1" s="218"/>
    <row r="612" ht="15.75" customHeight="1" s="218"/>
    <row r="613" ht="15.75" customHeight="1" s="218"/>
    <row r="614" ht="15.75" customHeight="1" s="218"/>
    <row r="615" ht="15.75" customHeight="1" s="218"/>
    <row r="616" ht="15.75" customHeight="1" s="218"/>
    <row r="617" ht="15.75" customHeight="1" s="218"/>
    <row r="618" ht="15.75" customHeight="1" s="218"/>
    <row r="619" ht="15.75" customHeight="1" s="218"/>
    <row r="620" ht="15.75" customHeight="1" s="218"/>
    <row r="621" ht="15.75" customHeight="1" s="218"/>
    <row r="622" ht="15.75" customHeight="1" s="218"/>
    <row r="623" ht="15.75" customHeight="1" s="218"/>
    <row r="624" ht="15.75" customHeight="1" s="218"/>
    <row r="625" ht="15.75" customHeight="1" s="218"/>
    <row r="626" ht="15.75" customHeight="1" s="218"/>
    <row r="627" ht="15.75" customHeight="1" s="218"/>
    <row r="628" ht="15.75" customHeight="1" s="218"/>
    <row r="629" ht="15.75" customHeight="1" s="218"/>
    <row r="630" ht="15.75" customHeight="1" s="218"/>
    <row r="631" ht="15.75" customHeight="1" s="218"/>
    <row r="632" ht="15.75" customHeight="1" s="218"/>
    <row r="633" ht="15.75" customHeight="1" s="218"/>
    <row r="634" ht="15.75" customHeight="1" s="218"/>
    <row r="635" ht="15.75" customHeight="1" s="218"/>
    <row r="636" ht="15.75" customHeight="1" s="218"/>
    <row r="637" ht="15.75" customHeight="1" s="218"/>
    <row r="638" ht="15.75" customHeight="1" s="218"/>
    <row r="639" ht="15.75" customHeight="1" s="218"/>
    <row r="640" ht="15.75" customHeight="1" s="218"/>
    <row r="641" ht="15.75" customHeight="1" s="218"/>
    <row r="642" ht="15.75" customHeight="1" s="218"/>
    <row r="643" ht="15.75" customHeight="1" s="218"/>
    <row r="644" ht="15.75" customHeight="1" s="218"/>
    <row r="645" ht="15.75" customHeight="1" s="218"/>
    <row r="646" ht="15.75" customHeight="1" s="218"/>
    <row r="647" ht="15.75" customHeight="1" s="218"/>
    <row r="648" ht="15.75" customHeight="1" s="218"/>
    <row r="649" ht="15.75" customHeight="1" s="218"/>
    <row r="650" ht="15.75" customHeight="1" s="218"/>
    <row r="651" ht="15.75" customHeight="1" s="218"/>
    <row r="652" ht="15.75" customHeight="1" s="218"/>
    <row r="653" ht="15.75" customHeight="1" s="218"/>
    <row r="654" ht="15.75" customHeight="1" s="218"/>
    <row r="655" ht="15.75" customHeight="1" s="218"/>
    <row r="656" ht="15.75" customHeight="1" s="218"/>
    <row r="657" ht="15.75" customHeight="1" s="218"/>
    <row r="658" ht="15.75" customHeight="1" s="218"/>
    <row r="659" ht="15.75" customHeight="1" s="218"/>
    <row r="660" ht="15.75" customHeight="1" s="218"/>
    <row r="661" ht="15.75" customHeight="1" s="218"/>
    <row r="662" ht="15.75" customHeight="1" s="218"/>
    <row r="663" ht="15.75" customHeight="1" s="218"/>
    <row r="664" ht="15.75" customHeight="1" s="218"/>
    <row r="665" ht="15.75" customHeight="1" s="218"/>
    <row r="666" ht="15.75" customHeight="1" s="218"/>
    <row r="667" ht="15.75" customHeight="1" s="218"/>
    <row r="668" ht="15.75" customHeight="1" s="218"/>
    <row r="669" ht="15.75" customHeight="1" s="218"/>
    <row r="670" ht="15.75" customHeight="1" s="218"/>
    <row r="671" ht="15.75" customHeight="1" s="218"/>
    <row r="672" ht="15.75" customHeight="1" s="218"/>
    <row r="673" ht="15.75" customHeight="1" s="218"/>
    <row r="674" ht="15.75" customHeight="1" s="218"/>
    <row r="675" ht="15.75" customHeight="1" s="218"/>
    <row r="676" ht="15.75" customHeight="1" s="218"/>
    <row r="677" ht="15.75" customHeight="1" s="218"/>
    <row r="678" ht="15.75" customHeight="1" s="218"/>
    <row r="679" ht="15.75" customHeight="1" s="218"/>
    <row r="680" ht="15.75" customHeight="1" s="218"/>
    <row r="681" ht="15.75" customHeight="1" s="218"/>
    <row r="682" ht="15.75" customHeight="1" s="218"/>
    <row r="683" ht="15.75" customHeight="1" s="218"/>
    <row r="684" ht="15.75" customHeight="1" s="218"/>
    <row r="685" ht="15.75" customHeight="1" s="218"/>
    <row r="686" ht="15.75" customHeight="1" s="218"/>
    <row r="687" ht="15.75" customHeight="1" s="218"/>
    <row r="688" ht="15.75" customHeight="1" s="218"/>
    <row r="689" ht="15.75" customHeight="1" s="218"/>
    <row r="690" ht="15.75" customHeight="1" s="218"/>
    <row r="691" ht="15.75" customHeight="1" s="218"/>
    <row r="692" ht="15.75" customHeight="1" s="218"/>
    <row r="693" ht="15.75" customHeight="1" s="218"/>
    <row r="694" ht="15.75" customHeight="1" s="218"/>
    <row r="695" ht="15.75" customHeight="1" s="218"/>
    <row r="696" ht="15.75" customHeight="1" s="218"/>
    <row r="697" ht="15.75" customHeight="1" s="218"/>
    <row r="698" ht="15.75" customHeight="1" s="218"/>
    <row r="699" ht="15.75" customHeight="1" s="218"/>
    <row r="700" ht="15.75" customHeight="1" s="218"/>
    <row r="701" ht="15.75" customHeight="1" s="218"/>
    <row r="702" ht="15.75" customHeight="1" s="218"/>
    <row r="703" ht="15.75" customHeight="1" s="218"/>
    <row r="704" ht="15.75" customHeight="1" s="218"/>
    <row r="705" ht="15.75" customHeight="1" s="218"/>
    <row r="706" ht="15.75" customHeight="1" s="218"/>
    <row r="707" ht="15.75" customHeight="1" s="218"/>
    <row r="708" ht="15.75" customHeight="1" s="218"/>
    <row r="709" ht="15.75" customHeight="1" s="218"/>
    <row r="710" ht="15.75" customHeight="1" s="218"/>
    <row r="711" ht="15.75" customHeight="1" s="218"/>
    <row r="712" ht="15.75" customHeight="1" s="218"/>
    <row r="713" ht="15.75" customHeight="1" s="218"/>
    <row r="714" ht="15.75" customHeight="1" s="218"/>
    <row r="715" ht="15.75" customHeight="1" s="218"/>
    <row r="716" ht="15.75" customHeight="1" s="218"/>
    <row r="717" ht="15.75" customHeight="1" s="218"/>
    <row r="718" ht="15.75" customHeight="1" s="218"/>
    <row r="719" ht="15.75" customHeight="1" s="218"/>
    <row r="720" ht="15.75" customHeight="1" s="218"/>
    <row r="721" ht="15.75" customHeight="1" s="218"/>
    <row r="722" ht="15.75" customHeight="1" s="218"/>
    <row r="723" ht="15.75" customHeight="1" s="218"/>
    <row r="724" ht="15.75" customHeight="1" s="218"/>
    <row r="725" ht="15.75" customHeight="1" s="218"/>
    <row r="726" ht="15.75" customHeight="1" s="218"/>
    <row r="727" ht="15.75" customHeight="1" s="218"/>
    <row r="728" ht="15.75" customHeight="1" s="218"/>
    <row r="729" ht="15.75" customHeight="1" s="218"/>
    <row r="730" ht="15.75" customHeight="1" s="218"/>
    <row r="731" ht="15.75" customHeight="1" s="218"/>
    <row r="732" ht="15.75" customHeight="1" s="218"/>
    <row r="733" ht="15.75" customHeight="1" s="218"/>
    <row r="734" ht="15.75" customHeight="1" s="218"/>
    <row r="735" ht="15.75" customHeight="1" s="218"/>
    <row r="736" ht="15.75" customHeight="1" s="218"/>
    <row r="737" ht="15.75" customHeight="1" s="218"/>
    <row r="738" ht="15.75" customHeight="1" s="218"/>
    <row r="739" ht="15.75" customHeight="1" s="218"/>
    <row r="740" ht="15.75" customHeight="1" s="218"/>
    <row r="741" ht="15.75" customHeight="1" s="218"/>
    <row r="742" ht="15.75" customHeight="1" s="218"/>
    <row r="743" ht="15.75" customHeight="1" s="218"/>
    <row r="744" ht="15.75" customHeight="1" s="218"/>
    <row r="745" ht="15.75" customHeight="1" s="218"/>
    <row r="746" ht="15.75" customHeight="1" s="218"/>
    <row r="747" ht="15.75" customHeight="1" s="218"/>
    <row r="748" ht="15.75" customHeight="1" s="218"/>
    <row r="749" ht="15.75" customHeight="1" s="218"/>
    <row r="750" ht="15.75" customHeight="1" s="218"/>
    <row r="751" ht="15.75" customHeight="1" s="218"/>
    <row r="752" ht="15.75" customHeight="1" s="218"/>
    <row r="753" ht="15.75" customHeight="1" s="218"/>
    <row r="754" ht="15.75" customHeight="1" s="218"/>
    <row r="755" ht="15.75" customHeight="1" s="218"/>
    <row r="756" ht="15.75" customHeight="1" s="218"/>
    <row r="757" ht="15.75" customHeight="1" s="218"/>
    <row r="758" ht="15.75" customHeight="1" s="218"/>
    <row r="759" ht="15.75" customHeight="1" s="218"/>
    <row r="760" ht="15.75" customHeight="1" s="218"/>
    <row r="761" ht="15.75" customHeight="1" s="218"/>
    <row r="762" ht="15.75" customHeight="1" s="218"/>
    <row r="763" ht="15.75" customHeight="1" s="218"/>
    <row r="764" ht="15.75" customHeight="1" s="218"/>
    <row r="765" ht="15.75" customHeight="1" s="218"/>
    <row r="766" ht="15.75" customHeight="1" s="218"/>
    <row r="767" ht="15.75" customHeight="1" s="218"/>
    <row r="768" ht="15.75" customHeight="1" s="218"/>
    <row r="769" ht="15.75" customHeight="1" s="218"/>
    <row r="770" ht="15.75" customHeight="1" s="218"/>
    <row r="771" ht="15.75" customHeight="1" s="218"/>
    <row r="772" ht="15.75" customHeight="1" s="218"/>
    <row r="773" ht="15.75" customHeight="1" s="218"/>
    <row r="774" ht="15.75" customHeight="1" s="218"/>
    <row r="775" ht="15.75" customHeight="1" s="218"/>
    <row r="776" ht="15.75" customHeight="1" s="218"/>
    <row r="777" ht="15.75" customHeight="1" s="218"/>
    <row r="778" ht="15.75" customHeight="1" s="218"/>
    <row r="779" ht="15.75" customHeight="1" s="218"/>
    <row r="780" ht="15.75" customHeight="1" s="218"/>
    <row r="781" ht="15.75" customHeight="1" s="218"/>
    <row r="782" ht="15.75" customHeight="1" s="218"/>
    <row r="783" ht="15.75" customHeight="1" s="218"/>
    <row r="784" ht="15.75" customHeight="1" s="218"/>
    <row r="785" ht="15.75" customHeight="1" s="218"/>
    <row r="786" ht="15.75" customHeight="1" s="218"/>
    <row r="787" ht="15.75" customHeight="1" s="218"/>
    <row r="788" ht="15.75" customHeight="1" s="218"/>
    <row r="789" ht="15.75" customHeight="1" s="218"/>
    <row r="790" ht="15.75" customHeight="1" s="218"/>
    <row r="791" ht="15.75" customHeight="1" s="218"/>
    <row r="792" ht="15.75" customHeight="1" s="218"/>
    <row r="793" ht="15.75" customHeight="1" s="218"/>
    <row r="794" ht="15.75" customHeight="1" s="218"/>
    <row r="795" ht="15.75" customHeight="1" s="218"/>
    <row r="796" ht="15.75" customHeight="1" s="218"/>
    <row r="797" ht="15.75" customHeight="1" s="218"/>
    <row r="798" ht="15.75" customHeight="1" s="218"/>
    <row r="799" ht="15.75" customHeight="1" s="218"/>
    <row r="800" ht="15.75" customHeight="1" s="218"/>
    <row r="801" ht="15.75" customHeight="1" s="218"/>
    <row r="802" ht="15.75" customHeight="1" s="218"/>
    <row r="803" ht="15.75" customHeight="1" s="218"/>
    <row r="804" ht="15.75" customHeight="1" s="218"/>
    <row r="805" ht="15.75" customHeight="1" s="218"/>
    <row r="806" ht="15.75" customHeight="1" s="218"/>
    <row r="807" ht="15.75" customHeight="1" s="218"/>
    <row r="808" ht="15.75" customHeight="1" s="218"/>
    <row r="809" ht="15.75" customHeight="1" s="218"/>
    <row r="810" ht="15.75" customHeight="1" s="218"/>
    <row r="811" ht="15.75" customHeight="1" s="218"/>
    <row r="812" ht="15.75" customHeight="1" s="218"/>
    <row r="813" ht="15.75" customHeight="1" s="218"/>
    <row r="814" ht="15.75" customHeight="1" s="218"/>
    <row r="815" ht="15.75" customHeight="1" s="218"/>
    <row r="816" ht="15.75" customHeight="1" s="218"/>
    <row r="817" ht="15.75" customHeight="1" s="218"/>
    <row r="818" ht="15.75" customHeight="1" s="218"/>
    <row r="819" ht="15.75" customHeight="1" s="218"/>
    <row r="820" ht="15.75" customHeight="1" s="218"/>
    <row r="821" ht="15.75" customHeight="1" s="218"/>
    <row r="822" ht="15.75" customHeight="1" s="218"/>
    <row r="823" ht="15.75" customHeight="1" s="218"/>
    <row r="824" ht="15.75" customHeight="1" s="218"/>
    <row r="825" ht="15.75" customHeight="1" s="218"/>
    <row r="826" ht="15.75" customHeight="1" s="218"/>
    <row r="827" ht="15.75" customHeight="1" s="218"/>
    <row r="828" ht="15.75" customHeight="1" s="218"/>
    <row r="829" ht="15.75" customHeight="1" s="218"/>
    <row r="830" ht="15.75" customHeight="1" s="218"/>
    <row r="831" ht="15.75" customHeight="1" s="218"/>
    <row r="832" ht="15.75" customHeight="1" s="218"/>
    <row r="833" ht="15.75" customHeight="1" s="218"/>
    <row r="834" ht="15.75" customHeight="1" s="218"/>
    <row r="835" ht="15.75" customHeight="1" s="218"/>
    <row r="836" ht="15.75" customHeight="1" s="218"/>
    <row r="837" ht="15.75" customHeight="1" s="218"/>
    <row r="838" ht="15.75" customHeight="1" s="218"/>
    <row r="839" ht="15.75" customHeight="1" s="218"/>
    <row r="840" ht="15.75" customHeight="1" s="218"/>
    <row r="841" ht="15.75" customHeight="1" s="218"/>
    <row r="842" ht="15.75" customHeight="1" s="218"/>
    <row r="843" ht="15.75" customHeight="1" s="218"/>
    <row r="844" ht="15.75" customHeight="1" s="218"/>
    <row r="845" ht="15.75" customHeight="1" s="218"/>
    <row r="846" ht="15.75" customHeight="1" s="218"/>
    <row r="847" ht="15.75" customHeight="1" s="218"/>
    <row r="848" ht="15.75" customHeight="1" s="218"/>
    <row r="849" ht="15.75" customHeight="1" s="218"/>
    <row r="850" ht="15.75" customHeight="1" s="218"/>
    <row r="851" ht="15.75" customHeight="1" s="218"/>
    <row r="852" ht="15.75" customHeight="1" s="218"/>
    <row r="853" ht="15.75" customHeight="1" s="218"/>
    <row r="854" ht="15.75" customHeight="1" s="218"/>
    <row r="855" ht="15.75" customHeight="1" s="218"/>
    <row r="856" ht="15.75" customHeight="1" s="218"/>
    <row r="857" ht="15.75" customHeight="1" s="218"/>
    <row r="858" ht="15.75" customHeight="1" s="218"/>
    <row r="859" ht="15.75" customHeight="1" s="218"/>
    <row r="860" ht="15.75" customHeight="1" s="218"/>
    <row r="861" ht="15.75" customHeight="1" s="218"/>
    <row r="862" ht="15.75" customHeight="1" s="218"/>
    <row r="863" ht="15.75" customHeight="1" s="218"/>
    <row r="864" ht="15.75" customHeight="1" s="218"/>
    <row r="865" ht="15.75" customHeight="1" s="218"/>
    <row r="866" ht="15.75" customHeight="1" s="218"/>
    <row r="867" ht="15.75" customHeight="1" s="218"/>
    <row r="868" ht="15.75" customHeight="1" s="218"/>
    <row r="869" ht="15.75" customHeight="1" s="218"/>
    <row r="870" ht="15.75" customHeight="1" s="218"/>
    <row r="871" ht="15.75" customHeight="1" s="218"/>
    <row r="872" ht="15.75" customHeight="1" s="218"/>
    <row r="873" ht="15.75" customHeight="1" s="218"/>
    <row r="874" ht="15.75" customHeight="1" s="218"/>
    <row r="875" ht="15.75" customHeight="1" s="218"/>
    <row r="876" ht="15.75" customHeight="1" s="218"/>
    <row r="877" ht="15.75" customHeight="1" s="218"/>
    <row r="878" ht="15.75" customHeight="1" s="218"/>
    <row r="879" ht="15.75" customHeight="1" s="218"/>
    <row r="880" ht="15.75" customHeight="1" s="218"/>
    <row r="881" ht="15.75" customHeight="1" s="218"/>
    <row r="882" ht="15.75" customHeight="1" s="218"/>
    <row r="883" ht="15.75" customHeight="1" s="218"/>
    <row r="884" ht="15.75" customHeight="1" s="218"/>
    <row r="885" ht="15.75" customHeight="1" s="218"/>
    <row r="886" ht="15.75" customHeight="1" s="218"/>
    <row r="887" ht="15.75" customHeight="1" s="218"/>
    <row r="888" ht="15.75" customHeight="1" s="218"/>
    <row r="889" ht="15.75" customHeight="1" s="218"/>
    <row r="890" ht="15.75" customHeight="1" s="218"/>
    <row r="891" ht="15.75" customHeight="1" s="218"/>
    <row r="892" ht="15.75" customHeight="1" s="218"/>
    <row r="893" ht="15.75" customHeight="1" s="218"/>
    <row r="894" ht="15.75" customHeight="1" s="218"/>
    <row r="895" ht="15.75" customHeight="1" s="218"/>
    <row r="896" ht="15.75" customHeight="1" s="218"/>
    <row r="897" ht="15.75" customHeight="1" s="218"/>
    <row r="898" ht="15.75" customHeight="1" s="218"/>
    <row r="899" ht="15.75" customHeight="1" s="218"/>
    <row r="900" ht="15.75" customHeight="1" s="218"/>
    <row r="901" ht="15.75" customHeight="1" s="218"/>
    <row r="902" ht="15.75" customHeight="1" s="218"/>
    <row r="903" ht="15.75" customHeight="1" s="218"/>
    <row r="904" ht="15.75" customHeight="1" s="218"/>
    <row r="905" ht="15.75" customHeight="1" s="218"/>
    <row r="906" ht="15.75" customHeight="1" s="218"/>
    <row r="907" ht="15.75" customHeight="1" s="218"/>
    <row r="908" ht="15.75" customHeight="1" s="218"/>
    <row r="909" ht="15.75" customHeight="1" s="218"/>
    <row r="910" ht="15.75" customHeight="1" s="218"/>
    <row r="911" ht="15.75" customHeight="1" s="218"/>
    <row r="912" ht="15.75" customHeight="1" s="218"/>
    <row r="913" ht="15.75" customHeight="1" s="218"/>
    <row r="914" ht="15.75" customHeight="1" s="218"/>
    <row r="915" ht="15.75" customHeight="1" s="218"/>
    <row r="916" ht="15.75" customHeight="1" s="218"/>
    <row r="917" ht="15.75" customHeight="1" s="218"/>
    <row r="918" ht="15.75" customHeight="1" s="218"/>
    <row r="919" ht="15.75" customHeight="1" s="218"/>
    <row r="920" ht="15.75" customHeight="1" s="218"/>
    <row r="921" ht="15.75" customHeight="1" s="218"/>
    <row r="922" ht="15.75" customHeight="1" s="218"/>
    <row r="923" ht="15.75" customHeight="1" s="218"/>
    <row r="924" ht="15.75" customHeight="1" s="218"/>
    <row r="925" ht="15.75" customHeight="1" s="218"/>
    <row r="926" ht="15.75" customHeight="1" s="218"/>
    <row r="927" ht="15.75" customHeight="1" s="218"/>
    <row r="928" ht="15.75" customHeight="1" s="218"/>
    <row r="929" ht="15.75" customHeight="1" s="218"/>
    <row r="930" ht="15.75" customHeight="1" s="218"/>
    <row r="931" ht="15.75" customHeight="1" s="218"/>
    <row r="932" ht="15.75" customHeight="1" s="218"/>
    <row r="933" ht="15.75" customHeight="1" s="218"/>
    <row r="934" ht="15.75" customHeight="1" s="218"/>
    <row r="935" ht="15.75" customHeight="1" s="218"/>
    <row r="936" ht="15.75" customHeight="1" s="218"/>
    <row r="937" ht="15.75" customHeight="1" s="218"/>
    <row r="938" ht="15.75" customHeight="1" s="218"/>
    <row r="939" ht="15.75" customHeight="1" s="218"/>
    <row r="940" ht="15.75" customHeight="1" s="218"/>
    <row r="941" ht="15.75" customHeight="1" s="218"/>
    <row r="942" ht="15.75" customHeight="1" s="218"/>
    <row r="943" ht="15.75" customHeight="1" s="218"/>
    <row r="944" ht="15.75" customHeight="1" s="218"/>
    <row r="945" ht="15.75" customHeight="1" s="218"/>
    <row r="946" ht="15.75" customHeight="1" s="218"/>
    <row r="947" ht="15.75" customHeight="1" s="218"/>
    <row r="948" ht="15.75" customHeight="1" s="218"/>
    <row r="949" ht="15.75" customHeight="1" s="218"/>
    <row r="950" ht="15.75" customHeight="1" s="218"/>
    <row r="951" ht="15.75" customHeight="1" s="218"/>
    <row r="952" ht="15.75" customHeight="1" s="218"/>
    <row r="953" ht="15.75" customHeight="1" s="218"/>
    <row r="954" ht="15.75" customHeight="1" s="218"/>
    <row r="955" ht="15.75" customHeight="1" s="218"/>
    <row r="956" ht="15.75" customHeight="1" s="218"/>
    <row r="957" ht="15.75" customHeight="1" s="218"/>
    <row r="958" ht="15.75" customHeight="1" s="218"/>
    <row r="959" ht="15.75" customHeight="1" s="218"/>
    <row r="960" ht="15.75" customHeight="1" s="218"/>
    <row r="961" ht="15.75" customHeight="1" s="218"/>
    <row r="962" ht="15.75" customHeight="1" s="218"/>
    <row r="963" ht="15.75" customHeight="1" s="218"/>
    <row r="964" ht="15.75" customHeight="1" s="218"/>
    <row r="965" ht="15.75" customHeight="1" s="218"/>
    <row r="966" ht="15.75" customHeight="1" s="218"/>
    <row r="967" ht="15.75" customHeight="1" s="218"/>
    <row r="968" ht="15.75" customHeight="1" s="218"/>
    <row r="969" ht="15.75" customHeight="1" s="218"/>
    <row r="970" ht="15.75" customHeight="1" s="218"/>
    <row r="971" ht="15.75" customHeight="1" s="218"/>
    <row r="972" ht="15.75" customHeight="1" s="218"/>
    <row r="973" ht="15.75" customHeight="1" s="218"/>
    <row r="974" ht="15.75" customHeight="1" s="218"/>
    <row r="975" ht="15.75" customHeight="1" s="218"/>
    <row r="976" ht="15.75" customHeight="1" s="218"/>
    <row r="977" ht="15.75" customHeight="1" s="218"/>
    <row r="978" ht="15.75" customHeight="1" s="218"/>
    <row r="979" ht="15.75" customHeight="1" s="218"/>
    <row r="980" ht="15.75" customHeight="1" s="218"/>
    <row r="981" ht="15.75" customHeight="1" s="218"/>
    <row r="982" ht="15.75" customHeight="1" s="218"/>
    <row r="983" ht="15.75" customHeight="1" s="218"/>
    <row r="984" ht="15.75" customHeight="1" s="218"/>
    <row r="985" ht="15.75" customHeight="1" s="218"/>
    <row r="986" ht="15.75" customHeight="1" s="218"/>
    <row r="987" ht="15.75" customHeight="1" s="218"/>
    <row r="988" ht="15.75" customHeight="1" s="218"/>
    <row r="989" ht="15.75" customHeight="1" s="218"/>
    <row r="990" ht="15.75" customHeight="1" s="218"/>
    <row r="991" ht="15.75" customHeight="1" s="218"/>
    <row r="992" ht="15.75" customHeight="1" s="218"/>
    <row r="993" ht="15.75" customHeight="1" s="218"/>
    <row r="994" ht="15.75" customHeight="1" s="218"/>
    <row r="995" ht="15.75" customHeight="1" s="218"/>
    <row r="996" ht="15.75" customHeight="1" s="218"/>
    <row r="997" ht="15.75" customHeight="1" s="218"/>
    <row r="998" ht="15.75" customHeight="1" s="218"/>
    <row r="999" ht="15.75" customHeight="1" s="218"/>
    <row r="1000" ht="15.75" customHeight="1" s="218"/>
  </sheetData>
  <mergeCells count="10">
    <mergeCell ref="BB4:BM4"/>
    <mergeCell ref="A34:BN34"/>
    <mergeCell ref="A21:BN21"/>
    <mergeCell ref="A2:BN2"/>
    <mergeCell ref="A15:BN15"/>
    <mergeCell ref="A7:BN7"/>
    <mergeCell ref="A28:BN28"/>
    <mergeCell ref="AO4:AZ4"/>
    <mergeCell ref="A1:BN1"/>
    <mergeCell ref="A40:BN4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tabColor rgb="FF217346"/>
    <outlinePr summaryBelow="1" summaryRight="1"/>
    <pageSetUpPr fitToPage="0"/>
  </sheetPr>
  <dimension ref="A1:B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B6" activeCellId="0" sqref="B6"/>
    </sheetView>
  </sheetViews>
  <sheetFormatPr baseColWidth="8" defaultColWidth="14.43359375" defaultRowHeight="15" customHeight="1" zeroHeight="0" outlineLevelRow="0"/>
  <cols>
    <col width="34" customWidth="1" style="217" min="1" max="1"/>
    <col width="9.57" customWidth="1" style="217" min="2" max="13"/>
    <col width="11" customWidth="1" style="217" min="14" max="14"/>
    <col width="9.57" customWidth="1" style="217" min="15" max="26"/>
    <col width="11" customWidth="1" style="217" min="27" max="27"/>
    <col width="9.57" customWidth="1" style="217" min="28" max="39"/>
    <col width="11" customWidth="1" style="217" min="40" max="40"/>
    <col width="9.57" customWidth="1" style="217" min="41" max="41"/>
    <col width="13" customWidth="1" style="217" min="42" max="52"/>
    <col width="11" customWidth="1" style="217" min="53" max="53"/>
    <col width="9.57" customWidth="1" style="217" min="54" max="54"/>
    <col width="13" customWidth="1" style="217" min="55" max="65"/>
    <col width="11" customWidth="1" style="217" min="66" max="66"/>
  </cols>
  <sheetData>
    <row r="1" ht="39.75" customHeight="1" s="218">
      <c r="A1" s="264" t="inlineStr">
        <is>
          <t>PROFIT &amp; LOSS STATEMENT</t>
        </is>
      </c>
    </row>
    <row r="2" ht="18" customHeight="1" s="218">
      <c r="A2" s="265" t="inlineStr">
        <is>
          <t>All figures auto-populated from REVENUE and HEADCOUNT sheets. Green text = cross-sheet links. Do not edit.</t>
        </is>
      </c>
    </row>
    <row r="3" ht="18" customHeight="1" s="218">
      <c r="A3" s="221" t="n"/>
      <c r="B3" s="221" t="n"/>
      <c r="C3" s="221" t="n"/>
      <c r="D3" s="221" t="n"/>
      <c r="E3" s="221" t="n"/>
      <c r="F3" s="221" t="n"/>
      <c r="G3" s="221" t="n"/>
      <c r="H3" s="221" t="n"/>
      <c r="I3" s="221" t="n"/>
      <c r="J3" s="221" t="n"/>
      <c r="K3" s="221" t="n"/>
      <c r="L3" s="221" t="n"/>
      <c r="M3" s="221" t="n"/>
      <c r="N3" s="221" t="n"/>
      <c r="O3" s="221" t="n"/>
      <c r="P3" s="221" t="n"/>
      <c r="Q3" s="221" t="n"/>
      <c r="R3" s="221" t="n"/>
      <c r="S3" s="221" t="n"/>
      <c r="T3" s="221" t="n"/>
      <c r="U3" s="221" t="n"/>
      <c r="V3" s="221" t="n"/>
      <c r="W3" s="221" t="n"/>
      <c r="X3" s="221" t="n"/>
      <c r="Y3" s="221" t="n"/>
      <c r="Z3" s="221" t="n"/>
      <c r="AA3" s="221" t="n"/>
      <c r="AB3" s="221" t="n"/>
      <c r="AC3" s="221" t="n"/>
      <c r="AD3" s="221" t="n"/>
      <c r="AE3" s="221" t="n"/>
      <c r="AF3" s="221" t="n"/>
      <c r="AG3" s="221" t="n"/>
      <c r="AH3" s="221" t="n"/>
      <c r="AI3" s="221" t="n"/>
      <c r="AJ3" s="221" t="n"/>
      <c r="AK3" s="221" t="n"/>
      <c r="AL3" s="221" t="n"/>
      <c r="AM3" s="221" t="n"/>
      <c r="AN3" s="221" t="n"/>
    </row>
    <row r="4" ht="18" customHeight="1" s="218">
      <c r="A4" s="266" t="n"/>
      <c r="B4" s="233" t="inlineStr">
        <is>
          <t xml:space="preserve">  YEAR 1</t>
        </is>
      </c>
      <c r="N4" s="267" t="inlineStr">
        <is>
          <t>Y1</t>
        </is>
      </c>
      <c r="O4" s="268" t="inlineStr">
        <is>
          <t xml:space="preserve">  YEAR 2</t>
        </is>
      </c>
      <c r="AA4" s="269" t="inlineStr">
        <is>
          <t>Y2</t>
        </is>
      </c>
      <c r="AB4" s="270" t="inlineStr">
        <is>
          <t xml:space="preserve">  YEAR 3</t>
        </is>
      </c>
      <c r="AN4" s="271" t="inlineStr">
        <is>
          <t>Y3</t>
        </is>
      </c>
      <c r="AO4" s="272" t="inlineStr">
        <is>
          <t xml:space="preserve">  YEAR 4</t>
        </is>
      </c>
      <c r="BA4" s="273" t="inlineStr">
        <is>
          <t>Y4</t>
        </is>
      </c>
      <c r="BB4" s="272" t="inlineStr">
        <is>
          <t xml:space="preserve">  YEAR 5</t>
        </is>
      </c>
      <c r="BN4" s="273" t="inlineStr">
        <is>
          <t>Y5</t>
        </is>
      </c>
    </row>
    <row r="5" ht="21.75" customHeight="1" s="218">
      <c r="A5" s="266" t="n"/>
      <c r="B5" s="274" t="inlineStr">
        <is>
          <t>Jan</t>
        </is>
      </c>
      <c r="C5" s="274" t="inlineStr">
        <is>
          <t>Feb</t>
        </is>
      </c>
      <c r="D5" s="274" t="inlineStr">
        <is>
          <t>Mar</t>
        </is>
      </c>
      <c r="E5" s="274" t="inlineStr">
        <is>
          <t>Apr</t>
        </is>
      </c>
      <c r="F5" s="274" t="inlineStr">
        <is>
          <t>May</t>
        </is>
      </c>
      <c r="G5" s="274" t="inlineStr">
        <is>
          <t>Jun</t>
        </is>
      </c>
      <c r="H5" s="274" t="inlineStr">
        <is>
          <t>Jul</t>
        </is>
      </c>
      <c r="I5" s="274" t="inlineStr">
        <is>
          <t>Aug</t>
        </is>
      </c>
      <c r="J5" s="274" t="inlineStr">
        <is>
          <t>Sep</t>
        </is>
      </c>
      <c r="K5" s="274" t="inlineStr">
        <is>
          <t>Oct</t>
        </is>
      </c>
      <c r="L5" s="274" t="inlineStr">
        <is>
          <t>Nov</t>
        </is>
      </c>
      <c r="M5" s="274" t="inlineStr">
        <is>
          <t>Dec</t>
        </is>
      </c>
      <c r="N5" s="274" t="inlineStr">
        <is>
          <t>Y1 Total</t>
        </is>
      </c>
      <c r="O5" s="258" t="inlineStr">
        <is>
          <t>Jan</t>
        </is>
      </c>
      <c r="P5" s="258" t="inlineStr">
        <is>
          <t>Feb</t>
        </is>
      </c>
      <c r="Q5" s="258" t="inlineStr">
        <is>
          <t>Mar</t>
        </is>
      </c>
      <c r="R5" s="258" t="inlineStr">
        <is>
          <t>Apr</t>
        </is>
      </c>
      <c r="S5" s="258" t="inlineStr">
        <is>
          <t>May</t>
        </is>
      </c>
      <c r="T5" s="258" t="inlineStr">
        <is>
          <t>Jun</t>
        </is>
      </c>
      <c r="U5" s="258" t="inlineStr">
        <is>
          <t>Jul</t>
        </is>
      </c>
      <c r="V5" s="258" t="inlineStr">
        <is>
          <t>Aug</t>
        </is>
      </c>
      <c r="W5" s="258" t="inlineStr">
        <is>
          <t>Sep</t>
        </is>
      </c>
      <c r="X5" s="258" t="inlineStr">
        <is>
          <t>Oct</t>
        </is>
      </c>
      <c r="Y5" s="258" t="inlineStr">
        <is>
          <t>Nov</t>
        </is>
      </c>
      <c r="Z5" s="258" t="inlineStr">
        <is>
          <t>Dec</t>
        </is>
      </c>
      <c r="AA5" s="258" t="inlineStr">
        <is>
          <t>Y2 Total</t>
        </is>
      </c>
      <c r="AB5" s="275" t="inlineStr">
        <is>
          <t>Jan</t>
        </is>
      </c>
      <c r="AC5" s="275" t="inlineStr">
        <is>
          <t>Feb</t>
        </is>
      </c>
      <c r="AD5" s="275" t="inlineStr">
        <is>
          <t>Mar</t>
        </is>
      </c>
      <c r="AE5" s="275" t="inlineStr">
        <is>
          <t>Apr</t>
        </is>
      </c>
      <c r="AF5" s="275" t="inlineStr">
        <is>
          <t>May</t>
        </is>
      </c>
      <c r="AG5" s="275" t="inlineStr">
        <is>
          <t>Jun</t>
        </is>
      </c>
      <c r="AH5" s="275" t="inlineStr">
        <is>
          <t>Jul</t>
        </is>
      </c>
      <c r="AI5" s="275" t="inlineStr">
        <is>
          <t>Aug</t>
        </is>
      </c>
      <c r="AJ5" s="275" t="inlineStr">
        <is>
          <t>Sep</t>
        </is>
      </c>
      <c r="AK5" s="275" t="inlineStr">
        <is>
          <t>Oct</t>
        </is>
      </c>
      <c r="AL5" s="275" t="inlineStr">
        <is>
          <t>Nov</t>
        </is>
      </c>
      <c r="AM5" s="275" t="inlineStr">
        <is>
          <t>Dec</t>
        </is>
      </c>
      <c r="AN5" s="275" t="inlineStr">
        <is>
          <t>Y3 Total</t>
        </is>
      </c>
      <c r="AO5" s="275" t="inlineStr">
        <is>
          <t>Jan</t>
        </is>
      </c>
      <c r="AP5" s="275" t="inlineStr">
        <is>
          <t>Feb</t>
        </is>
      </c>
      <c r="AQ5" s="275" t="inlineStr">
        <is>
          <t>Mar</t>
        </is>
      </c>
      <c r="AR5" s="275" t="inlineStr">
        <is>
          <t>Apr</t>
        </is>
      </c>
      <c r="AS5" s="275" t="inlineStr">
        <is>
          <t>May</t>
        </is>
      </c>
      <c r="AT5" s="275" t="inlineStr">
        <is>
          <t>Jun</t>
        </is>
      </c>
      <c r="AU5" s="275" t="inlineStr">
        <is>
          <t>Jul</t>
        </is>
      </c>
      <c r="AV5" s="275" t="inlineStr">
        <is>
          <t>Aug</t>
        </is>
      </c>
      <c r="AW5" s="275" t="inlineStr">
        <is>
          <t>Sep</t>
        </is>
      </c>
      <c r="AX5" s="275" t="inlineStr">
        <is>
          <t>Oct</t>
        </is>
      </c>
      <c r="AY5" s="275" t="inlineStr">
        <is>
          <t>Nov</t>
        </is>
      </c>
      <c r="AZ5" s="275" t="inlineStr">
        <is>
          <t>Dec</t>
        </is>
      </c>
      <c r="BA5" s="275" t="inlineStr">
        <is>
          <t>Y4 Total</t>
        </is>
      </c>
      <c r="BB5" s="275" t="inlineStr">
        <is>
          <t>Jan</t>
        </is>
      </c>
      <c r="BC5" s="275" t="inlineStr">
        <is>
          <t>Feb</t>
        </is>
      </c>
      <c r="BD5" s="275" t="inlineStr">
        <is>
          <t>Mar</t>
        </is>
      </c>
      <c r="BE5" s="275" t="inlineStr">
        <is>
          <t>Apr</t>
        </is>
      </c>
      <c r="BF5" s="275" t="inlineStr">
        <is>
          <t>May</t>
        </is>
      </c>
      <c r="BG5" s="275" t="inlineStr">
        <is>
          <t>Jun</t>
        </is>
      </c>
      <c r="BH5" s="275" t="inlineStr">
        <is>
          <t>Jul</t>
        </is>
      </c>
      <c r="BI5" s="275" t="inlineStr">
        <is>
          <t>Aug</t>
        </is>
      </c>
      <c r="BJ5" s="275" t="inlineStr">
        <is>
          <t>Sep</t>
        </is>
      </c>
      <c r="BK5" s="275" t="inlineStr">
        <is>
          <t>Oct</t>
        </is>
      </c>
      <c r="BL5" s="275" t="inlineStr">
        <is>
          <t>Nov</t>
        </is>
      </c>
      <c r="BM5" s="275" t="inlineStr">
        <is>
          <t>Dec</t>
        </is>
      </c>
      <c r="BN5" s="275" t="inlineStr">
        <is>
          <t>Y5 Total</t>
        </is>
      </c>
    </row>
    <row r="6" ht="19.5" customHeight="1" s="218">
      <c r="A6" s="276" t="inlineStr">
        <is>
          <t>REVENUE</t>
        </is>
      </c>
    </row>
    <row r="7" ht="15" customHeight="1" s="218">
      <c r="BA7" s="285" t="n"/>
      <c r="BN7" s="285" t="n"/>
    </row>
    <row r="8" ht="18" customHeight="1" s="218">
      <c r="A8" s="293" t="inlineStr">
        <is>
          <t xml:space="preserve">  Marketplace Revenue (£)</t>
        </is>
      </c>
      <c r="B8" s="313">
        <f>IFERROR(REVENUE!B19,0)</f>
        <v/>
      </c>
      <c r="C8" s="313">
        <f>IFERROR(REVENUE!C19,0)</f>
        <v/>
      </c>
      <c r="D8" s="313">
        <f>IFERROR(REVENUE!D19,0)</f>
        <v/>
      </c>
      <c r="E8" s="313">
        <f>IFERROR(REVENUE!E19,0)</f>
        <v/>
      </c>
      <c r="F8" s="313">
        <f>IFERROR(REVENUE!F19,0)</f>
        <v/>
      </c>
      <c r="G8" s="313">
        <f>IFERROR(REVENUE!G19,0)</f>
        <v/>
      </c>
      <c r="H8" s="313">
        <f>IFERROR(REVENUE!H19,0)</f>
        <v/>
      </c>
      <c r="I8" s="313">
        <f>IFERROR(REVENUE!I19,0)</f>
        <v/>
      </c>
      <c r="J8" s="313">
        <f>IFERROR(REVENUE!J19,0)</f>
        <v/>
      </c>
      <c r="K8" s="313">
        <f>IFERROR(REVENUE!K19,0)</f>
        <v/>
      </c>
      <c r="L8" s="313">
        <f>IFERROR(REVENUE!L19,0)</f>
        <v/>
      </c>
      <c r="M8" s="313">
        <f>IFERROR(REVENUE!M19,0)</f>
        <v/>
      </c>
      <c r="N8" s="322">
        <f>SUM(B8:M8)</f>
        <v/>
      </c>
      <c r="O8" s="313">
        <f>IFERROR(REVENUE!O19,0)</f>
        <v/>
      </c>
      <c r="P8" s="313">
        <f>IFERROR(REVENUE!P19,0)</f>
        <v/>
      </c>
      <c r="Q8" s="313">
        <f>IFERROR(REVENUE!Q19,0)</f>
        <v/>
      </c>
      <c r="R8" s="313">
        <f>IFERROR(REVENUE!R19,0)</f>
        <v/>
      </c>
      <c r="S8" s="313">
        <f>IFERROR(REVENUE!S19,0)</f>
        <v/>
      </c>
      <c r="T8" s="313">
        <f>IFERROR(REVENUE!T19,0)</f>
        <v/>
      </c>
      <c r="U8" s="313">
        <f>IFERROR(REVENUE!U19,0)</f>
        <v/>
      </c>
      <c r="V8" s="313">
        <f>IFERROR(REVENUE!V19,0)</f>
        <v/>
      </c>
      <c r="W8" s="313">
        <f>IFERROR(REVENUE!W19,0)</f>
        <v/>
      </c>
      <c r="X8" s="313">
        <f>IFERROR(REVENUE!X19,0)</f>
        <v/>
      </c>
      <c r="Y8" s="313">
        <f>IFERROR(REVENUE!Y19,0)</f>
        <v/>
      </c>
      <c r="Z8" s="313">
        <f>IFERROR(REVENUE!Z19,0)</f>
        <v/>
      </c>
      <c r="AA8" s="322">
        <f>SUM(O8:Z8)</f>
        <v/>
      </c>
      <c r="AB8" s="313">
        <f>IFERROR(REVENUE!AB19,0)</f>
        <v/>
      </c>
      <c r="AC8" s="313">
        <f>IFERROR(REVENUE!AC19,0)</f>
        <v/>
      </c>
      <c r="AD8" s="313">
        <f>IFERROR(REVENUE!AD19,0)</f>
        <v/>
      </c>
      <c r="AE8" s="313">
        <f>IFERROR(REVENUE!AE19,0)</f>
        <v/>
      </c>
      <c r="AF8" s="313">
        <f>IFERROR(REVENUE!AF19,0)</f>
        <v/>
      </c>
      <c r="AG8" s="313">
        <f>IFERROR(REVENUE!AG19,0)</f>
        <v/>
      </c>
      <c r="AH8" s="313">
        <f>IFERROR(REVENUE!AH19,0)</f>
        <v/>
      </c>
      <c r="AI8" s="313">
        <f>IFERROR(REVENUE!AI19,0)</f>
        <v/>
      </c>
      <c r="AJ8" s="313">
        <f>IFERROR(REVENUE!AJ19,0)</f>
        <v/>
      </c>
      <c r="AK8" s="313">
        <f>IFERROR(REVENUE!AK19,0)</f>
        <v/>
      </c>
      <c r="AL8" s="313">
        <f>IFERROR(REVENUE!AL19,0)</f>
        <v/>
      </c>
      <c r="AM8" s="313">
        <f>IFERROR(REVENUE!AM19,0)</f>
        <v/>
      </c>
      <c r="AN8" s="322">
        <f>SUM(AB8:AM8)</f>
        <v/>
      </c>
      <c r="AO8" s="313">
        <f>IFERROR(REVENUE!AO19,0)</f>
        <v/>
      </c>
      <c r="AP8" s="313">
        <f>IFERROR(REVENUE!AP19,0)</f>
        <v/>
      </c>
      <c r="AQ8" s="313">
        <f>IFERROR(REVENUE!AQ19,0)</f>
        <v/>
      </c>
      <c r="AR8" s="313">
        <f>IFERROR(REVENUE!AR19,0)</f>
        <v/>
      </c>
      <c r="AS8" s="313">
        <f>IFERROR(REVENUE!AS19,0)</f>
        <v/>
      </c>
      <c r="AT8" s="313">
        <f>IFERROR(REVENUE!AT19,0)</f>
        <v/>
      </c>
      <c r="AU8" s="313">
        <f>IFERROR(REVENUE!AU19,0)</f>
        <v/>
      </c>
      <c r="AV8" s="313">
        <f>IFERROR(REVENUE!AV19,0)</f>
        <v/>
      </c>
      <c r="AW8" s="313">
        <f>IFERROR(REVENUE!AW19,0)</f>
        <v/>
      </c>
      <c r="AX8" s="313">
        <f>IFERROR(REVENUE!AX19,0)</f>
        <v/>
      </c>
      <c r="AY8" s="313">
        <f>IFERROR(REVENUE!AY19,0)</f>
        <v/>
      </c>
      <c r="AZ8" s="313">
        <f>IFERROR(REVENUE!AZ19,0)</f>
        <v/>
      </c>
      <c r="BA8" s="290">
        <f>SUM(AO8:AZ8)</f>
        <v/>
      </c>
      <c r="BB8" s="313">
        <f>IFERROR(REVENUE!BB19,0)</f>
        <v/>
      </c>
      <c r="BC8" s="313">
        <f>IFERROR(REVENUE!BC19,0)</f>
        <v/>
      </c>
      <c r="BD8" s="313">
        <f>IFERROR(REVENUE!BD19,0)</f>
        <v/>
      </c>
      <c r="BE8" s="313">
        <f>IFERROR(REVENUE!BE19,0)</f>
        <v/>
      </c>
      <c r="BF8" s="313">
        <f>IFERROR(REVENUE!BF19,0)</f>
        <v/>
      </c>
      <c r="BG8" s="313">
        <f>IFERROR(REVENUE!BG19,0)</f>
        <v/>
      </c>
      <c r="BH8" s="313">
        <f>IFERROR(REVENUE!BH19,0)</f>
        <v/>
      </c>
      <c r="BI8" s="313">
        <f>IFERROR(REVENUE!BI19,0)</f>
        <v/>
      </c>
      <c r="BJ8" s="313">
        <f>IFERROR(REVENUE!BJ19,0)</f>
        <v/>
      </c>
      <c r="BK8" s="313">
        <f>IFERROR(REVENUE!BK19,0)</f>
        <v/>
      </c>
      <c r="BL8" s="313">
        <f>IFERROR(REVENUE!BL19,0)</f>
        <v/>
      </c>
      <c r="BM8" s="313">
        <f>IFERROR(REVENUE!BM19,0)</f>
        <v/>
      </c>
      <c r="BN8" s="290">
        <f>SUM(BB8:BM8)</f>
        <v/>
      </c>
    </row>
    <row r="9" ht="18" customHeight="1" s="218">
      <c r="A9" s="291" t="inlineStr">
        <is>
          <t xml:space="preserve">  SaaS Subscription Revenue (£)</t>
        </is>
      </c>
      <c r="B9" s="313">
        <f>IFERROR(REVENUE!B26,0)</f>
        <v/>
      </c>
      <c r="C9" s="313">
        <f>IFERROR(REVENUE!C26,0)</f>
        <v/>
      </c>
      <c r="D9" s="313">
        <f>IFERROR(REVENUE!D26,0)</f>
        <v/>
      </c>
      <c r="E9" s="313">
        <f>IFERROR(REVENUE!E26,0)</f>
        <v/>
      </c>
      <c r="F9" s="313">
        <f>IFERROR(REVENUE!F26,0)</f>
        <v/>
      </c>
      <c r="G9" s="313">
        <f>IFERROR(REVENUE!G26,0)</f>
        <v/>
      </c>
      <c r="H9" s="313">
        <f>IFERROR(REVENUE!H26,0)</f>
        <v/>
      </c>
      <c r="I9" s="313">
        <f>IFERROR(REVENUE!I26,0)</f>
        <v/>
      </c>
      <c r="J9" s="313">
        <f>IFERROR(REVENUE!J26,0)</f>
        <v/>
      </c>
      <c r="K9" s="313">
        <f>IFERROR(REVENUE!K26,0)</f>
        <v/>
      </c>
      <c r="L9" s="313">
        <f>IFERROR(REVENUE!L26,0)</f>
        <v/>
      </c>
      <c r="M9" s="313">
        <f>IFERROR(REVENUE!M26,0)</f>
        <v/>
      </c>
      <c r="N9" s="322">
        <f>SUM(B9:M9)</f>
        <v/>
      </c>
      <c r="O9" s="313">
        <f>IFERROR(REVENUE!O26,0)</f>
        <v/>
      </c>
      <c r="P9" s="313">
        <f>IFERROR(REVENUE!P26,0)</f>
        <v/>
      </c>
      <c r="Q9" s="313">
        <f>IFERROR(REVENUE!Q26,0)</f>
        <v/>
      </c>
      <c r="R9" s="313">
        <f>IFERROR(REVENUE!R26,0)</f>
        <v/>
      </c>
      <c r="S9" s="313">
        <f>IFERROR(REVENUE!S26,0)</f>
        <v/>
      </c>
      <c r="T9" s="313">
        <f>IFERROR(REVENUE!T26,0)</f>
        <v/>
      </c>
      <c r="U9" s="313">
        <f>IFERROR(REVENUE!U26,0)</f>
        <v/>
      </c>
      <c r="V9" s="313">
        <f>IFERROR(REVENUE!V26,0)</f>
        <v/>
      </c>
      <c r="W9" s="313">
        <f>IFERROR(REVENUE!W26,0)</f>
        <v/>
      </c>
      <c r="X9" s="313">
        <f>IFERROR(REVENUE!X26,0)</f>
        <v/>
      </c>
      <c r="Y9" s="313">
        <f>IFERROR(REVENUE!Y26,0)</f>
        <v/>
      </c>
      <c r="Z9" s="313">
        <f>IFERROR(REVENUE!Z26,0)</f>
        <v/>
      </c>
      <c r="AA9" s="322">
        <f>SUM(O9:Z9)</f>
        <v/>
      </c>
      <c r="AB9" s="313">
        <f>IFERROR(REVENUE!AB26,0)</f>
        <v/>
      </c>
      <c r="AC9" s="313">
        <f>IFERROR(REVENUE!AC26,0)</f>
        <v/>
      </c>
      <c r="AD9" s="313">
        <f>IFERROR(REVENUE!AD26,0)</f>
        <v/>
      </c>
      <c r="AE9" s="313">
        <f>IFERROR(REVENUE!AE26,0)</f>
        <v/>
      </c>
      <c r="AF9" s="313">
        <f>IFERROR(REVENUE!AF26,0)</f>
        <v/>
      </c>
      <c r="AG9" s="313">
        <f>IFERROR(REVENUE!AG26,0)</f>
        <v/>
      </c>
      <c r="AH9" s="313">
        <f>IFERROR(REVENUE!AH26,0)</f>
        <v/>
      </c>
      <c r="AI9" s="313">
        <f>IFERROR(REVENUE!AI26,0)</f>
        <v/>
      </c>
      <c r="AJ9" s="313">
        <f>IFERROR(REVENUE!AJ26,0)</f>
        <v/>
      </c>
      <c r="AK9" s="313">
        <f>IFERROR(REVENUE!AK26,0)</f>
        <v/>
      </c>
      <c r="AL9" s="313">
        <f>IFERROR(REVENUE!AL26,0)</f>
        <v/>
      </c>
      <c r="AM9" s="313">
        <f>IFERROR(REVENUE!AM26,0)</f>
        <v/>
      </c>
      <c r="AN9" s="322">
        <f>SUM(AB9:AM9)</f>
        <v/>
      </c>
      <c r="AO9" s="313">
        <f>IFERROR(REVENUE!AO26,0)</f>
        <v/>
      </c>
      <c r="AP9" s="313">
        <f>IFERROR(REVENUE!AP26,0)</f>
        <v/>
      </c>
      <c r="AQ9" s="313">
        <f>IFERROR(REVENUE!AQ26,0)</f>
        <v/>
      </c>
      <c r="AR9" s="313">
        <f>IFERROR(REVENUE!AR26,0)</f>
        <v/>
      </c>
      <c r="AS9" s="313">
        <f>IFERROR(REVENUE!AS26,0)</f>
        <v/>
      </c>
      <c r="AT9" s="313">
        <f>IFERROR(REVENUE!AT26,0)</f>
        <v/>
      </c>
      <c r="AU9" s="313">
        <f>IFERROR(REVENUE!AU26,0)</f>
        <v/>
      </c>
      <c r="AV9" s="313">
        <f>IFERROR(REVENUE!AV26,0)</f>
        <v/>
      </c>
      <c r="AW9" s="313">
        <f>IFERROR(REVENUE!AW26,0)</f>
        <v/>
      </c>
      <c r="AX9" s="313">
        <f>IFERROR(REVENUE!AX26,0)</f>
        <v/>
      </c>
      <c r="AY9" s="313">
        <f>IFERROR(REVENUE!AY26,0)</f>
        <v/>
      </c>
      <c r="AZ9" s="313">
        <f>IFERROR(REVENUE!AZ26,0)</f>
        <v/>
      </c>
      <c r="BA9" s="290">
        <f>SUM(AO9:AZ9)</f>
        <v/>
      </c>
      <c r="BB9" s="313">
        <f>IFERROR(REVENUE!BB26,0)</f>
        <v/>
      </c>
      <c r="BC9" s="313">
        <f>IFERROR(REVENUE!BC26,0)</f>
        <v/>
      </c>
      <c r="BD9" s="313">
        <f>IFERROR(REVENUE!BD26,0)</f>
        <v/>
      </c>
      <c r="BE9" s="313">
        <f>IFERROR(REVENUE!BE26,0)</f>
        <v/>
      </c>
      <c r="BF9" s="313">
        <f>IFERROR(REVENUE!BF26,0)</f>
        <v/>
      </c>
      <c r="BG9" s="313">
        <f>IFERROR(REVENUE!BG26,0)</f>
        <v/>
      </c>
      <c r="BH9" s="313">
        <f>IFERROR(REVENUE!BH26,0)</f>
        <v/>
      </c>
      <c r="BI9" s="313">
        <f>IFERROR(REVENUE!BI26,0)</f>
        <v/>
      </c>
      <c r="BJ9" s="313">
        <f>IFERROR(REVENUE!BJ26,0)</f>
        <v/>
      </c>
      <c r="BK9" s="313">
        <f>IFERROR(REVENUE!BK26,0)</f>
        <v/>
      </c>
      <c r="BL9" s="313">
        <f>IFERROR(REVENUE!BL26,0)</f>
        <v/>
      </c>
      <c r="BM9" s="313">
        <f>IFERROR(REVENUE!BM26,0)</f>
        <v/>
      </c>
      <c r="BN9" s="290">
        <f>SUM(BB9:BM9)</f>
        <v/>
      </c>
    </row>
    <row r="10" ht="18" customHeight="1" s="218">
      <c r="A10" s="294" t="inlineStr">
        <is>
          <t>TOTAL REVENUE (£)</t>
        </is>
      </c>
      <c r="B10" s="295">
        <f>IFERROR(REVENUE!B31,0)</f>
        <v/>
      </c>
      <c r="C10" s="295">
        <f>IFERROR(REVENUE!C31,0)</f>
        <v/>
      </c>
      <c r="D10" s="295">
        <f>IFERROR(REVENUE!D31,0)</f>
        <v/>
      </c>
      <c r="E10" s="295">
        <f>IFERROR(REVENUE!E31,0)</f>
        <v/>
      </c>
      <c r="F10" s="295">
        <f>IFERROR(REVENUE!F31,0)</f>
        <v/>
      </c>
      <c r="G10" s="295">
        <f>IFERROR(REVENUE!G31,0)</f>
        <v/>
      </c>
      <c r="H10" s="295">
        <f>IFERROR(REVENUE!H31,0)</f>
        <v/>
      </c>
      <c r="I10" s="295">
        <f>IFERROR(REVENUE!I31,0)</f>
        <v/>
      </c>
      <c r="J10" s="295">
        <f>IFERROR(REVENUE!J31,0)</f>
        <v/>
      </c>
      <c r="K10" s="295">
        <f>IFERROR(REVENUE!K31,0)</f>
        <v/>
      </c>
      <c r="L10" s="295">
        <f>IFERROR(REVENUE!L31,0)</f>
        <v/>
      </c>
      <c r="M10" s="295">
        <f>IFERROR(REVENUE!M31,0)</f>
        <v/>
      </c>
      <c r="N10" s="295">
        <f>SUM(B10:M10)</f>
        <v/>
      </c>
      <c r="O10" s="295">
        <f>IFERROR(REVENUE!O31,0)</f>
        <v/>
      </c>
      <c r="P10" s="295">
        <f>IFERROR(REVENUE!P31,0)</f>
        <v/>
      </c>
      <c r="Q10" s="295">
        <f>IFERROR(REVENUE!Q31,0)</f>
        <v/>
      </c>
      <c r="R10" s="295">
        <f>IFERROR(REVENUE!R31,0)</f>
        <v/>
      </c>
      <c r="S10" s="295">
        <f>IFERROR(REVENUE!S31,0)</f>
        <v/>
      </c>
      <c r="T10" s="295">
        <f>IFERROR(REVENUE!T31,0)</f>
        <v/>
      </c>
      <c r="U10" s="295">
        <f>IFERROR(REVENUE!U31,0)</f>
        <v/>
      </c>
      <c r="V10" s="295">
        <f>IFERROR(REVENUE!V31,0)</f>
        <v/>
      </c>
      <c r="W10" s="295">
        <f>IFERROR(REVENUE!W31,0)</f>
        <v/>
      </c>
      <c r="X10" s="295">
        <f>IFERROR(REVENUE!X31,0)</f>
        <v/>
      </c>
      <c r="Y10" s="295">
        <f>IFERROR(REVENUE!Y31,0)</f>
        <v/>
      </c>
      <c r="Z10" s="295">
        <f>IFERROR(REVENUE!Z31,0)</f>
        <v/>
      </c>
      <c r="AA10" s="295">
        <f>SUM(O10:Z10)</f>
        <v/>
      </c>
      <c r="AB10" s="295">
        <f>IFERROR(REVENUE!AB31,0)</f>
        <v/>
      </c>
      <c r="AC10" s="295">
        <f>IFERROR(REVENUE!AC31,0)</f>
        <v/>
      </c>
      <c r="AD10" s="295">
        <f>IFERROR(REVENUE!AD31,0)</f>
        <v/>
      </c>
      <c r="AE10" s="295">
        <f>IFERROR(REVENUE!AE31,0)</f>
        <v/>
      </c>
      <c r="AF10" s="295">
        <f>IFERROR(REVENUE!AF31,0)</f>
        <v/>
      </c>
      <c r="AG10" s="295">
        <f>IFERROR(REVENUE!AG31,0)</f>
        <v/>
      </c>
      <c r="AH10" s="295">
        <f>IFERROR(REVENUE!AH31,0)</f>
        <v/>
      </c>
      <c r="AI10" s="295">
        <f>IFERROR(REVENUE!AI31,0)</f>
        <v/>
      </c>
      <c r="AJ10" s="295">
        <f>IFERROR(REVENUE!AJ31,0)</f>
        <v/>
      </c>
      <c r="AK10" s="295">
        <f>IFERROR(REVENUE!AK31,0)</f>
        <v/>
      </c>
      <c r="AL10" s="295">
        <f>IFERROR(REVENUE!AL31,0)</f>
        <v/>
      </c>
      <c r="AM10" s="295">
        <f>IFERROR(REVENUE!AM31,0)</f>
        <v/>
      </c>
      <c r="AN10" s="295">
        <f>SUM(AB10:AM10)</f>
        <v/>
      </c>
      <c r="AO10" s="295">
        <f>IFERROR(REVENUE!AO31,0)</f>
        <v/>
      </c>
      <c r="AP10" s="295">
        <f>IFERROR(REVENUE!AP31,0)</f>
        <v/>
      </c>
      <c r="AQ10" s="295">
        <f>IFERROR(REVENUE!AQ31,0)</f>
        <v/>
      </c>
      <c r="AR10" s="295">
        <f>IFERROR(REVENUE!AR31,0)</f>
        <v/>
      </c>
      <c r="AS10" s="295">
        <f>IFERROR(REVENUE!AS31,0)</f>
        <v/>
      </c>
      <c r="AT10" s="295">
        <f>IFERROR(REVENUE!AT31,0)</f>
        <v/>
      </c>
      <c r="AU10" s="295">
        <f>IFERROR(REVENUE!AU31,0)</f>
        <v/>
      </c>
      <c r="AV10" s="295">
        <f>IFERROR(REVENUE!AV31,0)</f>
        <v/>
      </c>
      <c r="AW10" s="295">
        <f>IFERROR(REVENUE!AW31,0)</f>
        <v/>
      </c>
      <c r="AX10" s="295">
        <f>IFERROR(REVENUE!AX31,0)</f>
        <v/>
      </c>
      <c r="AY10" s="295">
        <f>IFERROR(REVENUE!AY31,0)</f>
        <v/>
      </c>
      <c r="AZ10" s="295">
        <f>IFERROR(REVENUE!AZ31,0)</f>
        <v/>
      </c>
      <c r="BA10" s="296">
        <f>SUM(AO10:AZ10)</f>
        <v/>
      </c>
      <c r="BB10" s="295">
        <f>IFERROR(REVENUE!BB31,0)</f>
        <v/>
      </c>
      <c r="BC10" s="295">
        <f>IFERROR(REVENUE!BC31,0)</f>
        <v/>
      </c>
      <c r="BD10" s="295">
        <f>IFERROR(REVENUE!BD31,0)</f>
        <v/>
      </c>
      <c r="BE10" s="295">
        <f>IFERROR(REVENUE!BE31,0)</f>
        <v/>
      </c>
      <c r="BF10" s="295">
        <f>IFERROR(REVENUE!BF31,0)</f>
        <v/>
      </c>
      <c r="BG10" s="295">
        <f>IFERROR(REVENUE!BG31,0)</f>
        <v/>
      </c>
      <c r="BH10" s="295">
        <f>IFERROR(REVENUE!BH31,0)</f>
        <v/>
      </c>
      <c r="BI10" s="295">
        <f>IFERROR(REVENUE!BI31,0)</f>
        <v/>
      </c>
      <c r="BJ10" s="295">
        <f>IFERROR(REVENUE!BJ31,0)</f>
        <v/>
      </c>
      <c r="BK10" s="295">
        <f>IFERROR(REVENUE!BK31,0)</f>
        <v/>
      </c>
      <c r="BL10" s="295">
        <f>IFERROR(REVENUE!BL31,0)</f>
        <v/>
      </c>
      <c r="BM10" s="295">
        <f>IFERROR(REVENUE!BM31,0)</f>
        <v/>
      </c>
      <c r="BN10" s="296">
        <f>SUM(BB10:BM10)</f>
        <v/>
      </c>
    </row>
    <row r="11" ht="6" customHeight="1" s="218">
      <c r="A11" s="297" t="n"/>
      <c r="B11" s="297" t="n"/>
      <c r="C11" s="297" t="n"/>
      <c r="D11" s="297" t="n"/>
      <c r="E11" s="297" t="n"/>
      <c r="F11" s="297" t="n"/>
      <c r="G11" s="297" t="n"/>
      <c r="H11" s="297" t="n"/>
      <c r="I11" s="297" t="n"/>
      <c r="J11" s="297" t="n"/>
      <c r="K11" s="297" t="n"/>
      <c r="L11" s="297" t="n"/>
      <c r="M11" s="297" t="n"/>
      <c r="N11" s="297" t="n"/>
      <c r="O11" s="297" t="n"/>
      <c r="P11" s="297" t="n"/>
      <c r="Q11" s="297" t="n"/>
      <c r="R11" s="297" t="n"/>
      <c r="S11" s="297" t="n"/>
      <c r="T11" s="297" t="n"/>
      <c r="U11" s="297" t="n"/>
      <c r="V11" s="297" t="n"/>
      <c r="W11" s="297" t="n"/>
      <c r="X11" s="297" t="n"/>
      <c r="Y11" s="297" t="n"/>
      <c r="Z11" s="297" t="n"/>
      <c r="AA11" s="297" t="n"/>
      <c r="AB11" s="297" t="n"/>
      <c r="AC11" s="297" t="n"/>
      <c r="AD11" s="297" t="n"/>
      <c r="AE11" s="297" t="n"/>
      <c r="AF11" s="297" t="n"/>
      <c r="AG11" s="297" t="n"/>
      <c r="AH11" s="297" t="n"/>
      <c r="AI11" s="297" t="n"/>
      <c r="AJ11" s="297" t="n"/>
      <c r="AK11" s="297" t="n"/>
      <c r="AL11" s="297" t="n"/>
      <c r="AM11" s="297" t="n"/>
      <c r="AN11" s="297" t="n"/>
      <c r="AO11" s="297" t="n"/>
      <c r="AP11" s="297" t="n"/>
      <c r="AQ11" s="297" t="n"/>
      <c r="AR11" s="297" t="n"/>
      <c r="AS11" s="297" t="n"/>
      <c r="AT11" s="297" t="n"/>
      <c r="AU11" s="297" t="n"/>
      <c r="AV11" s="297" t="n"/>
      <c r="AW11" s="297" t="n"/>
      <c r="AX11" s="297" t="n"/>
      <c r="AY11" s="297" t="n"/>
      <c r="AZ11" s="297" t="n"/>
      <c r="BA11" s="298" t="n"/>
      <c r="BB11" s="297" t="n"/>
      <c r="BC11" s="297" t="n"/>
      <c r="BD11" s="297" t="n"/>
      <c r="BE11" s="297" t="n"/>
      <c r="BF11" s="297" t="n"/>
      <c r="BG11" s="297" t="n"/>
      <c r="BH11" s="297" t="n"/>
      <c r="BI11" s="297" t="n"/>
      <c r="BJ11" s="297" t="n"/>
      <c r="BK11" s="297" t="n"/>
      <c r="BL11" s="297" t="n"/>
      <c r="BM11" s="297" t="n"/>
      <c r="BN11" s="298" t="n"/>
    </row>
    <row r="12" ht="19.5" customHeight="1" s="218">
      <c r="A12" s="323" t="inlineStr">
        <is>
          <t>COST OF GOODS SOLD</t>
        </is>
      </c>
    </row>
    <row r="13" ht="18" customHeight="1" s="218">
      <c r="A13" s="324" t="inlineStr">
        <is>
          <t>TOTAL COGS (£)</t>
        </is>
      </c>
      <c r="B13" s="325">
        <f>IFERROR(REVENUE!B40,0)</f>
        <v/>
      </c>
      <c r="C13" s="325">
        <f>IFERROR(REVENUE!C40,0)</f>
        <v/>
      </c>
      <c r="D13" s="325">
        <f>IFERROR(REVENUE!D40,0)</f>
        <v/>
      </c>
      <c r="E13" s="325">
        <f>IFERROR(REVENUE!E40,0)</f>
        <v/>
      </c>
      <c r="F13" s="325">
        <f>IFERROR(REVENUE!F40,0)</f>
        <v/>
      </c>
      <c r="G13" s="325">
        <f>IFERROR(REVENUE!G40,0)</f>
        <v/>
      </c>
      <c r="H13" s="325">
        <f>IFERROR(REVENUE!H40,0)</f>
        <v/>
      </c>
      <c r="I13" s="325">
        <f>IFERROR(REVENUE!I40,0)</f>
        <v/>
      </c>
      <c r="J13" s="325">
        <f>IFERROR(REVENUE!J40,0)</f>
        <v/>
      </c>
      <c r="K13" s="325">
        <f>IFERROR(REVENUE!K40,0)</f>
        <v/>
      </c>
      <c r="L13" s="325">
        <f>IFERROR(REVENUE!L40,0)</f>
        <v/>
      </c>
      <c r="M13" s="325">
        <f>IFERROR(REVENUE!M40,0)</f>
        <v/>
      </c>
      <c r="N13" s="322">
        <f>SUM(B13:M13)</f>
        <v/>
      </c>
      <c r="O13" s="325">
        <f>IFERROR(REVENUE!O40,0)</f>
        <v/>
      </c>
      <c r="P13" s="325">
        <f>IFERROR(REVENUE!P40,0)</f>
        <v/>
      </c>
      <c r="Q13" s="325">
        <f>IFERROR(REVENUE!Q40,0)</f>
        <v/>
      </c>
      <c r="R13" s="325">
        <f>IFERROR(REVENUE!R40,0)</f>
        <v/>
      </c>
      <c r="S13" s="325">
        <f>IFERROR(REVENUE!S40,0)</f>
        <v/>
      </c>
      <c r="T13" s="325">
        <f>IFERROR(REVENUE!T40,0)</f>
        <v/>
      </c>
      <c r="U13" s="325">
        <f>IFERROR(REVENUE!U40,0)</f>
        <v/>
      </c>
      <c r="V13" s="325">
        <f>IFERROR(REVENUE!V40,0)</f>
        <v/>
      </c>
      <c r="W13" s="325">
        <f>IFERROR(REVENUE!W40,0)</f>
        <v/>
      </c>
      <c r="X13" s="325">
        <f>IFERROR(REVENUE!X40,0)</f>
        <v/>
      </c>
      <c r="Y13" s="325">
        <f>IFERROR(REVENUE!Y40,0)</f>
        <v/>
      </c>
      <c r="Z13" s="325">
        <f>IFERROR(REVENUE!Z40,0)</f>
        <v/>
      </c>
      <c r="AA13" s="322">
        <f>SUM(O13:Z13)</f>
        <v/>
      </c>
      <c r="AB13" s="325">
        <f>IFERROR(REVENUE!AB40,0)</f>
        <v/>
      </c>
      <c r="AC13" s="325">
        <f>IFERROR(REVENUE!AC40,0)</f>
        <v/>
      </c>
      <c r="AD13" s="325">
        <f>IFERROR(REVENUE!AD40,0)</f>
        <v/>
      </c>
      <c r="AE13" s="325">
        <f>IFERROR(REVENUE!AE40,0)</f>
        <v/>
      </c>
      <c r="AF13" s="325">
        <f>IFERROR(REVENUE!AF40,0)</f>
        <v/>
      </c>
      <c r="AG13" s="325">
        <f>IFERROR(REVENUE!AG40,0)</f>
        <v/>
      </c>
      <c r="AH13" s="325">
        <f>IFERROR(REVENUE!AH40,0)</f>
        <v/>
      </c>
      <c r="AI13" s="325">
        <f>IFERROR(REVENUE!AI40,0)</f>
        <v/>
      </c>
      <c r="AJ13" s="325">
        <f>IFERROR(REVENUE!AJ40,0)</f>
        <v/>
      </c>
      <c r="AK13" s="325">
        <f>IFERROR(REVENUE!AK40,0)</f>
        <v/>
      </c>
      <c r="AL13" s="325">
        <f>IFERROR(REVENUE!AL40,0)</f>
        <v/>
      </c>
      <c r="AM13" s="325">
        <f>IFERROR(REVENUE!AM40,0)</f>
        <v/>
      </c>
      <c r="AN13" s="322">
        <f>SUM(AB13:AM13)</f>
        <v/>
      </c>
      <c r="AO13" s="325">
        <f>IFERROR(REVENUE!AO40,0)</f>
        <v/>
      </c>
      <c r="AP13" s="325">
        <f>IFERROR(REVENUE!AP40,0)</f>
        <v/>
      </c>
      <c r="AQ13" s="325">
        <f>IFERROR(REVENUE!AQ40,0)</f>
        <v/>
      </c>
      <c r="AR13" s="325">
        <f>IFERROR(REVENUE!AR40,0)</f>
        <v/>
      </c>
      <c r="AS13" s="325">
        <f>IFERROR(REVENUE!AS40,0)</f>
        <v/>
      </c>
      <c r="AT13" s="325">
        <f>IFERROR(REVENUE!AT40,0)</f>
        <v/>
      </c>
      <c r="AU13" s="325">
        <f>IFERROR(REVENUE!AU40,0)</f>
        <v/>
      </c>
      <c r="AV13" s="325">
        <f>IFERROR(REVENUE!AV40,0)</f>
        <v/>
      </c>
      <c r="AW13" s="325">
        <f>IFERROR(REVENUE!AW40,0)</f>
        <v/>
      </c>
      <c r="AX13" s="325">
        <f>IFERROR(REVENUE!AX40,0)</f>
        <v/>
      </c>
      <c r="AY13" s="325">
        <f>IFERROR(REVENUE!AY40,0)</f>
        <v/>
      </c>
      <c r="AZ13" s="325">
        <f>IFERROR(REVENUE!AZ40,0)</f>
        <v/>
      </c>
      <c r="BA13" s="290">
        <f>SUM(AO13:AZ13)</f>
        <v/>
      </c>
      <c r="BB13" s="325">
        <f>IFERROR(REVENUE!BB40,0)</f>
        <v/>
      </c>
      <c r="BC13" s="325">
        <f>IFERROR(REVENUE!BC40,0)</f>
        <v/>
      </c>
      <c r="BD13" s="325">
        <f>IFERROR(REVENUE!BD40,0)</f>
        <v/>
      </c>
      <c r="BE13" s="325">
        <f>IFERROR(REVENUE!BE40,0)</f>
        <v/>
      </c>
      <c r="BF13" s="325">
        <f>IFERROR(REVENUE!BF40,0)</f>
        <v/>
      </c>
      <c r="BG13" s="325">
        <f>IFERROR(REVENUE!BG40,0)</f>
        <v/>
      </c>
      <c r="BH13" s="325">
        <f>IFERROR(REVENUE!BH40,0)</f>
        <v/>
      </c>
      <c r="BI13" s="325">
        <f>IFERROR(REVENUE!BI40,0)</f>
        <v/>
      </c>
      <c r="BJ13" s="325">
        <f>IFERROR(REVENUE!BJ40,0)</f>
        <v/>
      </c>
      <c r="BK13" s="325">
        <f>IFERROR(REVENUE!BK40,0)</f>
        <v/>
      </c>
      <c r="BL13" s="325">
        <f>IFERROR(REVENUE!BL40,0)</f>
        <v/>
      </c>
      <c r="BM13" s="325">
        <f>IFERROR(REVENUE!BM40,0)</f>
        <v/>
      </c>
      <c r="BN13" s="290">
        <f>SUM(BB13:BM13)</f>
        <v/>
      </c>
    </row>
    <row r="14" ht="18" customHeight="1" s="218">
      <c r="A14" s="294" t="inlineStr">
        <is>
          <t>GROSS PROFIT (£)</t>
        </is>
      </c>
      <c r="B14" s="295">
        <f>IFERROR(B10-B13,0)</f>
        <v/>
      </c>
      <c r="C14" s="295">
        <f>IFERROR(C10-C13,0)</f>
        <v/>
      </c>
      <c r="D14" s="295">
        <f>IFERROR(D10-D13,0)</f>
        <v/>
      </c>
      <c r="E14" s="295">
        <f>IFERROR(E10-E13,0)</f>
        <v/>
      </c>
      <c r="F14" s="295">
        <f>IFERROR(F10-F13,0)</f>
        <v/>
      </c>
      <c r="G14" s="295">
        <f>IFERROR(G10-G13,0)</f>
        <v/>
      </c>
      <c r="H14" s="295">
        <f>IFERROR(H10-H13,0)</f>
        <v/>
      </c>
      <c r="I14" s="295">
        <f>IFERROR(I10-I13,0)</f>
        <v/>
      </c>
      <c r="J14" s="295">
        <f>IFERROR(J10-J13,0)</f>
        <v/>
      </c>
      <c r="K14" s="295">
        <f>IFERROR(K10-K13,0)</f>
        <v/>
      </c>
      <c r="L14" s="295">
        <f>IFERROR(L10-L13,0)</f>
        <v/>
      </c>
      <c r="M14" s="295">
        <f>IFERROR(M10-M13,0)</f>
        <v/>
      </c>
      <c r="N14" s="295">
        <f>SUM(B14:M14)</f>
        <v/>
      </c>
      <c r="O14" s="295">
        <f>IFERROR(O10-O13,0)</f>
        <v/>
      </c>
      <c r="P14" s="295">
        <f>IFERROR(P10-P13,0)</f>
        <v/>
      </c>
      <c r="Q14" s="295">
        <f>IFERROR(Q10-Q13,0)</f>
        <v/>
      </c>
      <c r="R14" s="295">
        <f>IFERROR(R10-R13,0)</f>
        <v/>
      </c>
      <c r="S14" s="295">
        <f>IFERROR(S10-S13,0)</f>
        <v/>
      </c>
      <c r="T14" s="295">
        <f>IFERROR(T10-T13,0)</f>
        <v/>
      </c>
      <c r="U14" s="295">
        <f>IFERROR(U10-U13,0)</f>
        <v/>
      </c>
      <c r="V14" s="295">
        <f>IFERROR(V10-V13,0)</f>
        <v/>
      </c>
      <c r="W14" s="295">
        <f>IFERROR(W10-W13,0)</f>
        <v/>
      </c>
      <c r="X14" s="295">
        <f>IFERROR(X10-X13,0)</f>
        <v/>
      </c>
      <c r="Y14" s="295">
        <f>IFERROR(Y10-Y13,0)</f>
        <v/>
      </c>
      <c r="Z14" s="295">
        <f>IFERROR(Z10-Z13,0)</f>
        <v/>
      </c>
      <c r="AA14" s="295">
        <f>SUM(O14:Z14)</f>
        <v/>
      </c>
      <c r="AB14" s="295">
        <f>IFERROR(AB10-AB13,0)</f>
        <v/>
      </c>
      <c r="AC14" s="295">
        <f>IFERROR(AC10-AC13,0)</f>
        <v/>
      </c>
      <c r="AD14" s="295">
        <f>IFERROR(AD10-AD13,0)</f>
        <v/>
      </c>
      <c r="AE14" s="295">
        <f>IFERROR(AE10-AE13,0)</f>
        <v/>
      </c>
      <c r="AF14" s="295">
        <f>IFERROR(AF10-AF13,0)</f>
        <v/>
      </c>
      <c r="AG14" s="295">
        <f>IFERROR(AG10-AG13,0)</f>
        <v/>
      </c>
      <c r="AH14" s="295">
        <f>IFERROR(AH10-AH13,0)</f>
        <v/>
      </c>
      <c r="AI14" s="295">
        <f>IFERROR(AI10-AI13,0)</f>
        <v/>
      </c>
      <c r="AJ14" s="295">
        <f>IFERROR(AJ10-AJ13,0)</f>
        <v/>
      </c>
      <c r="AK14" s="295">
        <f>IFERROR(AK10-AK13,0)</f>
        <v/>
      </c>
      <c r="AL14" s="295">
        <f>IFERROR(AL10-AL13,0)</f>
        <v/>
      </c>
      <c r="AM14" s="295">
        <f>IFERROR(AM10-AM13,0)</f>
        <v/>
      </c>
      <c r="AN14" s="295">
        <f>SUM(AB14:AM14)</f>
        <v/>
      </c>
      <c r="AO14" s="295">
        <f>IFERROR(AO10-AO13,0)</f>
        <v/>
      </c>
      <c r="AP14" s="295">
        <f>IFERROR(AP10-AP13,0)</f>
        <v/>
      </c>
      <c r="AQ14" s="295">
        <f>IFERROR(AQ10-AQ13,0)</f>
        <v/>
      </c>
      <c r="AR14" s="295">
        <f>IFERROR(AR10-AR13,0)</f>
        <v/>
      </c>
      <c r="AS14" s="295">
        <f>IFERROR(AS10-AS13,0)</f>
        <v/>
      </c>
      <c r="AT14" s="295">
        <f>IFERROR(AT10-AT13,0)</f>
        <v/>
      </c>
      <c r="AU14" s="295">
        <f>IFERROR(AU10-AU13,0)</f>
        <v/>
      </c>
      <c r="AV14" s="295">
        <f>IFERROR(AV10-AV13,0)</f>
        <v/>
      </c>
      <c r="AW14" s="295">
        <f>IFERROR(AW10-AW13,0)</f>
        <v/>
      </c>
      <c r="AX14" s="295">
        <f>IFERROR(AX10-AX13,0)</f>
        <v/>
      </c>
      <c r="AY14" s="295">
        <f>IFERROR(AY10-AY13,0)</f>
        <v/>
      </c>
      <c r="AZ14" s="295">
        <f>IFERROR(AZ10-AZ13,0)</f>
        <v/>
      </c>
      <c r="BA14" s="296">
        <f>SUM(AO14:AZ14)</f>
        <v/>
      </c>
      <c r="BB14" s="295">
        <f>IFERROR(BB10-BB13,0)</f>
        <v/>
      </c>
      <c r="BC14" s="295">
        <f>IFERROR(BC10-BC13,0)</f>
        <v/>
      </c>
      <c r="BD14" s="295">
        <f>IFERROR(BD10-BD13,0)</f>
        <v/>
      </c>
      <c r="BE14" s="295">
        <f>IFERROR(BE10-BE13,0)</f>
        <v/>
      </c>
      <c r="BF14" s="295">
        <f>IFERROR(BF10-BF13,0)</f>
        <v/>
      </c>
      <c r="BG14" s="295">
        <f>IFERROR(BG10-BG13,0)</f>
        <v/>
      </c>
      <c r="BH14" s="295">
        <f>IFERROR(BH10-BH13,0)</f>
        <v/>
      </c>
      <c r="BI14" s="295">
        <f>IFERROR(BI10-BI13,0)</f>
        <v/>
      </c>
      <c r="BJ14" s="295">
        <f>IFERROR(BJ10-BJ13,0)</f>
        <v/>
      </c>
      <c r="BK14" s="295">
        <f>IFERROR(BK10-BK13,0)</f>
        <v/>
      </c>
      <c r="BL14" s="295">
        <f>IFERROR(BL10-BL13,0)</f>
        <v/>
      </c>
      <c r="BM14" s="295">
        <f>IFERROR(BM10-BM13,0)</f>
        <v/>
      </c>
      <c r="BN14" s="296">
        <f>SUM(BB14:BM14)</f>
        <v/>
      </c>
    </row>
    <row r="15" ht="18" customHeight="1" s="218">
      <c r="A15" s="324" t="inlineStr">
        <is>
          <t>Gross Margin %</t>
        </is>
      </c>
      <c r="B15" s="322">
        <f>IFERROR(B14/B10,0)</f>
        <v/>
      </c>
      <c r="C15" s="322">
        <f>IFERROR(C14/C10,0)</f>
        <v/>
      </c>
      <c r="D15" s="322">
        <f>IFERROR(D14/D10,0)</f>
        <v/>
      </c>
      <c r="E15" s="322">
        <f>IFERROR(E14/E10,0)</f>
        <v/>
      </c>
      <c r="F15" s="322">
        <f>IFERROR(F14/F10,0)</f>
        <v/>
      </c>
      <c r="G15" s="322">
        <f>IFERROR(G14/G10,0)</f>
        <v/>
      </c>
      <c r="H15" s="322">
        <f>IFERROR(H14/H10,0)</f>
        <v/>
      </c>
      <c r="I15" s="322">
        <f>IFERROR(I14/I10,0)</f>
        <v/>
      </c>
      <c r="J15" s="322">
        <f>IFERROR(J14/J10,0)</f>
        <v/>
      </c>
      <c r="K15" s="322">
        <f>IFERROR(K14/K10,0)</f>
        <v/>
      </c>
      <c r="L15" s="322">
        <f>IFERROR(L14/L10,0)</f>
        <v/>
      </c>
      <c r="M15" s="322">
        <f>IFERROR(M14/M10,0)</f>
        <v/>
      </c>
      <c r="N15" s="326">
        <f>M15</f>
        <v/>
      </c>
      <c r="O15" s="322">
        <f>IFERROR(O14/O10,0)</f>
        <v/>
      </c>
      <c r="P15" s="322">
        <f>IFERROR(P14/P10,0)</f>
        <v/>
      </c>
      <c r="Q15" s="322">
        <f>IFERROR(Q14/Q10,0)</f>
        <v/>
      </c>
      <c r="R15" s="322">
        <f>IFERROR(R14/R10,0)</f>
        <v/>
      </c>
      <c r="S15" s="322">
        <f>IFERROR(S14/S10,0)</f>
        <v/>
      </c>
      <c r="T15" s="322">
        <f>IFERROR(T14/T10,0)</f>
        <v/>
      </c>
      <c r="U15" s="322">
        <f>IFERROR(U14/U10,0)</f>
        <v/>
      </c>
      <c r="V15" s="322">
        <f>IFERROR(V14/V10,0)</f>
        <v/>
      </c>
      <c r="W15" s="322">
        <f>IFERROR(W14/W10,0)</f>
        <v/>
      </c>
      <c r="X15" s="322">
        <f>IFERROR(X14/X10,0)</f>
        <v/>
      </c>
      <c r="Y15" s="322">
        <f>IFERROR(Y14/Y10,0)</f>
        <v/>
      </c>
      <c r="Z15" s="322">
        <f>IFERROR(Z14/Z10,0)</f>
        <v/>
      </c>
      <c r="AA15" s="326">
        <f>Z15</f>
        <v/>
      </c>
      <c r="AB15" s="322">
        <f>IFERROR(AB14/AB10,0)</f>
        <v/>
      </c>
      <c r="AC15" s="322">
        <f>IFERROR(AC14/AC10,0)</f>
        <v/>
      </c>
      <c r="AD15" s="322">
        <f>IFERROR(AD14/AD10,0)</f>
        <v/>
      </c>
      <c r="AE15" s="322">
        <f>IFERROR(AE14/AE10,0)</f>
        <v/>
      </c>
      <c r="AF15" s="322">
        <f>IFERROR(AF14/AF10,0)</f>
        <v/>
      </c>
      <c r="AG15" s="322">
        <f>IFERROR(AG14/AG10,0)</f>
        <v/>
      </c>
      <c r="AH15" s="322">
        <f>IFERROR(AH14/AH10,0)</f>
        <v/>
      </c>
      <c r="AI15" s="322">
        <f>IFERROR(AI14/AI10,0)</f>
        <v/>
      </c>
      <c r="AJ15" s="322">
        <f>IFERROR(AJ14/AJ10,0)</f>
        <v/>
      </c>
      <c r="AK15" s="322">
        <f>IFERROR(AK14/AK10,0)</f>
        <v/>
      </c>
      <c r="AL15" s="322">
        <f>IFERROR(AL14/AL10,0)</f>
        <v/>
      </c>
      <c r="AM15" s="322">
        <f>IFERROR(AM14/AM10,0)</f>
        <v/>
      </c>
      <c r="AN15" s="326">
        <f>AM15</f>
        <v/>
      </c>
      <c r="AO15" s="322">
        <f>IFERROR(AO14/AO10,0)</f>
        <v/>
      </c>
      <c r="AP15" s="322">
        <f>IFERROR(AP14/AP10,0)</f>
        <v/>
      </c>
      <c r="AQ15" s="322">
        <f>IFERROR(AQ14/AQ10,0)</f>
        <v/>
      </c>
      <c r="AR15" s="322">
        <f>IFERROR(AR14/AR10,0)</f>
        <v/>
      </c>
      <c r="AS15" s="322">
        <f>IFERROR(AS14/AS10,0)</f>
        <v/>
      </c>
      <c r="AT15" s="322">
        <f>IFERROR(AT14/AT10,0)</f>
        <v/>
      </c>
      <c r="AU15" s="322">
        <f>IFERROR(AU14/AU10,0)</f>
        <v/>
      </c>
      <c r="AV15" s="322">
        <f>IFERROR(AV14/AV10,0)</f>
        <v/>
      </c>
      <c r="AW15" s="322">
        <f>IFERROR(AW14/AW10,0)</f>
        <v/>
      </c>
      <c r="AX15" s="322">
        <f>IFERROR(AX14/AX10,0)</f>
        <v/>
      </c>
      <c r="AY15" s="322">
        <f>IFERROR(AY14/AY10,0)</f>
        <v/>
      </c>
      <c r="AZ15" s="322">
        <f>IFERROR(AZ14/AZ10,0)</f>
        <v/>
      </c>
      <c r="BA15" s="290">
        <f>AZ15</f>
        <v/>
      </c>
      <c r="BB15" s="322">
        <f>IFERROR(BB14/BB10,0)</f>
        <v/>
      </c>
      <c r="BC15" s="322">
        <f>IFERROR(BC14/BC10,0)</f>
        <v/>
      </c>
      <c r="BD15" s="322">
        <f>IFERROR(BD14/BD10,0)</f>
        <v/>
      </c>
      <c r="BE15" s="322">
        <f>IFERROR(BE14/BE10,0)</f>
        <v/>
      </c>
      <c r="BF15" s="322">
        <f>IFERROR(BF14/BF10,0)</f>
        <v/>
      </c>
      <c r="BG15" s="322">
        <f>IFERROR(BG14/BG10,0)</f>
        <v/>
      </c>
      <c r="BH15" s="322">
        <f>IFERROR(BH14/BH10,0)</f>
        <v/>
      </c>
      <c r="BI15" s="322">
        <f>IFERROR(BI14/BI10,0)</f>
        <v/>
      </c>
      <c r="BJ15" s="322">
        <f>IFERROR(BJ14/BJ10,0)</f>
        <v/>
      </c>
      <c r="BK15" s="322">
        <f>IFERROR(BK14/BK10,0)</f>
        <v/>
      </c>
      <c r="BL15" s="322">
        <f>IFERROR(BL14/BL10,0)</f>
        <v/>
      </c>
      <c r="BM15" s="322">
        <f>IFERROR(BM14/BM10,0)</f>
        <v/>
      </c>
      <c r="BN15" s="290">
        <f>BM15</f>
        <v/>
      </c>
    </row>
    <row r="16" ht="6" customHeight="1" s="218">
      <c r="A16" s="297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n"/>
      <c r="Q16" s="297" t="n"/>
      <c r="R16" s="297" t="n"/>
      <c r="S16" s="297" t="n"/>
      <c r="T16" s="297" t="n"/>
      <c r="U16" s="297" t="n"/>
      <c r="V16" s="297" t="n"/>
      <c r="W16" s="297" t="n"/>
      <c r="X16" s="297" t="n"/>
      <c r="Y16" s="297" t="n"/>
      <c r="Z16" s="297" t="n"/>
      <c r="AA16" s="297" t="n"/>
      <c r="AB16" s="297" t="n"/>
      <c r="AC16" s="297" t="n"/>
      <c r="AD16" s="297" t="n"/>
      <c r="AE16" s="297" t="n"/>
      <c r="AF16" s="297" t="n"/>
      <c r="AG16" s="297" t="n"/>
      <c r="AH16" s="297" t="n"/>
      <c r="AI16" s="297" t="n"/>
      <c r="AJ16" s="297" t="n"/>
      <c r="AK16" s="297" t="n"/>
      <c r="AL16" s="297" t="n"/>
      <c r="AM16" s="297" t="n"/>
      <c r="AN16" s="297" t="n"/>
      <c r="AO16" s="297" t="n"/>
      <c r="AP16" s="297" t="n"/>
      <c r="AQ16" s="297" t="n"/>
      <c r="AR16" s="297" t="n"/>
      <c r="AS16" s="297" t="n"/>
      <c r="AT16" s="297" t="n"/>
      <c r="AU16" s="297" t="n"/>
      <c r="AV16" s="297" t="n"/>
      <c r="AW16" s="297" t="n"/>
      <c r="AX16" s="297" t="n"/>
      <c r="AY16" s="297" t="n"/>
      <c r="AZ16" s="297" t="n"/>
      <c r="BA16" s="298" t="n"/>
      <c r="BB16" s="297" t="n"/>
      <c r="BC16" s="297" t="n"/>
      <c r="BD16" s="297" t="n"/>
      <c r="BE16" s="297" t="n"/>
      <c r="BF16" s="297" t="n"/>
      <c r="BG16" s="297" t="n"/>
      <c r="BH16" s="297" t="n"/>
      <c r="BI16" s="297" t="n"/>
      <c r="BJ16" s="297" t="n"/>
      <c r="BK16" s="297" t="n"/>
      <c r="BL16" s="297" t="n"/>
      <c r="BM16" s="297" t="n"/>
      <c r="BN16" s="298" t="n"/>
    </row>
    <row r="17" ht="19.5" customHeight="1" s="218">
      <c r="A17" s="299" t="inlineStr">
        <is>
          <t>OPERATING EXPENSES</t>
        </is>
      </c>
    </row>
    <row r="18" ht="15.75" customHeight="1" s="218">
      <c r="A18" s="327" t="inlineStr">
        <is>
          <t xml:space="preserve">  Headcount Costs</t>
        </is>
      </c>
    </row>
    <row r="19" ht="18" customHeight="1" s="218">
      <c r="A19" s="291" t="inlineStr">
        <is>
          <t xml:space="preserve">  Engineering HC (£)</t>
        </is>
      </c>
      <c r="B19" s="313">
        <f>IFERROR(HEADCOUNT!B13,0)</f>
        <v/>
      </c>
      <c r="C19" s="313">
        <f>IFERROR(HEADCOUNT!C13,0)</f>
        <v/>
      </c>
      <c r="D19" s="313">
        <f>IFERROR(HEADCOUNT!D13,0)</f>
        <v/>
      </c>
      <c r="E19" s="313">
        <f>IFERROR(HEADCOUNT!E13,0)</f>
        <v/>
      </c>
      <c r="F19" s="313">
        <f>IFERROR(HEADCOUNT!F13,0)</f>
        <v/>
      </c>
      <c r="G19" s="313">
        <f>IFERROR(HEADCOUNT!G13,0)</f>
        <v/>
      </c>
      <c r="H19" s="313">
        <f>IFERROR(HEADCOUNT!H13,0)</f>
        <v/>
      </c>
      <c r="I19" s="313">
        <f>IFERROR(HEADCOUNT!I13,0)</f>
        <v/>
      </c>
      <c r="J19" s="313">
        <f>IFERROR(HEADCOUNT!J13,0)</f>
        <v/>
      </c>
      <c r="K19" s="313">
        <f>IFERROR(HEADCOUNT!K13,0)</f>
        <v/>
      </c>
      <c r="L19" s="313">
        <f>IFERROR(HEADCOUNT!L13,0)</f>
        <v/>
      </c>
      <c r="M19" s="313">
        <f>IFERROR(HEADCOUNT!M13,0)</f>
        <v/>
      </c>
      <c r="N19" s="322">
        <f>SUM(B19:M19)</f>
        <v/>
      </c>
      <c r="O19" s="313">
        <f>IFERROR(HEADCOUNT!O13,0)</f>
        <v/>
      </c>
      <c r="P19" s="313">
        <f>IFERROR(HEADCOUNT!P13,0)</f>
        <v/>
      </c>
      <c r="Q19" s="313">
        <f>IFERROR(HEADCOUNT!Q13,0)</f>
        <v/>
      </c>
      <c r="R19" s="313">
        <f>IFERROR(HEADCOUNT!R13,0)</f>
        <v/>
      </c>
      <c r="S19" s="313">
        <f>IFERROR(HEADCOUNT!S13,0)</f>
        <v/>
      </c>
      <c r="T19" s="313">
        <f>IFERROR(HEADCOUNT!T13,0)</f>
        <v/>
      </c>
      <c r="U19" s="313">
        <f>IFERROR(HEADCOUNT!U13,0)</f>
        <v/>
      </c>
      <c r="V19" s="313">
        <f>IFERROR(HEADCOUNT!V13,0)</f>
        <v/>
      </c>
      <c r="W19" s="313">
        <f>IFERROR(HEADCOUNT!W13,0)</f>
        <v/>
      </c>
      <c r="X19" s="313">
        <f>IFERROR(HEADCOUNT!X13,0)</f>
        <v/>
      </c>
      <c r="Y19" s="313">
        <f>IFERROR(HEADCOUNT!Y13,0)</f>
        <v/>
      </c>
      <c r="Z19" s="313">
        <f>IFERROR(HEADCOUNT!Z13,0)</f>
        <v/>
      </c>
      <c r="AA19" s="322">
        <f>SUM(O19:Z19)</f>
        <v/>
      </c>
      <c r="AB19" s="313">
        <f>IFERROR(HEADCOUNT!AB13,0)</f>
        <v/>
      </c>
      <c r="AC19" s="313">
        <f>IFERROR(HEADCOUNT!AC13,0)</f>
        <v/>
      </c>
      <c r="AD19" s="313">
        <f>IFERROR(HEADCOUNT!AD13,0)</f>
        <v/>
      </c>
      <c r="AE19" s="313">
        <f>IFERROR(HEADCOUNT!AE13,0)</f>
        <v/>
      </c>
      <c r="AF19" s="313">
        <f>IFERROR(HEADCOUNT!AF13,0)</f>
        <v/>
      </c>
      <c r="AG19" s="313">
        <f>IFERROR(HEADCOUNT!AG13,0)</f>
        <v/>
      </c>
      <c r="AH19" s="313">
        <f>IFERROR(HEADCOUNT!AH13,0)</f>
        <v/>
      </c>
      <c r="AI19" s="313">
        <f>IFERROR(HEADCOUNT!AI13,0)</f>
        <v/>
      </c>
      <c r="AJ19" s="313">
        <f>IFERROR(HEADCOUNT!AJ13,0)</f>
        <v/>
      </c>
      <c r="AK19" s="313">
        <f>IFERROR(HEADCOUNT!AK13,0)</f>
        <v/>
      </c>
      <c r="AL19" s="313">
        <f>IFERROR(HEADCOUNT!AL13,0)</f>
        <v/>
      </c>
      <c r="AM19" s="313">
        <f>IFERROR(HEADCOUNT!AM13,0)</f>
        <v/>
      </c>
      <c r="AN19" s="322">
        <f>SUM(AB19:AM19)</f>
        <v/>
      </c>
      <c r="AO19" s="313">
        <f>IFERROR(HEADCOUNT!AO13,0)</f>
        <v/>
      </c>
      <c r="AP19" s="313">
        <f>IFERROR(HEADCOUNT!AP13,0)</f>
        <v/>
      </c>
      <c r="AQ19" s="313">
        <f>IFERROR(HEADCOUNT!AQ13,0)</f>
        <v/>
      </c>
      <c r="AR19" s="313">
        <f>IFERROR(HEADCOUNT!AR13,0)</f>
        <v/>
      </c>
      <c r="AS19" s="313">
        <f>IFERROR(HEADCOUNT!AS13,0)</f>
        <v/>
      </c>
      <c r="AT19" s="313">
        <f>IFERROR(HEADCOUNT!AT13,0)</f>
        <v/>
      </c>
      <c r="AU19" s="313">
        <f>IFERROR(HEADCOUNT!AU13,0)</f>
        <v/>
      </c>
      <c r="AV19" s="313">
        <f>IFERROR(HEADCOUNT!AV13,0)</f>
        <v/>
      </c>
      <c r="AW19" s="313">
        <f>IFERROR(HEADCOUNT!AW13,0)</f>
        <v/>
      </c>
      <c r="AX19" s="313">
        <f>IFERROR(HEADCOUNT!AX13,0)</f>
        <v/>
      </c>
      <c r="AY19" s="313">
        <f>IFERROR(HEADCOUNT!AY13,0)</f>
        <v/>
      </c>
      <c r="AZ19" s="313">
        <f>IFERROR(HEADCOUNT!AZ13,0)</f>
        <v/>
      </c>
      <c r="BA19" s="290">
        <f>SUM(AO19:AZ19)</f>
        <v/>
      </c>
      <c r="BB19" s="313">
        <f>IFERROR(HEADCOUNT!BB13,0)</f>
        <v/>
      </c>
      <c r="BC19" s="313">
        <f>IFERROR(HEADCOUNT!BC13,0)</f>
        <v/>
      </c>
      <c r="BD19" s="313">
        <f>IFERROR(HEADCOUNT!BD13,0)</f>
        <v/>
      </c>
      <c r="BE19" s="313">
        <f>IFERROR(HEADCOUNT!BE13,0)</f>
        <v/>
      </c>
      <c r="BF19" s="313">
        <f>IFERROR(HEADCOUNT!BF13,0)</f>
        <v/>
      </c>
      <c r="BG19" s="313">
        <f>IFERROR(HEADCOUNT!BG13,0)</f>
        <v/>
      </c>
      <c r="BH19" s="313">
        <f>IFERROR(HEADCOUNT!BH13,0)</f>
        <v/>
      </c>
      <c r="BI19" s="313">
        <f>IFERROR(HEADCOUNT!BI13,0)</f>
        <v/>
      </c>
      <c r="BJ19" s="313">
        <f>IFERROR(HEADCOUNT!BJ13,0)</f>
        <v/>
      </c>
      <c r="BK19" s="313">
        <f>IFERROR(HEADCOUNT!BK13,0)</f>
        <v/>
      </c>
      <c r="BL19" s="313">
        <f>IFERROR(HEADCOUNT!BL13,0)</f>
        <v/>
      </c>
      <c r="BM19" s="313">
        <f>IFERROR(HEADCOUNT!BM13,0)</f>
        <v/>
      </c>
      <c r="BN19" s="290">
        <f>SUM(BB19:BM19)</f>
        <v/>
      </c>
    </row>
    <row r="20" ht="18" customHeight="1" s="218">
      <c r="A20" s="293" t="inlineStr">
        <is>
          <t xml:space="preserve">  Product HC (£)</t>
        </is>
      </c>
      <c r="B20" s="313">
        <f>IFERROR(HEADCOUNT!B19,0)</f>
        <v/>
      </c>
      <c r="C20" s="313">
        <f>IFERROR(HEADCOUNT!C19,0)</f>
        <v/>
      </c>
      <c r="D20" s="313">
        <f>IFERROR(HEADCOUNT!D19,0)</f>
        <v/>
      </c>
      <c r="E20" s="313">
        <f>IFERROR(HEADCOUNT!E19,0)</f>
        <v/>
      </c>
      <c r="F20" s="313">
        <f>IFERROR(HEADCOUNT!F19,0)</f>
        <v/>
      </c>
      <c r="G20" s="313">
        <f>IFERROR(HEADCOUNT!G19,0)</f>
        <v/>
      </c>
      <c r="H20" s="313">
        <f>IFERROR(HEADCOUNT!H19,0)</f>
        <v/>
      </c>
      <c r="I20" s="313">
        <f>IFERROR(HEADCOUNT!I19,0)</f>
        <v/>
      </c>
      <c r="J20" s="313">
        <f>IFERROR(HEADCOUNT!J19,0)</f>
        <v/>
      </c>
      <c r="K20" s="313">
        <f>IFERROR(HEADCOUNT!K19,0)</f>
        <v/>
      </c>
      <c r="L20" s="313">
        <f>IFERROR(HEADCOUNT!L19,0)</f>
        <v/>
      </c>
      <c r="M20" s="313">
        <f>IFERROR(HEADCOUNT!M19,0)</f>
        <v/>
      </c>
      <c r="N20" s="322">
        <f>SUM(B20:M20)</f>
        <v/>
      </c>
      <c r="O20" s="313">
        <f>IFERROR(HEADCOUNT!O19,0)</f>
        <v/>
      </c>
      <c r="P20" s="313">
        <f>IFERROR(HEADCOUNT!P19,0)</f>
        <v/>
      </c>
      <c r="Q20" s="313">
        <f>IFERROR(HEADCOUNT!Q19,0)</f>
        <v/>
      </c>
      <c r="R20" s="313">
        <f>IFERROR(HEADCOUNT!R19,0)</f>
        <v/>
      </c>
      <c r="S20" s="313">
        <f>IFERROR(HEADCOUNT!S19,0)</f>
        <v/>
      </c>
      <c r="T20" s="313">
        <f>IFERROR(HEADCOUNT!T19,0)</f>
        <v/>
      </c>
      <c r="U20" s="313">
        <f>IFERROR(HEADCOUNT!U19,0)</f>
        <v/>
      </c>
      <c r="V20" s="313">
        <f>IFERROR(HEADCOUNT!V19,0)</f>
        <v/>
      </c>
      <c r="W20" s="313">
        <f>IFERROR(HEADCOUNT!W19,0)</f>
        <v/>
      </c>
      <c r="X20" s="313">
        <f>IFERROR(HEADCOUNT!X19,0)</f>
        <v/>
      </c>
      <c r="Y20" s="313">
        <f>IFERROR(HEADCOUNT!Y19,0)</f>
        <v/>
      </c>
      <c r="Z20" s="313">
        <f>IFERROR(HEADCOUNT!Z19,0)</f>
        <v/>
      </c>
      <c r="AA20" s="322">
        <f>SUM(O20:Z20)</f>
        <v/>
      </c>
      <c r="AB20" s="313">
        <f>IFERROR(HEADCOUNT!AB19,0)</f>
        <v/>
      </c>
      <c r="AC20" s="313">
        <f>IFERROR(HEADCOUNT!AC19,0)</f>
        <v/>
      </c>
      <c r="AD20" s="313">
        <f>IFERROR(HEADCOUNT!AD19,0)</f>
        <v/>
      </c>
      <c r="AE20" s="313">
        <f>IFERROR(HEADCOUNT!AE19,0)</f>
        <v/>
      </c>
      <c r="AF20" s="313">
        <f>IFERROR(HEADCOUNT!AF19,0)</f>
        <v/>
      </c>
      <c r="AG20" s="313">
        <f>IFERROR(HEADCOUNT!AG19,0)</f>
        <v/>
      </c>
      <c r="AH20" s="313">
        <f>IFERROR(HEADCOUNT!AH19,0)</f>
        <v/>
      </c>
      <c r="AI20" s="313">
        <f>IFERROR(HEADCOUNT!AI19,0)</f>
        <v/>
      </c>
      <c r="AJ20" s="313">
        <f>IFERROR(HEADCOUNT!AJ19,0)</f>
        <v/>
      </c>
      <c r="AK20" s="313">
        <f>IFERROR(HEADCOUNT!AK19,0)</f>
        <v/>
      </c>
      <c r="AL20" s="313">
        <f>IFERROR(HEADCOUNT!AL19,0)</f>
        <v/>
      </c>
      <c r="AM20" s="313">
        <f>IFERROR(HEADCOUNT!AM19,0)</f>
        <v/>
      </c>
      <c r="AN20" s="322">
        <f>SUM(AB20:AM20)</f>
        <v/>
      </c>
      <c r="AO20" s="313">
        <f>IFERROR(HEADCOUNT!AO19,0)</f>
        <v/>
      </c>
      <c r="AP20" s="313">
        <f>IFERROR(HEADCOUNT!AP19,0)</f>
        <v/>
      </c>
      <c r="AQ20" s="313">
        <f>IFERROR(HEADCOUNT!AQ19,0)</f>
        <v/>
      </c>
      <c r="AR20" s="313">
        <f>IFERROR(HEADCOUNT!AR19,0)</f>
        <v/>
      </c>
      <c r="AS20" s="313">
        <f>IFERROR(HEADCOUNT!AS19,0)</f>
        <v/>
      </c>
      <c r="AT20" s="313">
        <f>IFERROR(HEADCOUNT!AT19,0)</f>
        <v/>
      </c>
      <c r="AU20" s="313">
        <f>IFERROR(HEADCOUNT!AU19,0)</f>
        <v/>
      </c>
      <c r="AV20" s="313">
        <f>IFERROR(HEADCOUNT!AV19,0)</f>
        <v/>
      </c>
      <c r="AW20" s="313">
        <f>IFERROR(HEADCOUNT!AW19,0)</f>
        <v/>
      </c>
      <c r="AX20" s="313">
        <f>IFERROR(HEADCOUNT!AX19,0)</f>
        <v/>
      </c>
      <c r="AY20" s="313">
        <f>IFERROR(HEADCOUNT!AY19,0)</f>
        <v/>
      </c>
      <c r="AZ20" s="313">
        <f>IFERROR(HEADCOUNT!AZ19,0)</f>
        <v/>
      </c>
      <c r="BA20" s="290">
        <f>SUM(AO20:AZ20)</f>
        <v/>
      </c>
      <c r="BB20" s="313">
        <f>IFERROR(HEADCOUNT!BB19,0)</f>
        <v/>
      </c>
      <c r="BC20" s="313">
        <f>IFERROR(HEADCOUNT!BC19,0)</f>
        <v/>
      </c>
      <c r="BD20" s="313">
        <f>IFERROR(HEADCOUNT!BD19,0)</f>
        <v/>
      </c>
      <c r="BE20" s="313">
        <f>IFERROR(HEADCOUNT!BE19,0)</f>
        <v/>
      </c>
      <c r="BF20" s="313">
        <f>IFERROR(HEADCOUNT!BF19,0)</f>
        <v/>
      </c>
      <c r="BG20" s="313">
        <f>IFERROR(HEADCOUNT!BG19,0)</f>
        <v/>
      </c>
      <c r="BH20" s="313">
        <f>IFERROR(HEADCOUNT!BH19,0)</f>
        <v/>
      </c>
      <c r="BI20" s="313">
        <f>IFERROR(HEADCOUNT!BI19,0)</f>
        <v/>
      </c>
      <c r="BJ20" s="313">
        <f>IFERROR(HEADCOUNT!BJ19,0)</f>
        <v/>
      </c>
      <c r="BK20" s="313">
        <f>IFERROR(HEADCOUNT!BK19,0)</f>
        <v/>
      </c>
      <c r="BL20" s="313">
        <f>IFERROR(HEADCOUNT!BL19,0)</f>
        <v/>
      </c>
      <c r="BM20" s="313">
        <f>IFERROR(HEADCOUNT!BM19,0)</f>
        <v/>
      </c>
      <c r="BN20" s="290">
        <f>SUM(BB20:BM20)</f>
        <v/>
      </c>
    </row>
    <row r="21" ht="18" customHeight="1" s="218">
      <c r="A21" s="291" t="inlineStr">
        <is>
          <t xml:space="preserve">  Sales HC (£)</t>
        </is>
      </c>
      <c r="B21" s="313">
        <f>IFERROR(HEADCOUNT!B26,0)</f>
        <v/>
      </c>
      <c r="C21" s="313">
        <f>IFERROR(HEADCOUNT!C26,0)</f>
        <v/>
      </c>
      <c r="D21" s="313">
        <f>IFERROR(HEADCOUNT!D26,0)</f>
        <v/>
      </c>
      <c r="E21" s="313">
        <f>IFERROR(HEADCOUNT!E26,0)</f>
        <v/>
      </c>
      <c r="F21" s="313">
        <f>IFERROR(HEADCOUNT!F26,0)</f>
        <v/>
      </c>
      <c r="G21" s="313">
        <f>IFERROR(HEADCOUNT!G26,0)</f>
        <v/>
      </c>
      <c r="H21" s="313">
        <f>IFERROR(HEADCOUNT!H26,0)</f>
        <v/>
      </c>
      <c r="I21" s="313">
        <f>IFERROR(HEADCOUNT!I26,0)</f>
        <v/>
      </c>
      <c r="J21" s="313">
        <f>IFERROR(HEADCOUNT!J26,0)</f>
        <v/>
      </c>
      <c r="K21" s="313">
        <f>IFERROR(HEADCOUNT!K26,0)</f>
        <v/>
      </c>
      <c r="L21" s="313">
        <f>IFERROR(HEADCOUNT!L26,0)</f>
        <v/>
      </c>
      <c r="M21" s="313">
        <f>IFERROR(HEADCOUNT!M26,0)</f>
        <v/>
      </c>
      <c r="N21" s="322">
        <f>SUM(B21:M21)</f>
        <v/>
      </c>
      <c r="O21" s="313">
        <f>IFERROR(HEADCOUNT!O26,0)</f>
        <v/>
      </c>
      <c r="P21" s="313">
        <f>IFERROR(HEADCOUNT!P26,0)</f>
        <v/>
      </c>
      <c r="Q21" s="313">
        <f>IFERROR(HEADCOUNT!Q26,0)</f>
        <v/>
      </c>
      <c r="R21" s="313">
        <f>IFERROR(HEADCOUNT!R26,0)</f>
        <v/>
      </c>
      <c r="S21" s="313">
        <f>IFERROR(HEADCOUNT!S26,0)</f>
        <v/>
      </c>
      <c r="T21" s="313">
        <f>IFERROR(HEADCOUNT!T26,0)</f>
        <v/>
      </c>
      <c r="U21" s="313">
        <f>IFERROR(HEADCOUNT!U26,0)</f>
        <v/>
      </c>
      <c r="V21" s="313">
        <f>IFERROR(HEADCOUNT!V26,0)</f>
        <v/>
      </c>
      <c r="W21" s="313">
        <f>IFERROR(HEADCOUNT!W26,0)</f>
        <v/>
      </c>
      <c r="X21" s="313">
        <f>IFERROR(HEADCOUNT!X26,0)</f>
        <v/>
      </c>
      <c r="Y21" s="313">
        <f>IFERROR(HEADCOUNT!Y26,0)</f>
        <v/>
      </c>
      <c r="Z21" s="313">
        <f>IFERROR(HEADCOUNT!Z26,0)</f>
        <v/>
      </c>
      <c r="AA21" s="322">
        <f>SUM(O21:Z21)</f>
        <v/>
      </c>
      <c r="AB21" s="313">
        <f>IFERROR(HEADCOUNT!AB26,0)</f>
        <v/>
      </c>
      <c r="AC21" s="313">
        <f>IFERROR(HEADCOUNT!AC26,0)</f>
        <v/>
      </c>
      <c r="AD21" s="313">
        <f>IFERROR(HEADCOUNT!AD26,0)</f>
        <v/>
      </c>
      <c r="AE21" s="313">
        <f>IFERROR(HEADCOUNT!AE26,0)</f>
        <v/>
      </c>
      <c r="AF21" s="313">
        <f>IFERROR(HEADCOUNT!AF26,0)</f>
        <v/>
      </c>
      <c r="AG21" s="313">
        <f>IFERROR(HEADCOUNT!AG26,0)</f>
        <v/>
      </c>
      <c r="AH21" s="313">
        <f>IFERROR(HEADCOUNT!AH26,0)</f>
        <v/>
      </c>
      <c r="AI21" s="313">
        <f>IFERROR(HEADCOUNT!AI26,0)</f>
        <v/>
      </c>
      <c r="AJ21" s="313">
        <f>IFERROR(HEADCOUNT!AJ26,0)</f>
        <v/>
      </c>
      <c r="AK21" s="313">
        <f>IFERROR(HEADCOUNT!AK26,0)</f>
        <v/>
      </c>
      <c r="AL21" s="313">
        <f>IFERROR(HEADCOUNT!AL26,0)</f>
        <v/>
      </c>
      <c r="AM21" s="313">
        <f>IFERROR(HEADCOUNT!AM26,0)</f>
        <v/>
      </c>
      <c r="AN21" s="322">
        <f>SUM(AB21:AM21)</f>
        <v/>
      </c>
      <c r="AO21" s="313">
        <f>IFERROR(HEADCOUNT!AO26,0)</f>
        <v/>
      </c>
      <c r="AP21" s="313">
        <f>IFERROR(HEADCOUNT!AP26,0)</f>
        <v/>
      </c>
      <c r="AQ21" s="313">
        <f>IFERROR(HEADCOUNT!AQ26,0)</f>
        <v/>
      </c>
      <c r="AR21" s="313">
        <f>IFERROR(HEADCOUNT!AR26,0)</f>
        <v/>
      </c>
      <c r="AS21" s="313">
        <f>IFERROR(HEADCOUNT!AS26,0)</f>
        <v/>
      </c>
      <c r="AT21" s="313">
        <f>IFERROR(HEADCOUNT!AT26,0)</f>
        <v/>
      </c>
      <c r="AU21" s="313">
        <f>IFERROR(HEADCOUNT!AU26,0)</f>
        <v/>
      </c>
      <c r="AV21" s="313">
        <f>IFERROR(HEADCOUNT!AV26,0)</f>
        <v/>
      </c>
      <c r="AW21" s="313">
        <f>IFERROR(HEADCOUNT!AW26,0)</f>
        <v/>
      </c>
      <c r="AX21" s="313">
        <f>IFERROR(HEADCOUNT!AX26,0)</f>
        <v/>
      </c>
      <c r="AY21" s="313">
        <f>IFERROR(HEADCOUNT!AY26,0)</f>
        <v/>
      </c>
      <c r="AZ21" s="313">
        <f>IFERROR(HEADCOUNT!AZ26,0)</f>
        <v/>
      </c>
      <c r="BA21" s="290">
        <f>SUM(AO21:AZ21)</f>
        <v/>
      </c>
      <c r="BB21" s="313">
        <f>IFERROR(HEADCOUNT!BB26,0)</f>
        <v/>
      </c>
      <c r="BC21" s="313">
        <f>IFERROR(HEADCOUNT!BC26,0)</f>
        <v/>
      </c>
      <c r="BD21" s="313">
        <f>IFERROR(HEADCOUNT!BD26,0)</f>
        <v/>
      </c>
      <c r="BE21" s="313">
        <f>IFERROR(HEADCOUNT!BE26,0)</f>
        <v/>
      </c>
      <c r="BF21" s="313">
        <f>IFERROR(HEADCOUNT!BF26,0)</f>
        <v/>
      </c>
      <c r="BG21" s="313">
        <f>IFERROR(HEADCOUNT!BG26,0)</f>
        <v/>
      </c>
      <c r="BH21" s="313">
        <f>IFERROR(HEADCOUNT!BH26,0)</f>
        <v/>
      </c>
      <c r="BI21" s="313">
        <f>IFERROR(HEADCOUNT!BI26,0)</f>
        <v/>
      </c>
      <c r="BJ21" s="313">
        <f>IFERROR(HEADCOUNT!BJ26,0)</f>
        <v/>
      </c>
      <c r="BK21" s="313">
        <f>IFERROR(HEADCOUNT!BK26,0)</f>
        <v/>
      </c>
      <c r="BL21" s="313">
        <f>IFERROR(HEADCOUNT!BL26,0)</f>
        <v/>
      </c>
      <c r="BM21" s="313">
        <f>IFERROR(HEADCOUNT!BM26,0)</f>
        <v/>
      </c>
      <c r="BN21" s="290">
        <f>SUM(BB21:BM21)</f>
        <v/>
      </c>
    </row>
    <row r="22" ht="18" customHeight="1" s="218">
      <c r="A22" s="293" t="inlineStr">
        <is>
          <t xml:space="preserve">  Marketing HC (£)</t>
        </is>
      </c>
      <c r="B22" s="313">
        <f>IFERROR(HEADCOUNT!B32,0)</f>
        <v/>
      </c>
      <c r="C22" s="313">
        <f>IFERROR(HEADCOUNT!C32,0)</f>
        <v/>
      </c>
      <c r="D22" s="313">
        <f>IFERROR(HEADCOUNT!D32,0)</f>
        <v/>
      </c>
      <c r="E22" s="313">
        <f>IFERROR(HEADCOUNT!E32,0)</f>
        <v/>
      </c>
      <c r="F22" s="313">
        <f>IFERROR(HEADCOUNT!F32,0)</f>
        <v/>
      </c>
      <c r="G22" s="313">
        <f>IFERROR(HEADCOUNT!G32,0)</f>
        <v/>
      </c>
      <c r="H22" s="313">
        <f>IFERROR(HEADCOUNT!H32,0)</f>
        <v/>
      </c>
      <c r="I22" s="313">
        <f>IFERROR(HEADCOUNT!I32,0)</f>
        <v/>
      </c>
      <c r="J22" s="313">
        <f>IFERROR(HEADCOUNT!J32,0)</f>
        <v/>
      </c>
      <c r="K22" s="313">
        <f>IFERROR(HEADCOUNT!K32,0)</f>
        <v/>
      </c>
      <c r="L22" s="313">
        <f>IFERROR(HEADCOUNT!L32,0)</f>
        <v/>
      </c>
      <c r="M22" s="313">
        <f>IFERROR(HEADCOUNT!M32,0)</f>
        <v/>
      </c>
      <c r="N22" s="322">
        <f>SUM(B22:M22)</f>
        <v/>
      </c>
      <c r="O22" s="313">
        <f>IFERROR(HEADCOUNT!O32,0)</f>
        <v/>
      </c>
      <c r="P22" s="313">
        <f>IFERROR(HEADCOUNT!P32,0)</f>
        <v/>
      </c>
      <c r="Q22" s="313">
        <f>IFERROR(HEADCOUNT!Q32,0)</f>
        <v/>
      </c>
      <c r="R22" s="313">
        <f>IFERROR(HEADCOUNT!R32,0)</f>
        <v/>
      </c>
      <c r="S22" s="313">
        <f>IFERROR(HEADCOUNT!S32,0)</f>
        <v/>
      </c>
      <c r="T22" s="313">
        <f>IFERROR(HEADCOUNT!T32,0)</f>
        <v/>
      </c>
      <c r="U22" s="313">
        <f>IFERROR(HEADCOUNT!U32,0)</f>
        <v/>
      </c>
      <c r="V22" s="313">
        <f>IFERROR(HEADCOUNT!V32,0)</f>
        <v/>
      </c>
      <c r="W22" s="313">
        <f>IFERROR(HEADCOUNT!W32,0)</f>
        <v/>
      </c>
      <c r="X22" s="313">
        <f>IFERROR(HEADCOUNT!X32,0)</f>
        <v/>
      </c>
      <c r="Y22" s="313">
        <f>IFERROR(HEADCOUNT!Y32,0)</f>
        <v/>
      </c>
      <c r="Z22" s="313">
        <f>IFERROR(HEADCOUNT!Z32,0)</f>
        <v/>
      </c>
      <c r="AA22" s="322">
        <f>SUM(O22:Z22)</f>
        <v/>
      </c>
      <c r="AB22" s="313">
        <f>IFERROR(HEADCOUNT!AB32,0)</f>
        <v/>
      </c>
      <c r="AC22" s="313">
        <f>IFERROR(HEADCOUNT!AC32,0)</f>
        <v/>
      </c>
      <c r="AD22" s="313">
        <f>IFERROR(HEADCOUNT!AD32,0)</f>
        <v/>
      </c>
      <c r="AE22" s="313">
        <f>IFERROR(HEADCOUNT!AE32,0)</f>
        <v/>
      </c>
      <c r="AF22" s="313">
        <f>IFERROR(HEADCOUNT!AF32,0)</f>
        <v/>
      </c>
      <c r="AG22" s="313">
        <f>IFERROR(HEADCOUNT!AG32,0)</f>
        <v/>
      </c>
      <c r="AH22" s="313">
        <f>IFERROR(HEADCOUNT!AH32,0)</f>
        <v/>
      </c>
      <c r="AI22" s="313">
        <f>IFERROR(HEADCOUNT!AI32,0)</f>
        <v/>
      </c>
      <c r="AJ22" s="313">
        <f>IFERROR(HEADCOUNT!AJ32,0)</f>
        <v/>
      </c>
      <c r="AK22" s="313">
        <f>IFERROR(HEADCOUNT!AK32,0)</f>
        <v/>
      </c>
      <c r="AL22" s="313">
        <f>IFERROR(HEADCOUNT!AL32,0)</f>
        <v/>
      </c>
      <c r="AM22" s="313">
        <f>IFERROR(HEADCOUNT!AM32,0)</f>
        <v/>
      </c>
      <c r="AN22" s="322">
        <f>SUM(AB22:AM22)</f>
        <v/>
      </c>
      <c r="AO22" s="313">
        <f>IFERROR(HEADCOUNT!AO32,0)</f>
        <v/>
      </c>
      <c r="AP22" s="313">
        <f>IFERROR(HEADCOUNT!AP32,0)</f>
        <v/>
      </c>
      <c r="AQ22" s="313">
        <f>IFERROR(HEADCOUNT!AQ32,0)</f>
        <v/>
      </c>
      <c r="AR22" s="313">
        <f>IFERROR(HEADCOUNT!AR32,0)</f>
        <v/>
      </c>
      <c r="AS22" s="313">
        <f>IFERROR(HEADCOUNT!AS32,0)</f>
        <v/>
      </c>
      <c r="AT22" s="313">
        <f>IFERROR(HEADCOUNT!AT32,0)</f>
        <v/>
      </c>
      <c r="AU22" s="313">
        <f>IFERROR(HEADCOUNT!AU32,0)</f>
        <v/>
      </c>
      <c r="AV22" s="313">
        <f>IFERROR(HEADCOUNT!AV32,0)</f>
        <v/>
      </c>
      <c r="AW22" s="313">
        <f>IFERROR(HEADCOUNT!AW32,0)</f>
        <v/>
      </c>
      <c r="AX22" s="313">
        <f>IFERROR(HEADCOUNT!AX32,0)</f>
        <v/>
      </c>
      <c r="AY22" s="313">
        <f>IFERROR(HEADCOUNT!AY32,0)</f>
        <v/>
      </c>
      <c r="AZ22" s="313">
        <f>IFERROR(HEADCOUNT!AZ32,0)</f>
        <v/>
      </c>
      <c r="BA22" s="290">
        <f>SUM(AO22:AZ22)</f>
        <v/>
      </c>
      <c r="BB22" s="313">
        <f>IFERROR(HEADCOUNT!BB32,0)</f>
        <v/>
      </c>
      <c r="BC22" s="313">
        <f>IFERROR(HEADCOUNT!BC32,0)</f>
        <v/>
      </c>
      <c r="BD22" s="313">
        <f>IFERROR(HEADCOUNT!BD32,0)</f>
        <v/>
      </c>
      <c r="BE22" s="313">
        <f>IFERROR(HEADCOUNT!BE32,0)</f>
        <v/>
      </c>
      <c r="BF22" s="313">
        <f>IFERROR(HEADCOUNT!BF32,0)</f>
        <v/>
      </c>
      <c r="BG22" s="313">
        <f>IFERROR(HEADCOUNT!BG32,0)</f>
        <v/>
      </c>
      <c r="BH22" s="313">
        <f>IFERROR(HEADCOUNT!BH32,0)</f>
        <v/>
      </c>
      <c r="BI22" s="313">
        <f>IFERROR(HEADCOUNT!BI32,0)</f>
        <v/>
      </c>
      <c r="BJ22" s="313">
        <f>IFERROR(HEADCOUNT!BJ32,0)</f>
        <v/>
      </c>
      <c r="BK22" s="313">
        <f>IFERROR(HEADCOUNT!BK32,0)</f>
        <v/>
      </c>
      <c r="BL22" s="313">
        <f>IFERROR(HEADCOUNT!BL32,0)</f>
        <v/>
      </c>
      <c r="BM22" s="313">
        <f>IFERROR(HEADCOUNT!BM32,0)</f>
        <v/>
      </c>
      <c r="BN22" s="290">
        <f>SUM(BB22:BM22)</f>
        <v/>
      </c>
    </row>
    <row r="23" ht="18" customHeight="1" s="218">
      <c r="A23" s="291" t="inlineStr">
        <is>
          <t xml:space="preserve">  Customer Success HC (£)</t>
        </is>
      </c>
      <c r="B23" s="313">
        <f>IFERROR(HEADCOUNT!B38,0)</f>
        <v/>
      </c>
      <c r="C23" s="313">
        <f>IFERROR(HEADCOUNT!C38,0)</f>
        <v/>
      </c>
      <c r="D23" s="313">
        <f>IFERROR(HEADCOUNT!D38,0)</f>
        <v/>
      </c>
      <c r="E23" s="313">
        <f>IFERROR(HEADCOUNT!E38,0)</f>
        <v/>
      </c>
      <c r="F23" s="313">
        <f>IFERROR(HEADCOUNT!F38,0)</f>
        <v/>
      </c>
      <c r="G23" s="313">
        <f>IFERROR(HEADCOUNT!G38,0)</f>
        <v/>
      </c>
      <c r="H23" s="313">
        <f>IFERROR(HEADCOUNT!H38,0)</f>
        <v/>
      </c>
      <c r="I23" s="313">
        <f>IFERROR(HEADCOUNT!I38,0)</f>
        <v/>
      </c>
      <c r="J23" s="313">
        <f>IFERROR(HEADCOUNT!J38,0)</f>
        <v/>
      </c>
      <c r="K23" s="313">
        <f>IFERROR(HEADCOUNT!K38,0)</f>
        <v/>
      </c>
      <c r="L23" s="313">
        <f>IFERROR(HEADCOUNT!L38,0)</f>
        <v/>
      </c>
      <c r="M23" s="313">
        <f>IFERROR(HEADCOUNT!M38,0)</f>
        <v/>
      </c>
      <c r="N23" s="322">
        <f>SUM(B23:M23)</f>
        <v/>
      </c>
      <c r="O23" s="313">
        <f>IFERROR(HEADCOUNT!O38,0)</f>
        <v/>
      </c>
      <c r="P23" s="313">
        <f>IFERROR(HEADCOUNT!P38,0)</f>
        <v/>
      </c>
      <c r="Q23" s="313">
        <f>IFERROR(HEADCOUNT!Q38,0)</f>
        <v/>
      </c>
      <c r="R23" s="313">
        <f>IFERROR(HEADCOUNT!R38,0)</f>
        <v/>
      </c>
      <c r="S23" s="313">
        <f>IFERROR(HEADCOUNT!S38,0)</f>
        <v/>
      </c>
      <c r="T23" s="313">
        <f>IFERROR(HEADCOUNT!T38,0)</f>
        <v/>
      </c>
      <c r="U23" s="313">
        <f>IFERROR(HEADCOUNT!U38,0)</f>
        <v/>
      </c>
      <c r="V23" s="313">
        <f>IFERROR(HEADCOUNT!V38,0)</f>
        <v/>
      </c>
      <c r="W23" s="313">
        <f>IFERROR(HEADCOUNT!W38,0)</f>
        <v/>
      </c>
      <c r="X23" s="313">
        <f>IFERROR(HEADCOUNT!X38,0)</f>
        <v/>
      </c>
      <c r="Y23" s="313">
        <f>IFERROR(HEADCOUNT!Y38,0)</f>
        <v/>
      </c>
      <c r="Z23" s="313">
        <f>IFERROR(HEADCOUNT!Z38,0)</f>
        <v/>
      </c>
      <c r="AA23" s="322">
        <f>SUM(O23:Z23)</f>
        <v/>
      </c>
      <c r="AB23" s="313">
        <f>IFERROR(HEADCOUNT!AB38,0)</f>
        <v/>
      </c>
      <c r="AC23" s="313">
        <f>IFERROR(HEADCOUNT!AC38,0)</f>
        <v/>
      </c>
      <c r="AD23" s="313">
        <f>IFERROR(HEADCOUNT!AD38,0)</f>
        <v/>
      </c>
      <c r="AE23" s="313">
        <f>IFERROR(HEADCOUNT!AE38,0)</f>
        <v/>
      </c>
      <c r="AF23" s="313">
        <f>IFERROR(HEADCOUNT!AF38,0)</f>
        <v/>
      </c>
      <c r="AG23" s="313">
        <f>IFERROR(HEADCOUNT!AG38,0)</f>
        <v/>
      </c>
      <c r="AH23" s="313">
        <f>IFERROR(HEADCOUNT!AH38,0)</f>
        <v/>
      </c>
      <c r="AI23" s="313">
        <f>IFERROR(HEADCOUNT!AI38,0)</f>
        <v/>
      </c>
      <c r="AJ23" s="313">
        <f>IFERROR(HEADCOUNT!AJ38,0)</f>
        <v/>
      </c>
      <c r="AK23" s="313">
        <f>IFERROR(HEADCOUNT!AK38,0)</f>
        <v/>
      </c>
      <c r="AL23" s="313">
        <f>IFERROR(HEADCOUNT!AL38,0)</f>
        <v/>
      </c>
      <c r="AM23" s="313">
        <f>IFERROR(HEADCOUNT!AM38,0)</f>
        <v/>
      </c>
      <c r="AN23" s="322">
        <f>SUM(AB23:AM23)</f>
        <v/>
      </c>
      <c r="AO23" s="313">
        <f>IFERROR(HEADCOUNT!AO38,0)</f>
        <v/>
      </c>
      <c r="AP23" s="313">
        <f>IFERROR(HEADCOUNT!AP38,0)</f>
        <v/>
      </c>
      <c r="AQ23" s="313">
        <f>IFERROR(HEADCOUNT!AQ38,0)</f>
        <v/>
      </c>
      <c r="AR23" s="313">
        <f>IFERROR(HEADCOUNT!AR38,0)</f>
        <v/>
      </c>
      <c r="AS23" s="313">
        <f>IFERROR(HEADCOUNT!AS38,0)</f>
        <v/>
      </c>
      <c r="AT23" s="313">
        <f>IFERROR(HEADCOUNT!AT38,0)</f>
        <v/>
      </c>
      <c r="AU23" s="313">
        <f>IFERROR(HEADCOUNT!AU38,0)</f>
        <v/>
      </c>
      <c r="AV23" s="313">
        <f>IFERROR(HEADCOUNT!AV38,0)</f>
        <v/>
      </c>
      <c r="AW23" s="313">
        <f>IFERROR(HEADCOUNT!AW38,0)</f>
        <v/>
      </c>
      <c r="AX23" s="313">
        <f>IFERROR(HEADCOUNT!AX38,0)</f>
        <v/>
      </c>
      <c r="AY23" s="313">
        <f>IFERROR(HEADCOUNT!AY38,0)</f>
        <v/>
      </c>
      <c r="AZ23" s="313">
        <f>IFERROR(HEADCOUNT!AZ38,0)</f>
        <v/>
      </c>
      <c r="BA23" s="290">
        <f>SUM(AO23:AZ23)</f>
        <v/>
      </c>
      <c r="BB23" s="313">
        <f>IFERROR(HEADCOUNT!BB38,0)</f>
        <v/>
      </c>
      <c r="BC23" s="313">
        <f>IFERROR(HEADCOUNT!BC38,0)</f>
        <v/>
      </c>
      <c r="BD23" s="313">
        <f>IFERROR(HEADCOUNT!BD38,0)</f>
        <v/>
      </c>
      <c r="BE23" s="313">
        <f>IFERROR(HEADCOUNT!BE38,0)</f>
        <v/>
      </c>
      <c r="BF23" s="313">
        <f>IFERROR(HEADCOUNT!BF38,0)</f>
        <v/>
      </c>
      <c r="BG23" s="313">
        <f>IFERROR(HEADCOUNT!BG38,0)</f>
        <v/>
      </c>
      <c r="BH23" s="313">
        <f>IFERROR(HEADCOUNT!BH38,0)</f>
        <v/>
      </c>
      <c r="BI23" s="313">
        <f>IFERROR(HEADCOUNT!BI38,0)</f>
        <v/>
      </c>
      <c r="BJ23" s="313">
        <f>IFERROR(HEADCOUNT!BJ38,0)</f>
        <v/>
      </c>
      <c r="BK23" s="313">
        <f>IFERROR(HEADCOUNT!BK38,0)</f>
        <v/>
      </c>
      <c r="BL23" s="313">
        <f>IFERROR(HEADCOUNT!BL38,0)</f>
        <v/>
      </c>
      <c r="BM23" s="313">
        <f>IFERROR(HEADCOUNT!BM38,0)</f>
        <v/>
      </c>
      <c r="BN23" s="290">
        <f>SUM(BB23:BM23)</f>
        <v/>
      </c>
    </row>
    <row r="24" ht="18" customHeight="1" s="218">
      <c r="A24" s="293" t="inlineStr">
        <is>
          <t xml:space="preserve">  G&amp;A HC (£)</t>
        </is>
      </c>
      <c r="B24" s="313">
        <f>IFERROR(HEADCOUNT!B43,0)</f>
        <v/>
      </c>
      <c r="C24" s="313">
        <f>IFERROR(HEADCOUNT!C43,0)</f>
        <v/>
      </c>
      <c r="D24" s="313">
        <f>IFERROR(HEADCOUNT!D43,0)</f>
        <v/>
      </c>
      <c r="E24" s="313">
        <f>IFERROR(HEADCOUNT!E43,0)</f>
        <v/>
      </c>
      <c r="F24" s="313">
        <f>IFERROR(HEADCOUNT!F43,0)</f>
        <v/>
      </c>
      <c r="G24" s="313">
        <f>IFERROR(HEADCOUNT!G43,0)</f>
        <v/>
      </c>
      <c r="H24" s="313">
        <f>IFERROR(HEADCOUNT!H43,0)</f>
        <v/>
      </c>
      <c r="I24" s="313">
        <f>IFERROR(HEADCOUNT!I43,0)</f>
        <v/>
      </c>
      <c r="J24" s="313">
        <f>IFERROR(HEADCOUNT!J43,0)</f>
        <v/>
      </c>
      <c r="K24" s="313">
        <f>IFERROR(HEADCOUNT!K43,0)</f>
        <v/>
      </c>
      <c r="L24" s="313">
        <f>IFERROR(HEADCOUNT!L43,0)</f>
        <v/>
      </c>
      <c r="M24" s="313">
        <f>IFERROR(HEADCOUNT!M43,0)</f>
        <v/>
      </c>
      <c r="N24" s="322">
        <f>SUM(B24:M24)</f>
        <v/>
      </c>
      <c r="O24" s="313">
        <f>IFERROR(HEADCOUNT!O43,0)</f>
        <v/>
      </c>
      <c r="P24" s="313">
        <f>IFERROR(HEADCOUNT!P43,0)</f>
        <v/>
      </c>
      <c r="Q24" s="313">
        <f>IFERROR(HEADCOUNT!Q43,0)</f>
        <v/>
      </c>
      <c r="R24" s="313">
        <f>IFERROR(HEADCOUNT!R43,0)</f>
        <v/>
      </c>
      <c r="S24" s="313">
        <f>IFERROR(HEADCOUNT!S43,0)</f>
        <v/>
      </c>
      <c r="T24" s="313">
        <f>IFERROR(HEADCOUNT!T43,0)</f>
        <v/>
      </c>
      <c r="U24" s="313">
        <f>IFERROR(HEADCOUNT!U43,0)</f>
        <v/>
      </c>
      <c r="V24" s="313">
        <f>IFERROR(HEADCOUNT!V43,0)</f>
        <v/>
      </c>
      <c r="W24" s="313">
        <f>IFERROR(HEADCOUNT!W43,0)</f>
        <v/>
      </c>
      <c r="X24" s="313">
        <f>IFERROR(HEADCOUNT!X43,0)</f>
        <v/>
      </c>
      <c r="Y24" s="313">
        <f>IFERROR(HEADCOUNT!Y43,0)</f>
        <v/>
      </c>
      <c r="Z24" s="313">
        <f>IFERROR(HEADCOUNT!Z43,0)</f>
        <v/>
      </c>
      <c r="AA24" s="322">
        <f>SUM(O24:Z24)</f>
        <v/>
      </c>
      <c r="AB24" s="313">
        <f>IFERROR(HEADCOUNT!AB43,0)</f>
        <v/>
      </c>
      <c r="AC24" s="313">
        <f>IFERROR(HEADCOUNT!AC43,0)</f>
        <v/>
      </c>
      <c r="AD24" s="313">
        <f>IFERROR(HEADCOUNT!AD43,0)</f>
        <v/>
      </c>
      <c r="AE24" s="313">
        <f>IFERROR(HEADCOUNT!AE43,0)</f>
        <v/>
      </c>
      <c r="AF24" s="313">
        <f>IFERROR(HEADCOUNT!AF43,0)</f>
        <v/>
      </c>
      <c r="AG24" s="313">
        <f>IFERROR(HEADCOUNT!AG43,0)</f>
        <v/>
      </c>
      <c r="AH24" s="313">
        <f>IFERROR(HEADCOUNT!AH43,0)</f>
        <v/>
      </c>
      <c r="AI24" s="313">
        <f>IFERROR(HEADCOUNT!AI43,0)</f>
        <v/>
      </c>
      <c r="AJ24" s="313">
        <f>IFERROR(HEADCOUNT!AJ43,0)</f>
        <v/>
      </c>
      <c r="AK24" s="313">
        <f>IFERROR(HEADCOUNT!AK43,0)</f>
        <v/>
      </c>
      <c r="AL24" s="313">
        <f>IFERROR(HEADCOUNT!AL43,0)</f>
        <v/>
      </c>
      <c r="AM24" s="313">
        <f>IFERROR(HEADCOUNT!AM43,0)</f>
        <v/>
      </c>
      <c r="AN24" s="322">
        <f>SUM(AB24:AM24)</f>
        <v/>
      </c>
      <c r="AO24" s="313">
        <f>IFERROR(HEADCOUNT!AO43,0)</f>
        <v/>
      </c>
      <c r="AP24" s="313">
        <f>IFERROR(HEADCOUNT!AP43,0)</f>
        <v/>
      </c>
      <c r="AQ24" s="313">
        <f>IFERROR(HEADCOUNT!AQ43,0)</f>
        <v/>
      </c>
      <c r="AR24" s="313">
        <f>IFERROR(HEADCOUNT!AR43,0)</f>
        <v/>
      </c>
      <c r="AS24" s="313">
        <f>IFERROR(HEADCOUNT!AS43,0)</f>
        <v/>
      </c>
      <c r="AT24" s="313">
        <f>IFERROR(HEADCOUNT!AT43,0)</f>
        <v/>
      </c>
      <c r="AU24" s="313">
        <f>IFERROR(HEADCOUNT!AU43,0)</f>
        <v/>
      </c>
      <c r="AV24" s="313">
        <f>IFERROR(HEADCOUNT!AV43,0)</f>
        <v/>
      </c>
      <c r="AW24" s="313">
        <f>IFERROR(HEADCOUNT!AW43,0)</f>
        <v/>
      </c>
      <c r="AX24" s="313">
        <f>IFERROR(HEADCOUNT!AX43,0)</f>
        <v/>
      </c>
      <c r="AY24" s="313">
        <f>IFERROR(HEADCOUNT!AY43,0)</f>
        <v/>
      </c>
      <c r="AZ24" s="313">
        <f>IFERROR(HEADCOUNT!AZ43,0)</f>
        <v/>
      </c>
      <c r="BA24" s="290">
        <f>SUM(AO24:AZ24)</f>
        <v/>
      </c>
      <c r="BB24" s="313">
        <f>IFERROR(HEADCOUNT!BB43,0)</f>
        <v/>
      </c>
      <c r="BC24" s="313">
        <f>IFERROR(HEADCOUNT!BC43,0)</f>
        <v/>
      </c>
      <c r="BD24" s="313">
        <f>IFERROR(HEADCOUNT!BD43,0)</f>
        <v/>
      </c>
      <c r="BE24" s="313">
        <f>IFERROR(HEADCOUNT!BE43,0)</f>
        <v/>
      </c>
      <c r="BF24" s="313">
        <f>IFERROR(HEADCOUNT!BF43,0)</f>
        <v/>
      </c>
      <c r="BG24" s="313">
        <f>IFERROR(HEADCOUNT!BG43,0)</f>
        <v/>
      </c>
      <c r="BH24" s="313">
        <f>IFERROR(HEADCOUNT!BH43,0)</f>
        <v/>
      </c>
      <c r="BI24" s="313">
        <f>IFERROR(HEADCOUNT!BI43,0)</f>
        <v/>
      </c>
      <c r="BJ24" s="313">
        <f>IFERROR(HEADCOUNT!BJ43,0)</f>
        <v/>
      </c>
      <c r="BK24" s="313">
        <f>IFERROR(HEADCOUNT!BK43,0)</f>
        <v/>
      </c>
      <c r="BL24" s="313">
        <f>IFERROR(HEADCOUNT!BL43,0)</f>
        <v/>
      </c>
      <c r="BM24" s="313">
        <f>IFERROR(HEADCOUNT!BM43,0)</f>
        <v/>
      </c>
      <c r="BN24" s="290">
        <f>SUM(BB24:BM24)</f>
        <v/>
      </c>
    </row>
    <row r="25" ht="18" customHeight="1" s="218">
      <c r="A25" s="294" t="inlineStr">
        <is>
          <t xml:space="preserve">  Total Headcount (£)</t>
        </is>
      </c>
      <c r="B25" s="295">
        <f>IFERROR(HEADCOUNT!B45,0)</f>
        <v/>
      </c>
      <c r="C25" s="295">
        <f>IFERROR(HEADCOUNT!C45,0)</f>
        <v/>
      </c>
      <c r="D25" s="295">
        <f>IFERROR(HEADCOUNT!D45,0)</f>
        <v/>
      </c>
      <c r="E25" s="295">
        <f>IFERROR(HEADCOUNT!E45,0)</f>
        <v/>
      </c>
      <c r="F25" s="295">
        <f>IFERROR(HEADCOUNT!F45,0)</f>
        <v/>
      </c>
      <c r="G25" s="295">
        <f>IFERROR(HEADCOUNT!G45,0)</f>
        <v/>
      </c>
      <c r="H25" s="295">
        <f>IFERROR(HEADCOUNT!H45,0)</f>
        <v/>
      </c>
      <c r="I25" s="295">
        <f>IFERROR(HEADCOUNT!I45,0)</f>
        <v/>
      </c>
      <c r="J25" s="295">
        <f>IFERROR(HEADCOUNT!J45,0)</f>
        <v/>
      </c>
      <c r="K25" s="295">
        <f>IFERROR(HEADCOUNT!K45,0)</f>
        <v/>
      </c>
      <c r="L25" s="295">
        <f>IFERROR(HEADCOUNT!L45,0)</f>
        <v/>
      </c>
      <c r="M25" s="295">
        <f>IFERROR(HEADCOUNT!M45,0)</f>
        <v/>
      </c>
      <c r="N25" s="295">
        <f>SUM(B25:M25)</f>
        <v/>
      </c>
      <c r="O25" s="295">
        <f>IFERROR(HEADCOUNT!O45,0)</f>
        <v/>
      </c>
      <c r="P25" s="295">
        <f>IFERROR(HEADCOUNT!P45,0)</f>
        <v/>
      </c>
      <c r="Q25" s="295">
        <f>IFERROR(HEADCOUNT!Q45,0)</f>
        <v/>
      </c>
      <c r="R25" s="295">
        <f>IFERROR(HEADCOUNT!R45,0)</f>
        <v/>
      </c>
      <c r="S25" s="295">
        <f>IFERROR(HEADCOUNT!S45,0)</f>
        <v/>
      </c>
      <c r="T25" s="295">
        <f>IFERROR(HEADCOUNT!T45,0)</f>
        <v/>
      </c>
      <c r="U25" s="295">
        <f>IFERROR(HEADCOUNT!U45,0)</f>
        <v/>
      </c>
      <c r="V25" s="295">
        <f>IFERROR(HEADCOUNT!V45,0)</f>
        <v/>
      </c>
      <c r="W25" s="295">
        <f>IFERROR(HEADCOUNT!W45,0)</f>
        <v/>
      </c>
      <c r="X25" s="295">
        <f>IFERROR(HEADCOUNT!X45,0)</f>
        <v/>
      </c>
      <c r="Y25" s="295">
        <f>IFERROR(HEADCOUNT!Y45,0)</f>
        <v/>
      </c>
      <c r="Z25" s="295">
        <f>IFERROR(HEADCOUNT!Z45,0)</f>
        <v/>
      </c>
      <c r="AA25" s="295">
        <f>SUM(O25:Z25)</f>
        <v/>
      </c>
      <c r="AB25" s="295">
        <f>IFERROR(HEADCOUNT!AB45,0)</f>
        <v/>
      </c>
      <c r="AC25" s="295">
        <f>IFERROR(HEADCOUNT!AC45,0)</f>
        <v/>
      </c>
      <c r="AD25" s="295">
        <f>IFERROR(HEADCOUNT!AD45,0)</f>
        <v/>
      </c>
      <c r="AE25" s="295">
        <f>IFERROR(HEADCOUNT!AE45,0)</f>
        <v/>
      </c>
      <c r="AF25" s="295">
        <f>IFERROR(HEADCOUNT!AF45,0)</f>
        <v/>
      </c>
      <c r="AG25" s="295">
        <f>IFERROR(HEADCOUNT!AG45,0)</f>
        <v/>
      </c>
      <c r="AH25" s="295">
        <f>IFERROR(HEADCOUNT!AH45,0)</f>
        <v/>
      </c>
      <c r="AI25" s="295">
        <f>IFERROR(HEADCOUNT!AI45,0)</f>
        <v/>
      </c>
      <c r="AJ25" s="295">
        <f>IFERROR(HEADCOUNT!AJ45,0)</f>
        <v/>
      </c>
      <c r="AK25" s="295">
        <f>IFERROR(HEADCOUNT!AK45,0)</f>
        <v/>
      </c>
      <c r="AL25" s="295">
        <f>IFERROR(HEADCOUNT!AL45,0)</f>
        <v/>
      </c>
      <c r="AM25" s="295">
        <f>IFERROR(HEADCOUNT!AM45,0)</f>
        <v/>
      </c>
      <c r="AN25" s="295">
        <f>SUM(AB25:AM25)</f>
        <v/>
      </c>
      <c r="AO25" s="295">
        <f>IFERROR(HEADCOUNT!AO45,0)</f>
        <v/>
      </c>
      <c r="AP25" s="295">
        <f>IFERROR(HEADCOUNT!AP45,0)</f>
        <v/>
      </c>
      <c r="AQ25" s="295">
        <f>IFERROR(HEADCOUNT!AQ45,0)</f>
        <v/>
      </c>
      <c r="AR25" s="295">
        <f>IFERROR(HEADCOUNT!AR45,0)</f>
        <v/>
      </c>
      <c r="AS25" s="295">
        <f>IFERROR(HEADCOUNT!AS45,0)</f>
        <v/>
      </c>
      <c r="AT25" s="295">
        <f>IFERROR(HEADCOUNT!AT45,0)</f>
        <v/>
      </c>
      <c r="AU25" s="295">
        <f>IFERROR(HEADCOUNT!AU45,0)</f>
        <v/>
      </c>
      <c r="AV25" s="295">
        <f>IFERROR(HEADCOUNT!AV45,0)</f>
        <v/>
      </c>
      <c r="AW25" s="295">
        <f>IFERROR(HEADCOUNT!AW45,0)</f>
        <v/>
      </c>
      <c r="AX25" s="295">
        <f>IFERROR(HEADCOUNT!AX45,0)</f>
        <v/>
      </c>
      <c r="AY25" s="295">
        <f>IFERROR(HEADCOUNT!AY45,0)</f>
        <v/>
      </c>
      <c r="AZ25" s="295">
        <f>IFERROR(HEADCOUNT!AZ45,0)</f>
        <v/>
      </c>
      <c r="BA25" s="296">
        <f>SUM(AO25:AZ25)</f>
        <v/>
      </c>
      <c r="BB25" s="295">
        <f>IFERROR(HEADCOUNT!BB45,0)</f>
        <v/>
      </c>
      <c r="BC25" s="295">
        <f>IFERROR(HEADCOUNT!BC45,0)</f>
        <v/>
      </c>
      <c r="BD25" s="295">
        <f>IFERROR(HEADCOUNT!BD45,0)</f>
        <v/>
      </c>
      <c r="BE25" s="295">
        <f>IFERROR(HEADCOUNT!BE45,0)</f>
        <v/>
      </c>
      <c r="BF25" s="295">
        <f>IFERROR(HEADCOUNT!BF45,0)</f>
        <v/>
      </c>
      <c r="BG25" s="295">
        <f>IFERROR(HEADCOUNT!BG45,0)</f>
        <v/>
      </c>
      <c r="BH25" s="295">
        <f>IFERROR(HEADCOUNT!BH45,0)</f>
        <v/>
      </c>
      <c r="BI25" s="295">
        <f>IFERROR(HEADCOUNT!BI45,0)</f>
        <v/>
      </c>
      <c r="BJ25" s="295">
        <f>IFERROR(HEADCOUNT!BJ45,0)</f>
        <v/>
      </c>
      <c r="BK25" s="295">
        <f>IFERROR(HEADCOUNT!BK45,0)</f>
        <v/>
      </c>
      <c r="BL25" s="295">
        <f>IFERROR(HEADCOUNT!BL45,0)</f>
        <v/>
      </c>
      <c r="BM25" s="295">
        <f>IFERROR(HEADCOUNT!BM45,0)</f>
        <v/>
      </c>
      <c r="BN25" s="296">
        <f>SUM(BB25:BM25)</f>
        <v/>
      </c>
    </row>
    <row r="26" ht="15.75" customHeight="1" s="218">
      <c r="A26" s="327" t="inlineStr">
        <is>
          <t xml:space="preserve">  Non-Headcount OpEx</t>
        </is>
      </c>
    </row>
    <row r="27" ht="18" customHeight="1" s="218">
      <c r="A27" s="291" t="inlineStr">
        <is>
          <t xml:space="preserve">  Sales &amp; Marketing (non-HC) (£)</t>
        </is>
      </c>
      <c r="B27" s="292">
        <f>IFERROR(ASSUMPTIONS!$B$70,0)</f>
        <v/>
      </c>
      <c r="C27" s="292">
        <f>IFERROR(ASSUMPTIONS!$B$70,0)</f>
        <v/>
      </c>
      <c r="D27" s="292">
        <f>IFERROR(ASSUMPTIONS!$B$70,0)</f>
        <v/>
      </c>
      <c r="E27" s="292">
        <f>IFERROR(ASSUMPTIONS!$B$70,0)</f>
        <v/>
      </c>
      <c r="F27" s="292">
        <f>IFERROR(ASSUMPTIONS!$B$70,0)</f>
        <v/>
      </c>
      <c r="G27" s="292">
        <f>IFERROR(ASSUMPTIONS!$B$70,0)</f>
        <v/>
      </c>
      <c r="H27" s="292">
        <f>IFERROR(ASSUMPTIONS!$B$70,0)</f>
        <v/>
      </c>
      <c r="I27" s="292">
        <f>IFERROR(ASSUMPTIONS!$B$70,0)</f>
        <v/>
      </c>
      <c r="J27" s="292">
        <f>IFERROR(ASSUMPTIONS!$B$70,0)</f>
        <v/>
      </c>
      <c r="K27" s="292">
        <f>IFERROR(ASSUMPTIONS!$B$70,0)</f>
        <v/>
      </c>
      <c r="L27" s="292">
        <f>IFERROR(ASSUMPTIONS!$B$70,0)</f>
        <v/>
      </c>
      <c r="M27" s="292">
        <f>IFERROR(ASSUMPTIONS!$B$70,0)</f>
        <v/>
      </c>
      <c r="N27" s="289">
        <f>SUM(B27:M27)</f>
        <v/>
      </c>
      <c r="O27" s="292">
        <f>IFERROR(ASSUMPTIONS!$C$70,0)</f>
        <v/>
      </c>
      <c r="P27" s="292">
        <f>IFERROR(ASSUMPTIONS!$C$70,0)</f>
        <v/>
      </c>
      <c r="Q27" s="292">
        <f>IFERROR(ASSUMPTIONS!$C$70,0)</f>
        <v/>
      </c>
      <c r="R27" s="292">
        <f>IFERROR(ASSUMPTIONS!$C$70,0)</f>
        <v/>
      </c>
      <c r="S27" s="292">
        <f>IFERROR(ASSUMPTIONS!$C$70,0)</f>
        <v/>
      </c>
      <c r="T27" s="292">
        <f>IFERROR(ASSUMPTIONS!$C$70,0)</f>
        <v/>
      </c>
      <c r="U27" s="292">
        <f>IFERROR(ASSUMPTIONS!$C$70,0)</f>
        <v/>
      </c>
      <c r="V27" s="292">
        <f>IFERROR(ASSUMPTIONS!$C$70,0)</f>
        <v/>
      </c>
      <c r="W27" s="292">
        <f>IFERROR(ASSUMPTIONS!$C$70,0)</f>
        <v/>
      </c>
      <c r="X27" s="292">
        <f>IFERROR(ASSUMPTIONS!$C$70,0)</f>
        <v/>
      </c>
      <c r="Y27" s="292">
        <f>IFERROR(ASSUMPTIONS!$C$70,0)</f>
        <v/>
      </c>
      <c r="Z27" s="292">
        <f>IFERROR(ASSUMPTIONS!$C$70,0)</f>
        <v/>
      </c>
      <c r="AA27" s="289">
        <f>SUM(O27:Z27)</f>
        <v/>
      </c>
      <c r="AB27" s="292">
        <f>IFERROR(ASSUMPTIONS!$D$70,0)</f>
        <v/>
      </c>
      <c r="AC27" s="292">
        <f>IFERROR(ASSUMPTIONS!$D$70,0)</f>
        <v/>
      </c>
      <c r="AD27" s="292">
        <f>IFERROR(ASSUMPTIONS!$D$70,0)</f>
        <v/>
      </c>
      <c r="AE27" s="292">
        <f>IFERROR(ASSUMPTIONS!$D$70,0)</f>
        <v/>
      </c>
      <c r="AF27" s="292">
        <f>IFERROR(ASSUMPTIONS!$D$70,0)</f>
        <v/>
      </c>
      <c r="AG27" s="292">
        <f>IFERROR(ASSUMPTIONS!$D$70,0)</f>
        <v/>
      </c>
      <c r="AH27" s="292">
        <f>IFERROR(ASSUMPTIONS!$D$70,0)</f>
        <v/>
      </c>
      <c r="AI27" s="292">
        <f>IFERROR(ASSUMPTIONS!$D$70,0)</f>
        <v/>
      </c>
      <c r="AJ27" s="292">
        <f>IFERROR(ASSUMPTIONS!$D$70,0)</f>
        <v/>
      </c>
      <c r="AK27" s="292">
        <f>IFERROR(ASSUMPTIONS!$D$70,0)</f>
        <v/>
      </c>
      <c r="AL27" s="292">
        <f>IFERROR(ASSUMPTIONS!$D$70,0)</f>
        <v/>
      </c>
      <c r="AM27" s="292">
        <f>IFERROR(ASSUMPTIONS!$D$70,0)</f>
        <v/>
      </c>
      <c r="AN27" s="289">
        <f>SUM(AB27:AM27)</f>
        <v/>
      </c>
      <c r="AO27" s="292">
        <f>IFERROR(ASSUMPTIONS!$E$70,0)</f>
        <v/>
      </c>
      <c r="AP27" s="292">
        <f>IFERROR(ASSUMPTIONS!$E$70,0)</f>
        <v/>
      </c>
      <c r="AQ27" s="292">
        <f>IFERROR(ASSUMPTIONS!$E$70,0)</f>
        <v/>
      </c>
      <c r="AR27" s="292">
        <f>IFERROR(ASSUMPTIONS!$E$70,0)</f>
        <v/>
      </c>
      <c r="AS27" s="292">
        <f>IFERROR(ASSUMPTIONS!$E$70,0)</f>
        <v/>
      </c>
      <c r="AT27" s="292">
        <f>IFERROR(ASSUMPTIONS!$E$70,0)</f>
        <v/>
      </c>
      <c r="AU27" s="292">
        <f>IFERROR(ASSUMPTIONS!$E$70,0)</f>
        <v/>
      </c>
      <c r="AV27" s="292">
        <f>IFERROR(ASSUMPTIONS!$E$70,0)</f>
        <v/>
      </c>
      <c r="AW27" s="292">
        <f>IFERROR(ASSUMPTIONS!$E$70,0)</f>
        <v/>
      </c>
      <c r="AX27" s="292">
        <f>IFERROR(ASSUMPTIONS!$E$70,0)</f>
        <v/>
      </c>
      <c r="AY27" s="292">
        <f>IFERROR(ASSUMPTIONS!$E$70,0)</f>
        <v/>
      </c>
      <c r="AZ27" s="292">
        <f>IFERROR(ASSUMPTIONS!$E$70,0)</f>
        <v/>
      </c>
      <c r="BA27" s="290">
        <f>SUM(AO27:AZ27)</f>
        <v/>
      </c>
      <c r="BB27" s="292">
        <f>IFERROR(ASSUMPTIONS!$F$70,0)</f>
        <v/>
      </c>
      <c r="BC27" s="292">
        <f>IFERROR(ASSUMPTIONS!$F$70,0)</f>
        <v/>
      </c>
      <c r="BD27" s="292">
        <f>IFERROR(ASSUMPTIONS!$F$70,0)</f>
        <v/>
      </c>
      <c r="BE27" s="292">
        <f>IFERROR(ASSUMPTIONS!$F$70,0)</f>
        <v/>
      </c>
      <c r="BF27" s="292">
        <f>IFERROR(ASSUMPTIONS!$F$70,0)</f>
        <v/>
      </c>
      <c r="BG27" s="292">
        <f>IFERROR(ASSUMPTIONS!$F$70,0)</f>
        <v/>
      </c>
      <c r="BH27" s="292">
        <f>IFERROR(ASSUMPTIONS!$F$70,0)</f>
        <v/>
      </c>
      <c r="BI27" s="292">
        <f>IFERROR(ASSUMPTIONS!$F$70,0)</f>
        <v/>
      </c>
      <c r="BJ27" s="292">
        <f>IFERROR(ASSUMPTIONS!$F$70,0)</f>
        <v/>
      </c>
      <c r="BK27" s="292">
        <f>IFERROR(ASSUMPTIONS!$F$70,0)</f>
        <v/>
      </c>
      <c r="BL27" s="292">
        <f>IFERROR(ASSUMPTIONS!$F$70,0)</f>
        <v/>
      </c>
      <c r="BM27" s="292">
        <f>IFERROR(ASSUMPTIONS!$F$70,0)</f>
        <v/>
      </c>
      <c r="BN27" s="290">
        <f>SUM(BB27:BM27)</f>
        <v/>
      </c>
    </row>
    <row r="28" ht="18" customHeight="1" s="218">
      <c r="A28" s="293" t="inlineStr">
        <is>
          <t xml:space="preserve">  R&amp;D (non-HC) (£)</t>
        </is>
      </c>
      <c r="B28" s="292">
        <f>IFERROR(ASSUMPTIONS!$B$72,0)</f>
        <v/>
      </c>
      <c r="C28" s="292">
        <f>IFERROR(ASSUMPTIONS!$B$72,0)</f>
        <v/>
      </c>
      <c r="D28" s="292">
        <f>IFERROR(ASSUMPTIONS!$B$72,0)</f>
        <v/>
      </c>
      <c r="E28" s="292">
        <f>IFERROR(ASSUMPTIONS!$B$72,0)</f>
        <v/>
      </c>
      <c r="F28" s="292">
        <f>IFERROR(ASSUMPTIONS!$B$72,0)</f>
        <v/>
      </c>
      <c r="G28" s="292">
        <f>IFERROR(ASSUMPTIONS!$B$72,0)</f>
        <v/>
      </c>
      <c r="H28" s="292">
        <f>IFERROR(ASSUMPTIONS!$B$72,0)</f>
        <v/>
      </c>
      <c r="I28" s="292">
        <f>IFERROR(ASSUMPTIONS!$B$72,0)</f>
        <v/>
      </c>
      <c r="J28" s="292">
        <f>IFERROR(ASSUMPTIONS!$B$72,0)</f>
        <v/>
      </c>
      <c r="K28" s="292">
        <f>IFERROR(ASSUMPTIONS!$B$72,0)</f>
        <v/>
      </c>
      <c r="L28" s="292">
        <f>IFERROR(ASSUMPTIONS!$B$72,0)</f>
        <v/>
      </c>
      <c r="M28" s="292">
        <f>IFERROR(ASSUMPTIONS!$B$72,0)</f>
        <v/>
      </c>
      <c r="N28" s="289">
        <f>SUM(B28:M28)</f>
        <v/>
      </c>
      <c r="O28" s="292">
        <f>IFERROR(ASSUMPTIONS!$C$72,0)</f>
        <v/>
      </c>
      <c r="P28" s="292">
        <f>IFERROR(ASSUMPTIONS!$C$72,0)</f>
        <v/>
      </c>
      <c r="Q28" s="292">
        <f>IFERROR(ASSUMPTIONS!$C$72,0)</f>
        <v/>
      </c>
      <c r="R28" s="292">
        <f>IFERROR(ASSUMPTIONS!$C$72,0)</f>
        <v/>
      </c>
      <c r="S28" s="292">
        <f>IFERROR(ASSUMPTIONS!$C$72,0)</f>
        <v/>
      </c>
      <c r="T28" s="292">
        <f>IFERROR(ASSUMPTIONS!$C$72,0)</f>
        <v/>
      </c>
      <c r="U28" s="292">
        <f>IFERROR(ASSUMPTIONS!$C$72,0)</f>
        <v/>
      </c>
      <c r="V28" s="292">
        <f>IFERROR(ASSUMPTIONS!$C$72,0)</f>
        <v/>
      </c>
      <c r="W28" s="292">
        <f>IFERROR(ASSUMPTIONS!$C$72,0)</f>
        <v/>
      </c>
      <c r="X28" s="292">
        <f>IFERROR(ASSUMPTIONS!$C$72,0)</f>
        <v/>
      </c>
      <c r="Y28" s="292">
        <f>IFERROR(ASSUMPTIONS!$C$72,0)</f>
        <v/>
      </c>
      <c r="Z28" s="292">
        <f>IFERROR(ASSUMPTIONS!$C$72,0)</f>
        <v/>
      </c>
      <c r="AA28" s="289">
        <f>SUM(O28:Z28)</f>
        <v/>
      </c>
      <c r="AB28" s="292">
        <f>IFERROR(ASSUMPTIONS!$D$72,0)</f>
        <v/>
      </c>
      <c r="AC28" s="292">
        <f>IFERROR(ASSUMPTIONS!$D$72,0)</f>
        <v/>
      </c>
      <c r="AD28" s="292">
        <f>IFERROR(ASSUMPTIONS!$D$72,0)</f>
        <v/>
      </c>
      <c r="AE28" s="292">
        <f>IFERROR(ASSUMPTIONS!$D$72,0)</f>
        <v/>
      </c>
      <c r="AF28" s="292">
        <f>IFERROR(ASSUMPTIONS!$D$72,0)</f>
        <v/>
      </c>
      <c r="AG28" s="292">
        <f>IFERROR(ASSUMPTIONS!$D$72,0)</f>
        <v/>
      </c>
      <c r="AH28" s="292">
        <f>IFERROR(ASSUMPTIONS!$D$72,0)</f>
        <v/>
      </c>
      <c r="AI28" s="292">
        <f>IFERROR(ASSUMPTIONS!$D$72,0)</f>
        <v/>
      </c>
      <c r="AJ28" s="292">
        <f>IFERROR(ASSUMPTIONS!$D$72,0)</f>
        <v/>
      </c>
      <c r="AK28" s="292">
        <f>IFERROR(ASSUMPTIONS!$D$72,0)</f>
        <v/>
      </c>
      <c r="AL28" s="292">
        <f>IFERROR(ASSUMPTIONS!$D$72,0)</f>
        <v/>
      </c>
      <c r="AM28" s="292">
        <f>IFERROR(ASSUMPTIONS!$D$72,0)</f>
        <v/>
      </c>
      <c r="AN28" s="289">
        <f>SUM(AB28:AM28)</f>
        <v/>
      </c>
      <c r="AO28" s="292">
        <f>IFERROR(ASSUMPTIONS!$E$72,0)</f>
        <v/>
      </c>
      <c r="AP28" s="292">
        <f>IFERROR(ASSUMPTIONS!$E$72,0)</f>
        <v/>
      </c>
      <c r="AQ28" s="292">
        <f>IFERROR(ASSUMPTIONS!$E$72,0)</f>
        <v/>
      </c>
      <c r="AR28" s="292">
        <f>IFERROR(ASSUMPTIONS!$E$72,0)</f>
        <v/>
      </c>
      <c r="AS28" s="292">
        <f>IFERROR(ASSUMPTIONS!$E$72,0)</f>
        <v/>
      </c>
      <c r="AT28" s="292">
        <f>IFERROR(ASSUMPTIONS!$E$72,0)</f>
        <v/>
      </c>
      <c r="AU28" s="292">
        <f>IFERROR(ASSUMPTIONS!$E$72,0)</f>
        <v/>
      </c>
      <c r="AV28" s="292">
        <f>IFERROR(ASSUMPTIONS!$E$72,0)</f>
        <v/>
      </c>
      <c r="AW28" s="292">
        <f>IFERROR(ASSUMPTIONS!$E$72,0)</f>
        <v/>
      </c>
      <c r="AX28" s="292">
        <f>IFERROR(ASSUMPTIONS!$E$72,0)</f>
        <v/>
      </c>
      <c r="AY28" s="292">
        <f>IFERROR(ASSUMPTIONS!$E$72,0)</f>
        <v/>
      </c>
      <c r="AZ28" s="292">
        <f>IFERROR(ASSUMPTIONS!$E$72,0)</f>
        <v/>
      </c>
      <c r="BA28" s="290">
        <f>SUM(AO28:AZ28)</f>
        <v/>
      </c>
      <c r="BB28" s="292">
        <f>IFERROR(ASSUMPTIONS!$F$72,0)</f>
        <v/>
      </c>
      <c r="BC28" s="292">
        <f>IFERROR(ASSUMPTIONS!$F$72,0)</f>
        <v/>
      </c>
      <c r="BD28" s="292">
        <f>IFERROR(ASSUMPTIONS!$F$72,0)</f>
        <v/>
      </c>
      <c r="BE28" s="292">
        <f>IFERROR(ASSUMPTIONS!$F$72,0)</f>
        <v/>
      </c>
      <c r="BF28" s="292">
        <f>IFERROR(ASSUMPTIONS!$F$72,0)</f>
        <v/>
      </c>
      <c r="BG28" s="292">
        <f>IFERROR(ASSUMPTIONS!$F$72,0)</f>
        <v/>
      </c>
      <c r="BH28" s="292">
        <f>IFERROR(ASSUMPTIONS!$F$72,0)</f>
        <v/>
      </c>
      <c r="BI28" s="292">
        <f>IFERROR(ASSUMPTIONS!$F$72,0)</f>
        <v/>
      </c>
      <c r="BJ28" s="292">
        <f>IFERROR(ASSUMPTIONS!$F$72,0)</f>
        <v/>
      </c>
      <c r="BK28" s="292">
        <f>IFERROR(ASSUMPTIONS!$F$72,0)</f>
        <v/>
      </c>
      <c r="BL28" s="292">
        <f>IFERROR(ASSUMPTIONS!$F$72,0)</f>
        <v/>
      </c>
      <c r="BM28" s="292">
        <f>IFERROR(ASSUMPTIONS!$F$72,0)</f>
        <v/>
      </c>
      <c r="BN28" s="290">
        <f>SUM(BB28:BM28)</f>
        <v/>
      </c>
    </row>
    <row r="29" ht="18" customHeight="1" s="218">
      <c r="A29" s="291" t="inlineStr">
        <is>
          <t xml:space="preserve">  G&amp;A (non-HC) (£)</t>
        </is>
      </c>
      <c r="B29" s="292">
        <f>IFERROR(ASSUMPTIONS!$B$74,0)</f>
        <v/>
      </c>
      <c r="C29" s="292">
        <f>IFERROR(ASSUMPTIONS!$B$74,0)</f>
        <v/>
      </c>
      <c r="D29" s="292">
        <f>IFERROR(ASSUMPTIONS!$B$74,0)</f>
        <v/>
      </c>
      <c r="E29" s="292">
        <f>IFERROR(ASSUMPTIONS!$B$74,0)</f>
        <v/>
      </c>
      <c r="F29" s="292">
        <f>IFERROR(ASSUMPTIONS!$B$74,0)</f>
        <v/>
      </c>
      <c r="G29" s="292">
        <f>IFERROR(ASSUMPTIONS!$B$74,0)</f>
        <v/>
      </c>
      <c r="H29" s="292">
        <f>IFERROR(ASSUMPTIONS!$B$74,0)</f>
        <v/>
      </c>
      <c r="I29" s="292">
        <f>IFERROR(ASSUMPTIONS!$B$74,0)</f>
        <v/>
      </c>
      <c r="J29" s="292">
        <f>IFERROR(ASSUMPTIONS!$B$74,0)</f>
        <v/>
      </c>
      <c r="K29" s="292">
        <f>IFERROR(ASSUMPTIONS!$B$74,0)</f>
        <v/>
      </c>
      <c r="L29" s="292">
        <f>IFERROR(ASSUMPTIONS!$B$74,0)</f>
        <v/>
      </c>
      <c r="M29" s="292">
        <f>IFERROR(ASSUMPTIONS!$B$74,0)</f>
        <v/>
      </c>
      <c r="N29" s="289">
        <f>SUM(B29:M29)</f>
        <v/>
      </c>
      <c r="O29" s="292">
        <f>IFERROR(ASSUMPTIONS!$C$74,0)</f>
        <v/>
      </c>
      <c r="P29" s="292">
        <f>IFERROR(ASSUMPTIONS!$C$74,0)</f>
        <v/>
      </c>
      <c r="Q29" s="292">
        <f>IFERROR(ASSUMPTIONS!$C$74,0)</f>
        <v/>
      </c>
      <c r="R29" s="292">
        <f>IFERROR(ASSUMPTIONS!$C$74,0)</f>
        <v/>
      </c>
      <c r="S29" s="292">
        <f>IFERROR(ASSUMPTIONS!$C$74,0)</f>
        <v/>
      </c>
      <c r="T29" s="292">
        <f>IFERROR(ASSUMPTIONS!$C$74,0)</f>
        <v/>
      </c>
      <c r="U29" s="292">
        <f>IFERROR(ASSUMPTIONS!$C$74,0)</f>
        <v/>
      </c>
      <c r="V29" s="292">
        <f>IFERROR(ASSUMPTIONS!$C$74,0)</f>
        <v/>
      </c>
      <c r="W29" s="292">
        <f>IFERROR(ASSUMPTIONS!$C$74,0)</f>
        <v/>
      </c>
      <c r="X29" s="292">
        <f>IFERROR(ASSUMPTIONS!$C$74,0)</f>
        <v/>
      </c>
      <c r="Y29" s="292">
        <f>IFERROR(ASSUMPTIONS!$C$74,0)</f>
        <v/>
      </c>
      <c r="Z29" s="292">
        <f>IFERROR(ASSUMPTIONS!$C$74,0)</f>
        <v/>
      </c>
      <c r="AA29" s="289">
        <f>SUM(O29:Z29)</f>
        <v/>
      </c>
      <c r="AB29" s="292">
        <f>IFERROR(ASSUMPTIONS!$D$74,0)</f>
        <v/>
      </c>
      <c r="AC29" s="292">
        <f>IFERROR(ASSUMPTIONS!$D$74,0)</f>
        <v/>
      </c>
      <c r="AD29" s="292">
        <f>IFERROR(ASSUMPTIONS!$D$74,0)</f>
        <v/>
      </c>
      <c r="AE29" s="292">
        <f>IFERROR(ASSUMPTIONS!$D$74,0)</f>
        <v/>
      </c>
      <c r="AF29" s="292">
        <f>IFERROR(ASSUMPTIONS!$D$74,0)</f>
        <v/>
      </c>
      <c r="AG29" s="292">
        <f>IFERROR(ASSUMPTIONS!$D$74,0)</f>
        <v/>
      </c>
      <c r="AH29" s="292">
        <f>IFERROR(ASSUMPTIONS!$D$74,0)</f>
        <v/>
      </c>
      <c r="AI29" s="292">
        <f>IFERROR(ASSUMPTIONS!$D$74,0)</f>
        <v/>
      </c>
      <c r="AJ29" s="292">
        <f>IFERROR(ASSUMPTIONS!$D$74,0)</f>
        <v/>
      </c>
      <c r="AK29" s="292">
        <f>IFERROR(ASSUMPTIONS!$D$74,0)</f>
        <v/>
      </c>
      <c r="AL29" s="292">
        <f>IFERROR(ASSUMPTIONS!$D$74,0)</f>
        <v/>
      </c>
      <c r="AM29" s="292">
        <f>IFERROR(ASSUMPTIONS!$D$74,0)</f>
        <v/>
      </c>
      <c r="AN29" s="289">
        <f>SUM(AB29:AM29)</f>
        <v/>
      </c>
      <c r="AO29" s="292">
        <f>IFERROR(ASSUMPTIONS!$E$74,0)</f>
        <v/>
      </c>
      <c r="AP29" s="292">
        <f>IFERROR(ASSUMPTIONS!$E$74,0)</f>
        <v/>
      </c>
      <c r="AQ29" s="292">
        <f>IFERROR(ASSUMPTIONS!$E$74,0)</f>
        <v/>
      </c>
      <c r="AR29" s="292">
        <f>IFERROR(ASSUMPTIONS!$E$74,0)</f>
        <v/>
      </c>
      <c r="AS29" s="292">
        <f>IFERROR(ASSUMPTIONS!$E$74,0)</f>
        <v/>
      </c>
      <c r="AT29" s="292">
        <f>IFERROR(ASSUMPTIONS!$E$74,0)</f>
        <v/>
      </c>
      <c r="AU29" s="292">
        <f>IFERROR(ASSUMPTIONS!$E$74,0)</f>
        <v/>
      </c>
      <c r="AV29" s="292">
        <f>IFERROR(ASSUMPTIONS!$E$74,0)</f>
        <v/>
      </c>
      <c r="AW29" s="292">
        <f>IFERROR(ASSUMPTIONS!$E$74,0)</f>
        <v/>
      </c>
      <c r="AX29" s="292">
        <f>IFERROR(ASSUMPTIONS!$E$74,0)</f>
        <v/>
      </c>
      <c r="AY29" s="292">
        <f>IFERROR(ASSUMPTIONS!$E$74,0)</f>
        <v/>
      </c>
      <c r="AZ29" s="292">
        <f>IFERROR(ASSUMPTIONS!$E$74,0)</f>
        <v/>
      </c>
      <c r="BA29" s="290">
        <f>SUM(AO29:AZ29)</f>
        <v/>
      </c>
      <c r="BB29" s="292">
        <f>IFERROR(ASSUMPTIONS!$F$74,0)</f>
        <v/>
      </c>
      <c r="BC29" s="292">
        <f>IFERROR(ASSUMPTIONS!$F$74,0)</f>
        <v/>
      </c>
      <c r="BD29" s="292">
        <f>IFERROR(ASSUMPTIONS!$F$74,0)</f>
        <v/>
      </c>
      <c r="BE29" s="292">
        <f>IFERROR(ASSUMPTIONS!$F$74,0)</f>
        <v/>
      </c>
      <c r="BF29" s="292">
        <f>IFERROR(ASSUMPTIONS!$F$74,0)</f>
        <v/>
      </c>
      <c r="BG29" s="292">
        <f>IFERROR(ASSUMPTIONS!$F$74,0)</f>
        <v/>
      </c>
      <c r="BH29" s="292">
        <f>IFERROR(ASSUMPTIONS!$F$74,0)</f>
        <v/>
      </c>
      <c r="BI29" s="292">
        <f>IFERROR(ASSUMPTIONS!$F$74,0)</f>
        <v/>
      </c>
      <c r="BJ29" s="292">
        <f>IFERROR(ASSUMPTIONS!$F$74,0)</f>
        <v/>
      </c>
      <c r="BK29" s="292">
        <f>IFERROR(ASSUMPTIONS!$F$74,0)</f>
        <v/>
      </c>
      <c r="BL29" s="292">
        <f>IFERROR(ASSUMPTIONS!$F$74,0)</f>
        <v/>
      </c>
      <c r="BM29" s="292">
        <f>IFERROR(ASSUMPTIONS!$F$74,0)</f>
        <v/>
      </c>
      <c r="BN29" s="290">
        <f>SUM(BB29:BM29)</f>
        <v/>
      </c>
    </row>
    <row r="30" ht="18" customHeight="1" s="218">
      <c r="A30" s="294" t="inlineStr">
        <is>
          <t xml:space="preserve">  Total Non-HC OpEx (£)</t>
        </is>
      </c>
      <c r="B30" s="295">
        <f>IFERROR(B27+B28+B29,0)</f>
        <v/>
      </c>
      <c r="C30" s="295">
        <f>IFERROR(C27+C28+C29,0)</f>
        <v/>
      </c>
      <c r="D30" s="295">
        <f>IFERROR(D27+D28+D29,0)</f>
        <v/>
      </c>
      <c r="E30" s="295">
        <f>IFERROR(E27+E28+E29,0)</f>
        <v/>
      </c>
      <c r="F30" s="295">
        <f>IFERROR(F27+F28+F29,0)</f>
        <v/>
      </c>
      <c r="G30" s="295">
        <f>IFERROR(G27+G28+G29,0)</f>
        <v/>
      </c>
      <c r="H30" s="295">
        <f>IFERROR(H27+H28+H29,0)</f>
        <v/>
      </c>
      <c r="I30" s="295">
        <f>IFERROR(I27+I28+I29,0)</f>
        <v/>
      </c>
      <c r="J30" s="295">
        <f>IFERROR(J27+J28+J29,0)</f>
        <v/>
      </c>
      <c r="K30" s="295">
        <f>IFERROR(K27+K28+K29,0)</f>
        <v/>
      </c>
      <c r="L30" s="295">
        <f>IFERROR(L27+L28+L29,0)</f>
        <v/>
      </c>
      <c r="M30" s="295">
        <f>IFERROR(M27+M28+M29,0)</f>
        <v/>
      </c>
      <c r="N30" s="295">
        <f>SUM(B30:M30)</f>
        <v/>
      </c>
      <c r="O30" s="295">
        <f>IFERROR(O27+O28+O29,0)</f>
        <v/>
      </c>
      <c r="P30" s="295">
        <f>IFERROR(P27+P28+P29,0)</f>
        <v/>
      </c>
      <c r="Q30" s="295">
        <f>IFERROR(Q27+Q28+Q29,0)</f>
        <v/>
      </c>
      <c r="R30" s="295">
        <f>IFERROR(R27+R28+R29,0)</f>
        <v/>
      </c>
      <c r="S30" s="295">
        <f>IFERROR(S27+S28+S29,0)</f>
        <v/>
      </c>
      <c r="T30" s="295">
        <f>IFERROR(T27+T28+T29,0)</f>
        <v/>
      </c>
      <c r="U30" s="295">
        <f>IFERROR(U27+U28+U29,0)</f>
        <v/>
      </c>
      <c r="V30" s="295">
        <f>IFERROR(V27+V28+V29,0)</f>
        <v/>
      </c>
      <c r="W30" s="295">
        <f>IFERROR(W27+W28+W29,0)</f>
        <v/>
      </c>
      <c r="X30" s="295">
        <f>IFERROR(X27+X28+X29,0)</f>
        <v/>
      </c>
      <c r="Y30" s="295">
        <f>IFERROR(Y27+Y28+Y29,0)</f>
        <v/>
      </c>
      <c r="Z30" s="295">
        <f>IFERROR(Z27+Z28+Z29,0)</f>
        <v/>
      </c>
      <c r="AA30" s="295">
        <f>SUM(O30:Z30)</f>
        <v/>
      </c>
      <c r="AB30" s="295">
        <f>IFERROR(AB27+AB28+AB29,0)</f>
        <v/>
      </c>
      <c r="AC30" s="295">
        <f>IFERROR(AC27+AC28+AC29,0)</f>
        <v/>
      </c>
      <c r="AD30" s="295">
        <f>IFERROR(AD27+AD28+AD29,0)</f>
        <v/>
      </c>
      <c r="AE30" s="295">
        <f>IFERROR(AE27+AE28+AE29,0)</f>
        <v/>
      </c>
      <c r="AF30" s="295">
        <f>IFERROR(AF27+AF28+AF29,0)</f>
        <v/>
      </c>
      <c r="AG30" s="295">
        <f>IFERROR(AG27+AG28+AG29,0)</f>
        <v/>
      </c>
      <c r="AH30" s="295">
        <f>IFERROR(AH27+AH28+AH29,0)</f>
        <v/>
      </c>
      <c r="AI30" s="295">
        <f>IFERROR(AI27+AI28+AI29,0)</f>
        <v/>
      </c>
      <c r="AJ30" s="295">
        <f>IFERROR(AJ27+AJ28+AJ29,0)</f>
        <v/>
      </c>
      <c r="AK30" s="295">
        <f>IFERROR(AK27+AK28+AK29,0)</f>
        <v/>
      </c>
      <c r="AL30" s="295">
        <f>IFERROR(AL27+AL28+AL29,0)</f>
        <v/>
      </c>
      <c r="AM30" s="295">
        <f>IFERROR(AM27+AM28+AM29,0)</f>
        <v/>
      </c>
      <c r="AN30" s="295">
        <f>SUM(AB30:AM30)</f>
        <v/>
      </c>
      <c r="AO30" s="295">
        <f>IFERROR(AO27+AO28+AO29,0)</f>
        <v/>
      </c>
      <c r="AP30" s="295">
        <f>IFERROR(AP27+AP28+AP29,0)</f>
        <v/>
      </c>
      <c r="AQ30" s="295">
        <f>IFERROR(AQ27+AQ28+AQ29,0)</f>
        <v/>
      </c>
      <c r="AR30" s="295">
        <f>IFERROR(AR27+AR28+AR29,0)</f>
        <v/>
      </c>
      <c r="AS30" s="295">
        <f>IFERROR(AS27+AS28+AS29,0)</f>
        <v/>
      </c>
      <c r="AT30" s="295">
        <f>IFERROR(AT27+AT28+AT29,0)</f>
        <v/>
      </c>
      <c r="AU30" s="295">
        <f>IFERROR(AU27+AU28+AU29,0)</f>
        <v/>
      </c>
      <c r="AV30" s="295">
        <f>IFERROR(AV27+AV28+AV29,0)</f>
        <v/>
      </c>
      <c r="AW30" s="295">
        <f>IFERROR(AW27+AW28+AW29,0)</f>
        <v/>
      </c>
      <c r="AX30" s="295">
        <f>IFERROR(AX27+AX28+AX29,0)</f>
        <v/>
      </c>
      <c r="AY30" s="295">
        <f>IFERROR(AY27+AY28+AY29,0)</f>
        <v/>
      </c>
      <c r="AZ30" s="295">
        <f>IFERROR(AZ27+AZ28+AZ29,0)</f>
        <v/>
      </c>
      <c r="BA30" s="296">
        <f>SUM(AO30:AZ30)</f>
        <v/>
      </c>
      <c r="BB30" s="295">
        <f>IFERROR(BB27+BB28+BB29,0)</f>
        <v/>
      </c>
      <c r="BC30" s="295">
        <f>IFERROR(BC27+BC28+BC29,0)</f>
        <v/>
      </c>
      <c r="BD30" s="295">
        <f>IFERROR(BD27+BD28+BD29,0)</f>
        <v/>
      </c>
      <c r="BE30" s="295">
        <f>IFERROR(BE27+BE28+BE29,0)</f>
        <v/>
      </c>
      <c r="BF30" s="295">
        <f>IFERROR(BF27+BF28+BF29,0)</f>
        <v/>
      </c>
      <c r="BG30" s="295">
        <f>IFERROR(BG27+BG28+BG29,0)</f>
        <v/>
      </c>
      <c r="BH30" s="295">
        <f>IFERROR(BH27+BH28+BH29,0)</f>
        <v/>
      </c>
      <c r="BI30" s="295">
        <f>IFERROR(BI27+BI28+BI29,0)</f>
        <v/>
      </c>
      <c r="BJ30" s="295">
        <f>IFERROR(BJ27+BJ28+BJ29,0)</f>
        <v/>
      </c>
      <c r="BK30" s="295">
        <f>IFERROR(BK27+BK28+BK29,0)</f>
        <v/>
      </c>
      <c r="BL30" s="295">
        <f>IFERROR(BL27+BL28+BL29,0)</f>
        <v/>
      </c>
      <c r="BM30" s="295">
        <f>IFERROR(BM27+BM28+BM29,0)</f>
        <v/>
      </c>
      <c r="BN30" s="296">
        <f>SUM(BB30:BM30)</f>
        <v/>
      </c>
    </row>
    <row r="31" ht="18" customHeight="1" s="218">
      <c r="A31" s="294" t="inlineStr">
        <is>
          <t>TOTAL OPERATING EXPENSES (£)</t>
        </is>
      </c>
      <c r="B31" s="295">
        <f>IFERROR(B25+B30,0)</f>
        <v/>
      </c>
      <c r="C31" s="295">
        <f>IFERROR(C25+C30,0)</f>
        <v/>
      </c>
      <c r="D31" s="295">
        <f>IFERROR(D25+D30,0)</f>
        <v/>
      </c>
      <c r="E31" s="295">
        <f>IFERROR(E25+E30,0)</f>
        <v/>
      </c>
      <c r="F31" s="295">
        <f>IFERROR(F25+F30,0)</f>
        <v/>
      </c>
      <c r="G31" s="295">
        <f>IFERROR(G25+G30,0)</f>
        <v/>
      </c>
      <c r="H31" s="295">
        <f>IFERROR(H25+H30,0)</f>
        <v/>
      </c>
      <c r="I31" s="295">
        <f>IFERROR(I25+I30,0)</f>
        <v/>
      </c>
      <c r="J31" s="295">
        <f>IFERROR(J25+J30,0)</f>
        <v/>
      </c>
      <c r="K31" s="295">
        <f>IFERROR(K25+K30,0)</f>
        <v/>
      </c>
      <c r="L31" s="295">
        <f>IFERROR(L25+L30,0)</f>
        <v/>
      </c>
      <c r="M31" s="295">
        <f>IFERROR(M25+M30,0)</f>
        <v/>
      </c>
      <c r="N31" s="295">
        <f>SUM(B31:M31)</f>
        <v/>
      </c>
      <c r="O31" s="295">
        <f>IFERROR(O25+O30,0)</f>
        <v/>
      </c>
      <c r="P31" s="295">
        <f>IFERROR(P25+P30,0)</f>
        <v/>
      </c>
      <c r="Q31" s="295">
        <f>IFERROR(Q25+Q30,0)</f>
        <v/>
      </c>
      <c r="R31" s="295">
        <f>IFERROR(R25+R30,0)</f>
        <v/>
      </c>
      <c r="S31" s="295">
        <f>IFERROR(S25+S30,0)</f>
        <v/>
      </c>
      <c r="T31" s="295">
        <f>IFERROR(T25+T30,0)</f>
        <v/>
      </c>
      <c r="U31" s="295">
        <f>IFERROR(U25+U30,0)</f>
        <v/>
      </c>
      <c r="V31" s="295">
        <f>IFERROR(V25+V30,0)</f>
        <v/>
      </c>
      <c r="W31" s="295">
        <f>IFERROR(W25+W30,0)</f>
        <v/>
      </c>
      <c r="X31" s="295">
        <f>IFERROR(X25+X30,0)</f>
        <v/>
      </c>
      <c r="Y31" s="295">
        <f>IFERROR(Y25+Y30,0)</f>
        <v/>
      </c>
      <c r="Z31" s="295">
        <f>IFERROR(Z25+Z30,0)</f>
        <v/>
      </c>
      <c r="AA31" s="295">
        <f>SUM(O31:Z31)</f>
        <v/>
      </c>
      <c r="AB31" s="295">
        <f>IFERROR(AB25+AB30,0)</f>
        <v/>
      </c>
      <c r="AC31" s="295">
        <f>IFERROR(AC25+AC30,0)</f>
        <v/>
      </c>
      <c r="AD31" s="295">
        <f>IFERROR(AD25+AD30,0)</f>
        <v/>
      </c>
      <c r="AE31" s="295">
        <f>IFERROR(AE25+AE30,0)</f>
        <v/>
      </c>
      <c r="AF31" s="295">
        <f>IFERROR(AF25+AF30,0)</f>
        <v/>
      </c>
      <c r="AG31" s="295">
        <f>IFERROR(AG25+AG30,0)</f>
        <v/>
      </c>
      <c r="AH31" s="295">
        <f>IFERROR(AH25+AH30,0)</f>
        <v/>
      </c>
      <c r="AI31" s="295">
        <f>IFERROR(AI25+AI30,0)</f>
        <v/>
      </c>
      <c r="AJ31" s="295">
        <f>IFERROR(AJ25+AJ30,0)</f>
        <v/>
      </c>
      <c r="AK31" s="295">
        <f>IFERROR(AK25+AK30,0)</f>
        <v/>
      </c>
      <c r="AL31" s="295">
        <f>IFERROR(AL25+AL30,0)</f>
        <v/>
      </c>
      <c r="AM31" s="295">
        <f>IFERROR(AM25+AM30,0)</f>
        <v/>
      </c>
      <c r="AN31" s="295">
        <f>SUM(AB31:AM31)</f>
        <v/>
      </c>
      <c r="AO31" s="295">
        <f>IFERROR(AO25+AO30,0)</f>
        <v/>
      </c>
      <c r="AP31" s="295">
        <f>IFERROR(AP25+AP30,0)</f>
        <v/>
      </c>
      <c r="AQ31" s="295">
        <f>IFERROR(AQ25+AQ30,0)</f>
        <v/>
      </c>
      <c r="AR31" s="295">
        <f>IFERROR(AR25+AR30,0)</f>
        <v/>
      </c>
      <c r="AS31" s="295">
        <f>IFERROR(AS25+AS30,0)</f>
        <v/>
      </c>
      <c r="AT31" s="295">
        <f>IFERROR(AT25+AT30,0)</f>
        <v/>
      </c>
      <c r="AU31" s="295">
        <f>IFERROR(AU25+AU30,0)</f>
        <v/>
      </c>
      <c r="AV31" s="295">
        <f>IFERROR(AV25+AV30,0)</f>
        <v/>
      </c>
      <c r="AW31" s="295">
        <f>IFERROR(AW25+AW30,0)</f>
        <v/>
      </c>
      <c r="AX31" s="295">
        <f>IFERROR(AX25+AX30,0)</f>
        <v/>
      </c>
      <c r="AY31" s="295">
        <f>IFERROR(AY25+AY30,0)</f>
        <v/>
      </c>
      <c r="AZ31" s="295">
        <f>IFERROR(AZ25+AZ30,0)</f>
        <v/>
      </c>
      <c r="BA31" s="296">
        <f>SUM(AO31:AZ31)</f>
        <v/>
      </c>
      <c r="BB31" s="295">
        <f>IFERROR(BB25+BB30,0)</f>
        <v/>
      </c>
      <c r="BC31" s="295">
        <f>IFERROR(BC25+BC30,0)</f>
        <v/>
      </c>
      <c r="BD31" s="295">
        <f>IFERROR(BD25+BD30,0)</f>
        <v/>
      </c>
      <c r="BE31" s="295">
        <f>IFERROR(BE25+BE30,0)</f>
        <v/>
      </c>
      <c r="BF31" s="295">
        <f>IFERROR(BF25+BF30,0)</f>
        <v/>
      </c>
      <c r="BG31" s="295">
        <f>IFERROR(BG25+BG30,0)</f>
        <v/>
      </c>
      <c r="BH31" s="295">
        <f>IFERROR(BH25+BH30,0)</f>
        <v/>
      </c>
      <c r="BI31" s="295">
        <f>IFERROR(BI25+BI30,0)</f>
        <v/>
      </c>
      <c r="BJ31" s="295">
        <f>IFERROR(BJ25+BJ30,0)</f>
        <v/>
      </c>
      <c r="BK31" s="295">
        <f>IFERROR(BK25+BK30,0)</f>
        <v/>
      </c>
      <c r="BL31" s="295">
        <f>IFERROR(BL25+BL30,0)</f>
        <v/>
      </c>
      <c r="BM31" s="295">
        <f>IFERROR(BM25+BM30,0)</f>
        <v/>
      </c>
      <c r="BN31" s="296">
        <f>SUM(BB31:BM31)</f>
        <v/>
      </c>
    </row>
    <row r="32" ht="6" customHeight="1" s="218">
      <c r="A32" s="297" t="n"/>
      <c r="B32" s="297" t="n"/>
      <c r="C32" s="297" t="n"/>
      <c r="D32" s="297" t="n"/>
      <c r="E32" s="297" t="n"/>
      <c r="F32" s="297" t="n"/>
      <c r="G32" s="297" t="n"/>
      <c r="H32" s="297" t="n"/>
      <c r="I32" s="297" t="n"/>
      <c r="J32" s="297" t="n"/>
      <c r="K32" s="297" t="n"/>
      <c r="L32" s="297" t="n"/>
      <c r="M32" s="297" t="n"/>
      <c r="N32" s="297" t="n"/>
      <c r="O32" s="297" t="n"/>
      <c r="P32" s="297" t="n"/>
      <c r="Q32" s="297" t="n"/>
      <c r="R32" s="297" t="n"/>
      <c r="S32" s="297" t="n"/>
      <c r="T32" s="297" t="n"/>
      <c r="U32" s="297" t="n"/>
      <c r="V32" s="297" t="n"/>
      <c r="W32" s="297" t="n"/>
      <c r="X32" s="297" t="n"/>
      <c r="Y32" s="297" t="n"/>
      <c r="Z32" s="297" t="n"/>
      <c r="AA32" s="297" t="n"/>
      <c r="AB32" s="297" t="n"/>
      <c r="AC32" s="297" t="n"/>
      <c r="AD32" s="297" t="n"/>
      <c r="AE32" s="297" t="n"/>
      <c r="AF32" s="297" t="n"/>
      <c r="AG32" s="297" t="n"/>
      <c r="AH32" s="297" t="n"/>
      <c r="AI32" s="297" t="n"/>
      <c r="AJ32" s="297" t="n"/>
      <c r="AK32" s="297" t="n"/>
      <c r="AL32" s="297" t="n"/>
      <c r="AM32" s="297" t="n"/>
      <c r="AN32" s="297" t="n"/>
      <c r="AO32" s="297" t="n"/>
      <c r="AP32" s="297" t="n"/>
      <c r="AQ32" s="297" t="n"/>
      <c r="AR32" s="297" t="n"/>
      <c r="AS32" s="297" t="n"/>
      <c r="AT32" s="297" t="n"/>
      <c r="AU32" s="297" t="n"/>
      <c r="AV32" s="297" t="n"/>
      <c r="AW32" s="297" t="n"/>
      <c r="AX32" s="297" t="n"/>
      <c r="AY32" s="297" t="n"/>
      <c r="AZ32" s="297" t="n"/>
      <c r="BA32" s="298" t="n"/>
      <c r="BB32" s="297" t="n"/>
      <c r="BC32" s="297" t="n"/>
      <c r="BD32" s="297" t="n"/>
      <c r="BE32" s="297" t="n"/>
      <c r="BF32" s="297" t="n"/>
      <c r="BG32" s="297" t="n"/>
      <c r="BH32" s="297" t="n"/>
      <c r="BI32" s="297" t="n"/>
      <c r="BJ32" s="297" t="n"/>
      <c r="BK32" s="297" t="n"/>
      <c r="BL32" s="297" t="n"/>
      <c r="BM32" s="297" t="n"/>
      <c r="BN32" s="298" t="n"/>
    </row>
    <row r="33" ht="18" customHeight="1" s="218">
      <c r="A33" s="294" t="inlineStr">
        <is>
          <t>EBITDA (£)</t>
        </is>
      </c>
      <c r="B33" s="295">
        <f>IFERROR(B14-B31,0)</f>
        <v/>
      </c>
      <c r="C33" s="295">
        <f>IFERROR(C14-C31,0)</f>
        <v/>
      </c>
      <c r="D33" s="295">
        <f>IFERROR(D14-D31,0)</f>
        <v/>
      </c>
      <c r="E33" s="295">
        <f>IFERROR(E14-E31,0)</f>
        <v/>
      </c>
      <c r="F33" s="295">
        <f>IFERROR(F14-F31,0)</f>
        <v/>
      </c>
      <c r="G33" s="295">
        <f>IFERROR(G14-G31,0)</f>
        <v/>
      </c>
      <c r="H33" s="295">
        <f>IFERROR(H14-H31,0)</f>
        <v/>
      </c>
      <c r="I33" s="295">
        <f>IFERROR(I14-I31,0)</f>
        <v/>
      </c>
      <c r="J33" s="295">
        <f>IFERROR(J14-J31,0)</f>
        <v/>
      </c>
      <c r="K33" s="295">
        <f>IFERROR(K14-K31,0)</f>
        <v/>
      </c>
      <c r="L33" s="295">
        <f>IFERROR(L14-L31,0)</f>
        <v/>
      </c>
      <c r="M33" s="295">
        <f>IFERROR(M14-M31,0)</f>
        <v/>
      </c>
      <c r="N33" s="295">
        <f>SUM(B33:M33)</f>
        <v/>
      </c>
      <c r="O33" s="295">
        <f>IFERROR(O14-O31,0)</f>
        <v/>
      </c>
      <c r="P33" s="295">
        <f>IFERROR(P14-P31,0)</f>
        <v/>
      </c>
      <c r="Q33" s="295">
        <f>IFERROR(Q14-Q31,0)</f>
        <v/>
      </c>
      <c r="R33" s="295">
        <f>IFERROR(R14-R31,0)</f>
        <v/>
      </c>
      <c r="S33" s="295">
        <f>IFERROR(S14-S31,0)</f>
        <v/>
      </c>
      <c r="T33" s="295">
        <f>IFERROR(T14-T31,0)</f>
        <v/>
      </c>
      <c r="U33" s="295">
        <f>IFERROR(U14-U31,0)</f>
        <v/>
      </c>
      <c r="V33" s="295">
        <f>IFERROR(V14-V31,0)</f>
        <v/>
      </c>
      <c r="W33" s="295">
        <f>IFERROR(W14-W31,0)</f>
        <v/>
      </c>
      <c r="X33" s="295">
        <f>IFERROR(X14-X31,0)</f>
        <v/>
      </c>
      <c r="Y33" s="295">
        <f>IFERROR(Y14-Y31,0)</f>
        <v/>
      </c>
      <c r="Z33" s="295">
        <f>IFERROR(Z14-Z31,0)</f>
        <v/>
      </c>
      <c r="AA33" s="295">
        <f>SUM(O33:Z33)</f>
        <v/>
      </c>
      <c r="AB33" s="295">
        <f>IFERROR(AB14-AB31,0)</f>
        <v/>
      </c>
      <c r="AC33" s="295">
        <f>IFERROR(AC14-AC31,0)</f>
        <v/>
      </c>
      <c r="AD33" s="295">
        <f>IFERROR(AD14-AD31,0)</f>
        <v/>
      </c>
      <c r="AE33" s="295">
        <f>IFERROR(AE14-AE31,0)</f>
        <v/>
      </c>
      <c r="AF33" s="295">
        <f>IFERROR(AF14-AF31,0)</f>
        <v/>
      </c>
      <c r="AG33" s="295">
        <f>IFERROR(AG14-AG31,0)</f>
        <v/>
      </c>
      <c r="AH33" s="295">
        <f>IFERROR(AH14-AH31,0)</f>
        <v/>
      </c>
      <c r="AI33" s="295">
        <f>IFERROR(AI14-AI31,0)</f>
        <v/>
      </c>
      <c r="AJ33" s="295">
        <f>IFERROR(AJ14-AJ31,0)</f>
        <v/>
      </c>
      <c r="AK33" s="295">
        <f>IFERROR(AK14-AK31,0)</f>
        <v/>
      </c>
      <c r="AL33" s="295">
        <f>IFERROR(AL14-AL31,0)</f>
        <v/>
      </c>
      <c r="AM33" s="295">
        <f>IFERROR(AM14-AM31,0)</f>
        <v/>
      </c>
      <c r="AN33" s="295">
        <f>SUM(AB33:AM33)</f>
        <v/>
      </c>
      <c r="AO33" s="295">
        <f>IFERROR(AO14-AO31,0)</f>
        <v/>
      </c>
      <c r="AP33" s="295">
        <f>IFERROR(AP14-AP31,0)</f>
        <v/>
      </c>
      <c r="AQ33" s="295">
        <f>IFERROR(AQ14-AQ31,0)</f>
        <v/>
      </c>
      <c r="AR33" s="295">
        <f>IFERROR(AR14-AR31,0)</f>
        <v/>
      </c>
      <c r="AS33" s="295">
        <f>IFERROR(AS14-AS31,0)</f>
        <v/>
      </c>
      <c r="AT33" s="295">
        <f>IFERROR(AT14-AT31,0)</f>
        <v/>
      </c>
      <c r="AU33" s="295">
        <f>IFERROR(AU14-AU31,0)</f>
        <v/>
      </c>
      <c r="AV33" s="295">
        <f>IFERROR(AV14-AV31,0)</f>
        <v/>
      </c>
      <c r="AW33" s="295">
        <f>IFERROR(AW14-AW31,0)</f>
        <v/>
      </c>
      <c r="AX33" s="295">
        <f>IFERROR(AX14-AX31,0)</f>
        <v/>
      </c>
      <c r="AY33" s="295">
        <f>IFERROR(AY14-AY31,0)</f>
        <v/>
      </c>
      <c r="AZ33" s="295">
        <f>IFERROR(AZ14-AZ31,0)</f>
        <v/>
      </c>
      <c r="BA33" s="296">
        <f>SUM(AO33:AZ33)</f>
        <v/>
      </c>
      <c r="BB33" s="295">
        <f>IFERROR(BB14-BB31,0)</f>
        <v/>
      </c>
      <c r="BC33" s="295">
        <f>IFERROR(BC14-BC31,0)</f>
        <v/>
      </c>
      <c r="BD33" s="295">
        <f>IFERROR(BD14-BD31,0)</f>
        <v/>
      </c>
      <c r="BE33" s="295">
        <f>IFERROR(BE14-BE31,0)</f>
        <v/>
      </c>
      <c r="BF33" s="295">
        <f>IFERROR(BF14-BF31,0)</f>
        <v/>
      </c>
      <c r="BG33" s="295">
        <f>IFERROR(BG14-BG31,0)</f>
        <v/>
      </c>
      <c r="BH33" s="295">
        <f>IFERROR(BH14-BH31,0)</f>
        <v/>
      </c>
      <c r="BI33" s="295">
        <f>IFERROR(BI14-BI31,0)</f>
        <v/>
      </c>
      <c r="BJ33" s="295">
        <f>IFERROR(BJ14-BJ31,0)</f>
        <v/>
      </c>
      <c r="BK33" s="295">
        <f>IFERROR(BK14-BK31,0)</f>
        <v/>
      </c>
      <c r="BL33" s="295">
        <f>IFERROR(BL14-BL31,0)</f>
        <v/>
      </c>
      <c r="BM33" s="295">
        <f>IFERROR(BM14-BM31,0)</f>
        <v/>
      </c>
      <c r="BN33" s="296">
        <f>SUM(BB33:BM33)</f>
        <v/>
      </c>
    </row>
    <row r="34" ht="18" customHeight="1" s="218">
      <c r="A34" s="262" t="inlineStr">
        <is>
          <t>EBITDA Margin %</t>
        </is>
      </c>
      <c r="B34" s="309">
        <f>IFERROR(B33/B10,0)</f>
        <v/>
      </c>
      <c r="C34" s="309">
        <f>IFERROR(C33/C10,0)</f>
        <v/>
      </c>
      <c r="D34" s="309">
        <f>IFERROR(D33/D10,0)</f>
        <v/>
      </c>
      <c r="E34" s="309">
        <f>IFERROR(E33/E10,0)</f>
        <v/>
      </c>
      <c r="F34" s="309">
        <f>IFERROR(F33/F10,0)</f>
        <v/>
      </c>
      <c r="G34" s="309">
        <f>IFERROR(G33/G10,0)</f>
        <v/>
      </c>
      <c r="H34" s="309">
        <f>IFERROR(H33/H10,0)</f>
        <v/>
      </c>
      <c r="I34" s="309">
        <f>IFERROR(I33/I10,0)</f>
        <v/>
      </c>
      <c r="J34" s="309">
        <f>IFERROR(J33/J10,0)</f>
        <v/>
      </c>
      <c r="K34" s="309">
        <f>IFERROR(K33/K10,0)</f>
        <v/>
      </c>
      <c r="L34" s="309">
        <f>IFERROR(L33/L10,0)</f>
        <v/>
      </c>
      <c r="M34" s="309">
        <f>IFERROR(M33/M10,0)</f>
        <v/>
      </c>
      <c r="N34" s="310">
        <f>M34</f>
        <v/>
      </c>
      <c r="O34" s="309">
        <f>IFERROR(O33/O10,0)</f>
        <v/>
      </c>
      <c r="P34" s="309">
        <f>IFERROR(P33/P10,0)</f>
        <v/>
      </c>
      <c r="Q34" s="309">
        <f>IFERROR(Q33/Q10,0)</f>
        <v/>
      </c>
      <c r="R34" s="309">
        <f>IFERROR(R33/R10,0)</f>
        <v/>
      </c>
      <c r="S34" s="309">
        <f>IFERROR(S33/S10,0)</f>
        <v/>
      </c>
      <c r="T34" s="309">
        <f>IFERROR(T33/T10,0)</f>
        <v/>
      </c>
      <c r="U34" s="309">
        <f>IFERROR(U33/U10,0)</f>
        <v/>
      </c>
      <c r="V34" s="309">
        <f>IFERROR(V33/V10,0)</f>
        <v/>
      </c>
      <c r="W34" s="309">
        <f>IFERROR(W33/W10,0)</f>
        <v/>
      </c>
      <c r="X34" s="309">
        <f>IFERROR(X33/X10,0)</f>
        <v/>
      </c>
      <c r="Y34" s="309">
        <f>IFERROR(Y33/Y10,0)</f>
        <v/>
      </c>
      <c r="Z34" s="309">
        <f>IFERROR(Z33/Z10,0)</f>
        <v/>
      </c>
      <c r="AA34" s="310">
        <f>Z34</f>
        <v/>
      </c>
      <c r="AB34" s="309">
        <f>IFERROR(AB33/AB10,0)</f>
        <v/>
      </c>
      <c r="AC34" s="309">
        <f>IFERROR(AC33/AC10,0)</f>
        <v/>
      </c>
      <c r="AD34" s="309">
        <f>IFERROR(AD33/AD10,0)</f>
        <v/>
      </c>
      <c r="AE34" s="309">
        <f>IFERROR(AE33/AE10,0)</f>
        <v/>
      </c>
      <c r="AF34" s="309">
        <f>IFERROR(AF33/AF10,0)</f>
        <v/>
      </c>
      <c r="AG34" s="309">
        <f>IFERROR(AG33/AG10,0)</f>
        <v/>
      </c>
      <c r="AH34" s="309">
        <f>IFERROR(AH33/AH10,0)</f>
        <v/>
      </c>
      <c r="AI34" s="309">
        <f>IFERROR(AI33/AI10,0)</f>
        <v/>
      </c>
      <c r="AJ34" s="309">
        <f>IFERROR(AJ33/AJ10,0)</f>
        <v/>
      </c>
      <c r="AK34" s="309">
        <f>IFERROR(AK33/AK10,0)</f>
        <v/>
      </c>
      <c r="AL34" s="309">
        <f>IFERROR(AL33/AL10,0)</f>
        <v/>
      </c>
      <c r="AM34" s="309">
        <f>IFERROR(AM33/AM10,0)</f>
        <v/>
      </c>
      <c r="AN34" s="310">
        <f>AM34</f>
        <v/>
      </c>
      <c r="AO34" s="309">
        <f>IFERROR(AO33/AO10,0)</f>
        <v/>
      </c>
      <c r="AP34" s="309">
        <f>IFERROR(AP33/AP10,0)</f>
        <v/>
      </c>
      <c r="AQ34" s="309">
        <f>IFERROR(AQ33/AQ10,0)</f>
        <v/>
      </c>
      <c r="AR34" s="309">
        <f>IFERROR(AR33/AR10,0)</f>
        <v/>
      </c>
      <c r="AS34" s="309">
        <f>IFERROR(AS33/AS10,0)</f>
        <v/>
      </c>
      <c r="AT34" s="309">
        <f>IFERROR(AT33/AT10,0)</f>
        <v/>
      </c>
      <c r="AU34" s="309">
        <f>IFERROR(AU33/AU10,0)</f>
        <v/>
      </c>
      <c r="AV34" s="309">
        <f>IFERROR(AV33/AV10,0)</f>
        <v/>
      </c>
      <c r="AW34" s="309">
        <f>IFERROR(AW33/AW10,0)</f>
        <v/>
      </c>
      <c r="AX34" s="309">
        <f>IFERROR(AX33/AX10,0)</f>
        <v/>
      </c>
      <c r="AY34" s="309">
        <f>IFERROR(AY33/AY10,0)</f>
        <v/>
      </c>
      <c r="AZ34" s="309">
        <f>IFERROR(AZ33/AZ10,0)</f>
        <v/>
      </c>
      <c r="BA34" s="307">
        <f>AZ34</f>
        <v/>
      </c>
      <c r="BB34" s="309">
        <f>IFERROR(BB33/BB10,0)</f>
        <v/>
      </c>
      <c r="BC34" s="309">
        <f>IFERROR(BC33/BC10,0)</f>
        <v/>
      </c>
      <c r="BD34" s="309">
        <f>IFERROR(BD33/BD10,0)</f>
        <v/>
      </c>
      <c r="BE34" s="309">
        <f>IFERROR(BE33/BE10,0)</f>
        <v/>
      </c>
      <c r="BF34" s="309">
        <f>IFERROR(BF33/BF10,0)</f>
        <v/>
      </c>
      <c r="BG34" s="309">
        <f>IFERROR(BG33/BG10,0)</f>
        <v/>
      </c>
      <c r="BH34" s="309">
        <f>IFERROR(BH33/BH10,0)</f>
        <v/>
      </c>
      <c r="BI34" s="309">
        <f>IFERROR(BI33/BI10,0)</f>
        <v/>
      </c>
      <c r="BJ34" s="309">
        <f>IFERROR(BJ33/BJ10,0)</f>
        <v/>
      </c>
      <c r="BK34" s="309">
        <f>IFERROR(BK33/BK10,0)</f>
        <v/>
      </c>
      <c r="BL34" s="309">
        <f>IFERROR(BL33/BL10,0)</f>
        <v/>
      </c>
      <c r="BM34" s="309">
        <f>IFERROR(BM33/BM10,0)</f>
        <v/>
      </c>
      <c r="BN34" s="307">
        <f>BM34</f>
        <v/>
      </c>
    </row>
    <row r="35" ht="6" customHeight="1" s="218">
      <c r="A35" s="221" t="n"/>
      <c r="B35" s="221" t="n"/>
      <c r="C35" s="221" t="n"/>
      <c r="D35" s="221" t="n"/>
      <c r="E35" s="221" t="n"/>
      <c r="F35" s="221" t="n"/>
      <c r="G35" s="221" t="n"/>
      <c r="H35" s="221" t="n"/>
      <c r="I35" s="221" t="n"/>
      <c r="J35" s="221" t="n"/>
      <c r="K35" s="221" t="n"/>
      <c r="L35" s="221" t="n"/>
      <c r="M35" s="221" t="n"/>
      <c r="N35" s="221" t="n"/>
      <c r="O35" s="221" t="n"/>
      <c r="P35" s="221" t="n"/>
      <c r="Q35" s="221" t="n"/>
      <c r="R35" s="221" t="n"/>
      <c r="S35" s="221" t="n"/>
      <c r="T35" s="221" t="n"/>
      <c r="U35" s="221" t="n"/>
      <c r="V35" s="221" t="n"/>
      <c r="W35" s="221" t="n"/>
      <c r="X35" s="221" t="n"/>
      <c r="Y35" s="221" t="n"/>
      <c r="Z35" s="221" t="n"/>
      <c r="AA35" s="221" t="n"/>
      <c r="AB35" s="221" t="n"/>
      <c r="AC35" s="221" t="n"/>
      <c r="AD35" s="221" t="n"/>
      <c r="AE35" s="221" t="n"/>
      <c r="AF35" s="221" t="n"/>
      <c r="AG35" s="221" t="n"/>
      <c r="AH35" s="221" t="n"/>
      <c r="AI35" s="221" t="n"/>
      <c r="AJ35" s="221" t="n"/>
      <c r="AK35" s="221" t="n"/>
      <c r="AL35" s="221" t="n"/>
      <c r="AM35" s="221" t="n"/>
      <c r="AN35" s="221" t="n"/>
      <c r="AO35" s="221" t="n"/>
      <c r="AP35" s="221" t="n"/>
      <c r="AQ35" s="221" t="n"/>
      <c r="AR35" s="221" t="n"/>
      <c r="AS35" s="221" t="n"/>
      <c r="AT35" s="221" t="n"/>
      <c r="AU35" s="221" t="n"/>
      <c r="AV35" s="221" t="n"/>
      <c r="AW35" s="221" t="n"/>
      <c r="AX35" s="221" t="n"/>
      <c r="AY35" s="221" t="n"/>
      <c r="AZ35" s="221" t="n"/>
      <c r="BA35" s="285" t="n"/>
      <c r="BB35" s="221" t="n"/>
      <c r="BC35" s="221" t="n"/>
      <c r="BD35" s="221" t="n"/>
      <c r="BE35" s="221" t="n"/>
      <c r="BF35" s="221" t="n"/>
      <c r="BG35" s="221" t="n"/>
      <c r="BH35" s="221" t="n"/>
      <c r="BI35" s="221" t="n"/>
      <c r="BJ35" s="221" t="n"/>
      <c r="BK35" s="221" t="n"/>
      <c r="BL35" s="221" t="n"/>
      <c r="BM35" s="221" t="n"/>
      <c r="BN35" s="285" t="n"/>
    </row>
    <row r="36" ht="18" customHeight="1" s="218">
      <c r="A36" s="238" t="inlineStr">
        <is>
          <t xml:space="preserve">  Corporation Tax Provision (£)</t>
        </is>
      </c>
      <c r="B36" s="328">
        <f>IFERROR(MAX(0,B33*ASSUMPTIONS!$B$86),0)</f>
        <v/>
      </c>
      <c r="C36" s="328">
        <f>IFERROR(MAX(0,C33*ASSUMPTIONS!$B$86),0)</f>
        <v/>
      </c>
      <c r="D36" s="328">
        <f>IFERROR(MAX(0,D33*ASSUMPTIONS!$B$86),0)</f>
        <v/>
      </c>
      <c r="E36" s="328">
        <f>IFERROR(MAX(0,E33*ASSUMPTIONS!$B$86),0)</f>
        <v/>
      </c>
      <c r="F36" s="328">
        <f>IFERROR(MAX(0,F33*ASSUMPTIONS!$B$86),0)</f>
        <v/>
      </c>
      <c r="G36" s="328">
        <f>IFERROR(MAX(0,G33*ASSUMPTIONS!$B$86),0)</f>
        <v/>
      </c>
      <c r="H36" s="328">
        <f>IFERROR(MAX(0,H33*ASSUMPTIONS!$B$86),0)</f>
        <v/>
      </c>
      <c r="I36" s="328">
        <f>IFERROR(MAX(0,I33*ASSUMPTIONS!$B$86),0)</f>
        <v/>
      </c>
      <c r="J36" s="328">
        <f>IFERROR(MAX(0,J33*ASSUMPTIONS!$B$86),0)</f>
        <v/>
      </c>
      <c r="K36" s="328">
        <f>IFERROR(MAX(0,K33*ASSUMPTIONS!$B$86),0)</f>
        <v/>
      </c>
      <c r="L36" s="328">
        <f>IFERROR(MAX(0,L33*ASSUMPTIONS!$B$86),0)</f>
        <v/>
      </c>
      <c r="M36" s="328">
        <f>IFERROR(MAX(0,M33*ASSUMPTIONS!$B$86),0)</f>
        <v/>
      </c>
      <c r="N36" s="329">
        <f>SUM(B36:M36)</f>
        <v/>
      </c>
      <c r="O36" s="328">
        <f>IFERROR(MAX(0,O33*ASSUMPTIONS!$B$86),0)</f>
        <v/>
      </c>
      <c r="P36" s="328">
        <f>IFERROR(MAX(0,P33*ASSUMPTIONS!$B$86),0)</f>
        <v/>
      </c>
      <c r="Q36" s="328">
        <f>IFERROR(MAX(0,Q33*ASSUMPTIONS!$B$86),0)</f>
        <v/>
      </c>
      <c r="R36" s="328">
        <f>IFERROR(MAX(0,R33*ASSUMPTIONS!$B$86),0)</f>
        <v/>
      </c>
      <c r="S36" s="328">
        <f>IFERROR(MAX(0,S33*ASSUMPTIONS!$B$86),0)</f>
        <v/>
      </c>
      <c r="T36" s="328">
        <f>IFERROR(MAX(0,T33*ASSUMPTIONS!$B$86),0)</f>
        <v/>
      </c>
      <c r="U36" s="328">
        <f>IFERROR(MAX(0,U33*ASSUMPTIONS!$B$86),0)</f>
        <v/>
      </c>
      <c r="V36" s="328">
        <f>IFERROR(MAX(0,V33*ASSUMPTIONS!$B$86),0)</f>
        <v/>
      </c>
      <c r="W36" s="328">
        <f>IFERROR(MAX(0,W33*ASSUMPTIONS!$B$86),0)</f>
        <v/>
      </c>
      <c r="X36" s="328">
        <f>IFERROR(MAX(0,X33*ASSUMPTIONS!$B$86),0)</f>
        <v/>
      </c>
      <c r="Y36" s="328">
        <f>IFERROR(MAX(0,Y33*ASSUMPTIONS!$B$86),0)</f>
        <v/>
      </c>
      <c r="Z36" s="328">
        <f>IFERROR(MAX(0,Z33*ASSUMPTIONS!$B$86),0)</f>
        <v/>
      </c>
      <c r="AA36" s="329">
        <f>SUM(O36:Z36)</f>
        <v/>
      </c>
      <c r="AB36" s="328">
        <f>IFERROR(MAX(0,AB33*ASSUMPTIONS!$B$86),0)</f>
        <v/>
      </c>
      <c r="AC36" s="328">
        <f>IFERROR(MAX(0,AC33*ASSUMPTIONS!$B$86),0)</f>
        <v/>
      </c>
      <c r="AD36" s="328">
        <f>IFERROR(MAX(0,AD33*ASSUMPTIONS!$B$86),0)</f>
        <v/>
      </c>
      <c r="AE36" s="328">
        <f>IFERROR(MAX(0,AE33*ASSUMPTIONS!$B$86),0)</f>
        <v/>
      </c>
      <c r="AF36" s="328">
        <f>IFERROR(MAX(0,AF33*ASSUMPTIONS!$B$86),0)</f>
        <v/>
      </c>
      <c r="AG36" s="328">
        <f>IFERROR(MAX(0,AG33*ASSUMPTIONS!$B$86),0)</f>
        <v/>
      </c>
      <c r="AH36" s="328">
        <f>IFERROR(MAX(0,AH33*ASSUMPTIONS!$B$86),0)</f>
        <v/>
      </c>
      <c r="AI36" s="328">
        <f>IFERROR(MAX(0,AI33*ASSUMPTIONS!$B$86),0)</f>
        <v/>
      </c>
      <c r="AJ36" s="328">
        <f>IFERROR(MAX(0,AJ33*ASSUMPTIONS!$B$86),0)</f>
        <v/>
      </c>
      <c r="AK36" s="328">
        <f>IFERROR(MAX(0,AK33*ASSUMPTIONS!$B$86),0)</f>
        <v/>
      </c>
      <c r="AL36" s="328">
        <f>IFERROR(MAX(0,AL33*ASSUMPTIONS!$B$86),0)</f>
        <v/>
      </c>
      <c r="AM36" s="328">
        <f>IFERROR(MAX(0,AM33*ASSUMPTIONS!$B$86),0)</f>
        <v/>
      </c>
      <c r="AN36" s="329">
        <f>SUM(AB36:AM36)</f>
        <v/>
      </c>
      <c r="AO36" s="328">
        <f>IFERROR(MAX(0,AO33*ASSUMPTIONS!$B$86),0)</f>
        <v/>
      </c>
      <c r="AP36" s="328">
        <f>IFERROR(MAX(0,AP33*ASSUMPTIONS!$B$86),0)</f>
        <v/>
      </c>
      <c r="AQ36" s="328">
        <f>IFERROR(MAX(0,AQ33*ASSUMPTIONS!$B$86),0)</f>
        <v/>
      </c>
      <c r="AR36" s="328">
        <f>IFERROR(MAX(0,AR33*ASSUMPTIONS!$B$86),0)</f>
        <v/>
      </c>
      <c r="AS36" s="328">
        <f>IFERROR(MAX(0,AS33*ASSUMPTIONS!$B$86),0)</f>
        <v/>
      </c>
      <c r="AT36" s="328">
        <f>IFERROR(MAX(0,AT33*ASSUMPTIONS!$B$86),0)</f>
        <v/>
      </c>
      <c r="AU36" s="328">
        <f>IFERROR(MAX(0,AU33*ASSUMPTIONS!$B$86),0)</f>
        <v/>
      </c>
      <c r="AV36" s="328">
        <f>IFERROR(MAX(0,AV33*ASSUMPTIONS!$B$86),0)</f>
        <v/>
      </c>
      <c r="AW36" s="328">
        <f>IFERROR(MAX(0,AW33*ASSUMPTIONS!$B$86),0)</f>
        <v/>
      </c>
      <c r="AX36" s="328">
        <f>IFERROR(MAX(0,AX33*ASSUMPTIONS!$B$86),0)</f>
        <v/>
      </c>
      <c r="AY36" s="328">
        <f>IFERROR(MAX(0,AY33*ASSUMPTIONS!$B$86),0)</f>
        <v/>
      </c>
      <c r="AZ36" s="328">
        <f>IFERROR(MAX(0,AZ33*ASSUMPTIONS!$B$86),0)</f>
        <v/>
      </c>
      <c r="BA36" s="330">
        <f>SUM(AO36:AZ36)</f>
        <v/>
      </c>
      <c r="BB36" s="328">
        <f>IFERROR(MAX(0,BB33*ASSUMPTIONS!$B$86),0)</f>
        <v/>
      </c>
      <c r="BC36" s="328">
        <f>IFERROR(MAX(0,BC33*ASSUMPTIONS!$B$86),0)</f>
        <v/>
      </c>
      <c r="BD36" s="328">
        <f>IFERROR(MAX(0,BD33*ASSUMPTIONS!$B$86),0)</f>
        <v/>
      </c>
      <c r="BE36" s="328">
        <f>IFERROR(MAX(0,BE33*ASSUMPTIONS!$B$86),0)</f>
        <v/>
      </c>
      <c r="BF36" s="328">
        <f>IFERROR(MAX(0,BF33*ASSUMPTIONS!$B$86),0)</f>
        <v/>
      </c>
      <c r="BG36" s="328">
        <f>IFERROR(MAX(0,BG33*ASSUMPTIONS!$B$86),0)</f>
        <v/>
      </c>
      <c r="BH36" s="328">
        <f>IFERROR(MAX(0,BH33*ASSUMPTIONS!$B$86),0)</f>
        <v/>
      </c>
      <c r="BI36" s="328">
        <f>IFERROR(MAX(0,BI33*ASSUMPTIONS!$B$86),0)</f>
        <v/>
      </c>
      <c r="BJ36" s="328">
        <f>IFERROR(MAX(0,BJ33*ASSUMPTIONS!$B$86),0)</f>
        <v/>
      </c>
      <c r="BK36" s="328">
        <f>IFERROR(MAX(0,BK33*ASSUMPTIONS!$B$86),0)</f>
        <v/>
      </c>
      <c r="BL36" s="328">
        <f>IFERROR(MAX(0,BL33*ASSUMPTIONS!$B$86),0)</f>
        <v/>
      </c>
      <c r="BM36" s="328">
        <f>IFERROR(MAX(0,BM33*ASSUMPTIONS!$B$86),0)</f>
        <v/>
      </c>
      <c r="BN36" s="330">
        <f>SUM(BB36:BM36)</f>
        <v/>
      </c>
    </row>
    <row r="37" ht="18" customHeight="1" s="218">
      <c r="A37" s="294" t="inlineStr">
        <is>
          <t>NET INCOME / (LOSS) (£)</t>
        </is>
      </c>
      <c r="B37" s="295">
        <f>IFERROR(B33-B36,0)</f>
        <v/>
      </c>
      <c r="C37" s="295">
        <f>IFERROR(C33-C36,0)</f>
        <v/>
      </c>
      <c r="D37" s="295">
        <f>IFERROR(D33-D36,0)</f>
        <v/>
      </c>
      <c r="E37" s="295">
        <f>IFERROR(E33-E36,0)</f>
        <v/>
      </c>
      <c r="F37" s="295">
        <f>IFERROR(F33-F36,0)</f>
        <v/>
      </c>
      <c r="G37" s="295">
        <f>IFERROR(G33-G36,0)</f>
        <v/>
      </c>
      <c r="H37" s="295">
        <f>IFERROR(H33-H36,0)</f>
        <v/>
      </c>
      <c r="I37" s="295">
        <f>IFERROR(I33-I36,0)</f>
        <v/>
      </c>
      <c r="J37" s="295">
        <f>IFERROR(J33-J36,0)</f>
        <v/>
      </c>
      <c r="K37" s="295">
        <f>IFERROR(K33-K36,0)</f>
        <v/>
      </c>
      <c r="L37" s="295">
        <f>IFERROR(L33-L36,0)</f>
        <v/>
      </c>
      <c r="M37" s="295">
        <f>IFERROR(M33-M36,0)</f>
        <v/>
      </c>
      <c r="N37" s="295">
        <f>SUM(B37:M37)</f>
        <v/>
      </c>
      <c r="O37" s="295">
        <f>IFERROR(O33-O36,0)</f>
        <v/>
      </c>
      <c r="P37" s="295">
        <f>IFERROR(P33-P36,0)</f>
        <v/>
      </c>
      <c r="Q37" s="295">
        <f>IFERROR(Q33-Q36,0)</f>
        <v/>
      </c>
      <c r="R37" s="295">
        <f>IFERROR(R33-R36,0)</f>
        <v/>
      </c>
      <c r="S37" s="295">
        <f>IFERROR(S33-S36,0)</f>
        <v/>
      </c>
      <c r="T37" s="295">
        <f>IFERROR(T33-T36,0)</f>
        <v/>
      </c>
      <c r="U37" s="295">
        <f>IFERROR(U33-U36,0)</f>
        <v/>
      </c>
      <c r="V37" s="295">
        <f>IFERROR(V33-V36,0)</f>
        <v/>
      </c>
      <c r="W37" s="295">
        <f>IFERROR(W33-W36,0)</f>
        <v/>
      </c>
      <c r="X37" s="295">
        <f>IFERROR(X33-X36,0)</f>
        <v/>
      </c>
      <c r="Y37" s="295">
        <f>IFERROR(Y33-Y36,0)</f>
        <v/>
      </c>
      <c r="Z37" s="295">
        <f>IFERROR(Z33-Z36,0)</f>
        <v/>
      </c>
      <c r="AA37" s="295">
        <f>SUM(O37:Z37)</f>
        <v/>
      </c>
      <c r="AB37" s="295">
        <f>IFERROR(AB33-AB36,0)</f>
        <v/>
      </c>
      <c r="AC37" s="295">
        <f>IFERROR(AC33-AC36,0)</f>
        <v/>
      </c>
      <c r="AD37" s="295">
        <f>IFERROR(AD33-AD36,0)</f>
        <v/>
      </c>
      <c r="AE37" s="295">
        <f>IFERROR(AE33-AE36,0)</f>
        <v/>
      </c>
      <c r="AF37" s="295">
        <f>IFERROR(AF33-AF36,0)</f>
        <v/>
      </c>
      <c r="AG37" s="295">
        <f>IFERROR(AG33-AG36,0)</f>
        <v/>
      </c>
      <c r="AH37" s="295">
        <f>IFERROR(AH33-AH36,0)</f>
        <v/>
      </c>
      <c r="AI37" s="295">
        <f>IFERROR(AI33-AI36,0)</f>
        <v/>
      </c>
      <c r="AJ37" s="295">
        <f>IFERROR(AJ33-AJ36,0)</f>
        <v/>
      </c>
      <c r="AK37" s="295">
        <f>IFERROR(AK33-AK36,0)</f>
        <v/>
      </c>
      <c r="AL37" s="295">
        <f>IFERROR(AL33-AL36,0)</f>
        <v/>
      </c>
      <c r="AM37" s="295">
        <f>IFERROR(AM33-AM36,0)</f>
        <v/>
      </c>
      <c r="AN37" s="295">
        <f>SUM(AB37:AM37)</f>
        <v/>
      </c>
      <c r="AO37" s="295">
        <f>IFERROR(AO33-AO36,0)</f>
        <v/>
      </c>
      <c r="AP37" s="295">
        <f>IFERROR(AP33-AP36,0)</f>
        <v/>
      </c>
      <c r="AQ37" s="295">
        <f>IFERROR(AQ33-AQ36,0)</f>
        <v/>
      </c>
      <c r="AR37" s="295">
        <f>IFERROR(AR33-AR36,0)</f>
        <v/>
      </c>
      <c r="AS37" s="295">
        <f>IFERROR(AS33-AS36,0)</f>
        <v/>
      </c>
      <c r="AT37" s="295">
        <f>IFERROR(AT33-AT36,0)</f>
        <v/>
      </c>
      <c r="AU37" s="295">
        <f>IFERROR(AU33-AU36,0)</f>
        <v/>
      </c>
      <c r="AV37" s="295">
        <f>IFERROR(AV33-AV36,0)</f>
        <v/>
      </c>
      <c r="AW37" s="295">
        <f>IFERROR(AW33-AW36,0)</f>
        <v/>
      </c>
      <c r="AX37" s="295">
        <f>IFERROR(AX33-AX36,0)</f>
        <v/>
      </c>
      <c r="AY37" s="295">
        <f>IFERROR(AY33-AY36,0)</f>
        <v/>
      </c>
      <c r="AZ37" s="295">
        <f>IFERROR(AZ33-AZ36,0)</f>
        <v/>
      </c>
      <c r="BA37" s="296">
        <f>SUM(AO37:AZ37)</f>
        <v/>
      </c>
      <c r="BB37" s="295">
        <f>IFERROR(BB33-BB36,0)</f>
        <v/>
      </c>
      <c r="BC37" s="295">
        <f>IFERROR(BC33-BC36,0)</f>
        <v/>
      </c>
      <c r="BD37" s="295">
        <f>IFERROR(BD33-BD36,0)</f>
        <v/>
      </c>
      <c r="BE37" s="295">
        <f>IFERROR(BE33-BE36,0)</f>
        <v/>
      </c>
      <c r="BF37" s="295">
        <f>IFERROR(BF33-BF36,0)</f>
        <v/>
      </c>
      <c r="BG37" s="295">
        <f>IFERROR(BG33-BG36,0)</f>
        <v/>
      </c>
      <c r="BH37" s="295">
        <f>IFERROR(BH33-BH36,0)</f>
        <v/>
      </c>
      <c r="BI37" s="295">
        <f>IFERROR(BI33-BI36,0)</f>
        <v/>
      </c>
      <c r="BJ37" s="295">
        <f>IFERROR(BJ33-BJ36,0)</f>
        <v/>
      </c>
      <c r="BK37" s="295">
        <f>IFERROR(BK33-BK36,0)</f>
        <v/>
      </c>
      <c r="BL37" s="295">
        <f>IFERROR(BL33-BL36,0)</f>
        <v/>
      </c>
      <c r="BM37" s="295">
        <f>IFERROR(BM33-BM36,0)</f>
        <v/>
      </c>
      <c r="BN37" s="296">
        <f>SUM(BB37:BM37)</f>
        <v/>
      </c>
    </row>
    <row r="38" ht="18" customHeight="1" s="218">
      <c r="A38" s="262" t="inlineStr">
        <is>
          <t>Net Margin %</t>
        </is>
      </c>
      <c r="B38" s="331">
        <f>IFERROR(B37/B10,0)</f>
        <v/>
      </c>
      <c r="C38" s="331">
        <f>IFERROR(C37/C10,0)</f>
        <v/>
      </c>
      <c r="D38" s="331">
        <f>IFERROR(D37/D10,0)</f>
        <v/>
      </c>
      <c r="E38" s="331">
        <f>IFERROR(E37/E10,0)</f>
        <v/>
      </c>
      <c r="F38" s="331">
        <f>IFERROR(F37/F10,0)</f>
        <v/>
      </c>
      <c r="G38" s="331">
        <f>IFERROR(G37/G10,0)</f>
        <v/>
      </c>
      <c r="H38" s="331">
        <f>IFERROR(H37/H10,0)</f>
        <v/>
      </c>
      <c r="I38" s="331">
        <f>IFERROR(I37/I10,0)</f>
        <v/>
      </c>
      <c r="J38" s="331">
        <f>IFERROR(J37/J10,0)</f>
        <v/>
      </c>
      <c r="K38" s="331">
        <f>IFERROR(K37/K10,0)</f>
        <v/>
      </c>
      <c r="L38" s="331">
        <f>IFERROR(L37/L10,0)</f>
        <v/>
      </c>
      <c r="M38" s="331">
        <f>IFERROR(M37/M10,0)</f>
        <v/>
      </c>
      <c r="N38" s="306">
        <f>M38</f>
        <v/>
      </c>
      <c r="O38" s="331">
        <f>IFERROR(O37/O10,0)</f>
        <v/>
      </c>
      <c r="P38" s="331">
        <f>IFERROR(P37/P10,0)</f>
        <v/>
      </c>
      <c r="Q38" s="331">
        <f>IFERROR(Q37/Q10,0)</f>
        <v/>
      </c>
      <c r="R38" s="331">
        <f>IFERROR(R37/R10,0)</f>
        <v/>
      </c>
      <c r="S38" s="331">
        <f>IFERROR(S37/S10,0)</f>
        <v/>
      </c>
      <c r="T38" s="331">
        <f>IFERROR(T37/T10,0)</f>
        <v/>
      </c>
      <c r="U38" s="331">
        <f>IFERROR(U37/U10,0)</f>
        <v/>
      </c>
      <c r="V38" s="331">
        <f>IFERROR(V37/V10,0)</f>
        <v/>
      </c>
      <c r="W38" s="331">
        <f>IFERROR(W37/W10,0)</f>
        <v/>
      </c>
      <c r="X38" s="331">
        <f>IFERROR(X37/X10,0)</f>
        <v/>
      </c>
      <c r="Y38" s="331">
        <f>IFERROR(Y37/Y10,0)</f>
        <v/>
      </c>
      <c r="Z38" s="331">
        <f>IFERROR(Z37/Z10,0)</f>
        <v/>
      </c>
      <c r="AA38" s="306">
        <f>Z38</f>
        <v/>
      </c>
      <c r="AB38" s="331">
        <f>IFERROR(AB37/AB10,0)</f>
        <v/>
      </c>
      <c r="AC38" s="331">
        <f>IFERROR(AC37/AC10,0)</f>
        <v/>
      </c>
      <c r="AD38" s="331">
        <f>IFERROR(AD37/AD10,0)</f>
        <v/>
      </c>
      <c r="AE38" s="331">
        <f>IFERROR(AE37/AE10,0)</f>
        <v/>
      </c>
      <c r="AF38" s="331">
        <f>IFERROR(AF37/AF10,0)</f>
        <v/>
      </c>
      <c r="AG38" s="331">
        <f>IFERROR(AG37/AG10,0)</f>
        <v/>
      </c>
      <c r="AH38" s="331">
        <f>IFERROR(AH37/AH10,0)</f>
        <v/>
      </c>
      <c r="AI38" s="331">
        <f>IFERROR(AI37/AI10,0)</f>
        <v/>
      </c>
      <c r="AJ38" s="331">
        <f>IFERROR(AJ37/AJ10,0)</f>
        <v/>
      </c>
      <c r="AK38" s="331">
        <f>IFERROR(AK37/AK10,0)</f>
        <v/>
      </c>
      <c r="AL38" s="331">
        <f>IFERROR(AL37/AL10,0)</f>
        <v/>
      </c>
      <c r="AM38" s="331">
        <f>IFERROR(AM37/AM10,0)</f>
        <v/>
      </c>
      <c r="AN38" s="306">
        <f>AM38</f>
        <v/>
      </c>
      <c r="AO38" s="331">
        <f>IFERROR(AO37/AO10,0)</f>
        <v/>
      </c>
      <c r="AP38" s="331">
        <f>IFERROR(AP37/AP10,0)</f>
        <v/>
      </c>
      <c r="AQ38" s="331">
        <f>IFERROR(AQ37/AQ10,0)</f>
        <v/>
      </c>
      <c r="AR38" s="331">
        <f>IFERROR(AR37/AR10,0)</f>
        <v/>
      </c>
      <c r="AS38" s="331">
        <f>IFERROR(AS37/AS10,0)</f>
        <v/>
      </c>
      <c r="AT38" s="331">
        <f>IFERROR(AT37/AT10,0)</f>
        <v/>
      </c>
      <c r="AU38" s="331">
        <f>IFERROR(AU37/AU10,0)</f>
        <v/>
      </c>
      <c r="AV38" s="331">
        <f>IFERROR(AV37/AV10,0)</f>
        <v/>
      </c>
      <c r="AW38" s="331">
        <f>IFERROR(AW37/AW10,0)</f>
        <v/>
      </c>
      <c r="AX38" s="331">
        <f>IFERROR(AX37/AX10,0)</f>
        <v/>
      </c>
      <c r="AY38" s="331">
        <f>IFERROR(AY37/AY10,0)</f>
        <v/>
      </c>
      <c r="AZ38" s="331">
        <f>IFERROR(AZ37/AZ10,0)</f>
        <v/>
      </c>
      <c r="BA38" s="307">
        <f>AZ38</f>
        <v/>
      </c>
      <c r="BB38" s="331">
        <f>IFERROR(BB37/BB10,0)</f>
        <v/>
      </c>
      <c r="BC38" s="331">
        <f>IFERROR(BC37/BC10,0)</f>
        <v/>
      </c>
      <c r="BD38" s="331">
        <f>IFERROR(BD37/BD10,0)</f>
        <v/>
      </c>
      <c r="BE38" s="331">
        <f>IFERROR(BE37/BE10,0)</f>
        <v/>
      </c>
      <c r="BF38" s="331">
        <f>IFERROR(BF37/BF10,0)</f>
        <v/>
      </c>
      <c r="BG38" s="331">
        <f>IFERROR(BG37/BG10,0)</f>
        <v/>
      </c>
      <c r="BH38" s="331">
        <f>IFERROR(BH37/BH10,0)</f>
        <v/>
      </c>
      <c r="BI38" s="331">
        <f>IFERROR(BI37/BI10,0)</f>
        <v/>
      </c>
      <c r="BJ38" s="331">
        <f>IFERROR(BJ37/BJ10,0)</f>
        <v/>
      </c>
      <c r="BK38" s="331">
        <f>IFERROR(BK37/BK10,0)</f>
        <v/>
      </c>
      <c r="BL38" s="331">
        <f>IFERROR(BL37/BL10,0)</f>
        <v/>
      </c>
      <c r="BM38" s="331">
        <f>IFERROR(BM37/BM10,0)</f>
        <v/>
      </c>
      <c r="BN38" s="307">
        <f>BM38</f>
        <v/>
      </c>
    </row>
    <row r="39" ht="15.75" customHeight="1" s="218"/>
    <row r="40" ht="15.75" customHeight="1" s="218"/>
    <row r="41" ht="15.75" customHeight="1" s="218"/>
    <row r="42" ht="15.75" customHeight="1" s="218"/>
    <row r="43" ht="15.75" customHeight="1" s="218"/>
    <row r="44" ht="15.75" customHeight="1" s="218"/>
    <row r="45" ht="15.75" customHeight="1" s="218"/>
    <row r="46" ht="15.75" customHeight="1" s="218"/>
    <row r="47" ht="15.75" customHeight="1" s="218"/>
    <row r="48" ht="15.75" customHeight="1" s="218"/>
    <row r="49" ht="15.75" customHeight="1" s="218"/>
    <row r="50" ht="15.75" customHeight="1" s="218"/>
    <row r="51" ht="15.75" customHeight="1" s="218"/>
    <row r="52" ht="15.75" customHeight="1" s="218"/>
    <row r="53" ht="15.75" customHeight="1" s="218"/>
    <row r="54" ht="15.75" customHeight="1" s="218"/>
    <row r="55" ht="15.75" customHeight="1" s="218"/>
    <row r="56" ht="15.75" customHeight="1" s="218"/>
    <row r="57" ht="15.75" customHeight="1" s="218"/>
    <row r="58" ht="15.75" customHeight="1" s="218"/>
    <row r="59" ht="15.75" customHeight="1" s="218"/>
    <row r="60" ht="15.75" customHeight="1" s="218"/>
    <row r="61" ht="15.75" customHeight="1" s="218"/>
    <row r="62" ht="15.75" customHeight="1" s="218"/>
    <row r="63" ht="15.75" customHeight="1" s="218"/>
    <row r="64" ht="15.75" customHeight="1" s="218"/>
    <row r="65" ht="15.75" customHeight="1" s="218"/>
    <row r="66" ht="15.75" customHeight="1" s="218"/>
    <row r="67" ht="15.75" customHeight="1" s="218"/>
    <row r="68" ht="15.75" customHeight="1" s="218"/>
    <row r="69" ht="15.75" customHeight="1" s="218"/>
    <row r="70" ht="15.75" customHeight="1" s="218"/>
    <row r="71" ht="15.75" customHeight="1" s="218"/>
    <row r="72" ht="15.75" customHeight="1" s="218"/>
    <row r="73" ht="15.75" customHeight="1" s="218"/>
    <row r="74" ht="15.75" customHeight="1" s="218"/>
    <row r="75" ht="15.75" customHeight="1" s="218"/>
    <row r="76" ht="15.75" customHeight="1" s="218"/>
    <row r="77" ht="15.75" customHeight="1" s="218"/>
    <row r="78" ht="15.75" customHeight="1" s="218"/>
    <row r="79" ht="15.75" customHeight="1" s="218"/>
    <row r="80" ht="15.75" customHeight="1" s="218"/>
    <row r="81" ht="15.75" customHeight="1" s="218"/>
    <row r="82" ht="15.75" customHeight="1" s="218"/>
    <row r="83" ht="15.75" customHeight="1" s="218"/>
    <row r="84" ht="15.75" customHeight="1" s="218"/>
    <row r="85" ht="15.75" customHeight="1" s="218"/>
    <row r="86" ht="15.75" customHeight="1" s="218"/>
    <row r="87" ht="15.75" customHeight="1" s="218"/>
    <row r="88" ht="15.75" customHeight="1" s="218"/>
    <row r="89" ht="15.75" customHeight="1" s="218"/>
    <row r="90" ht="15.75" customHeight="1" s="218"/>
    <row r="91" ht="15.75" customHeight="1" s="218"/>
    <row r="92" ht="15.75" customHeight="1" s="218"/>
    <row r="93" ht="15.75" customHeight="1" s="218"/>
    <row r="94" ht="15.75" customHeight="1" s="218"/>
    <row r="95" ht="15.75" customHeight="1" s="218"/>
    <row r="96" ht="15.75" customHeight="1" s="218"/>
    <row r="97" ht="15.75" customHeight="1" s="218"/>
    <row r="98" ht="15.75" customHeight="1" s="218"/>
    <row r="99" ht="15.75" customHeight="1" s="218"/>
    <row r="100" ht="15.75" customHeight="1" s="218"/>
    <row r="101" ht="15.75" customHeight="1" s="218"/>
    <row r="102" ht="15.75" customHeight="1" s="218"/>
    <row r="103" ht="15.75" customHeight="1" s="218"/>
    <row r="104" ht="15.75" customHeight="1" s="218"/>
    <row r="105" ht="15.75" customHeight="1" s="218"/>
    <row r="106" ht="15.75" customHeight="1" s="218"/>
    <row r="107" ht="15.75" customHeight="1" s="218"/>
    <row r="108" ht="15.75" customHeight="1" s="218"/>
    <row r="109" ht="15.75" customHeight="1" s="218"/>
    <row r="110" ht="15.75" customHeight="1" s="218"/>
    <row r="111" ht="15.75" customHeight="1" s="218"/>
    <row r="112" ht="15.75" customHeight="1" s="218"/>
    <row r="113" ht="15.75" customHeight="1" s="218"/>
    <row r="114" ht="15.75" customHeight="1" s="218"/>
    <row r="115" ht="15.75" customHeight="1" s="218"/>
    <row r="116" ht="15.75" customHeight="1" s="218"/>
    <row r="117" ht="15.75" customHeight="1" s="218"/>
    <row r="118" ht="15.75" customHeight="1" s="218"/>
    <row r="119" ht="15.75" customHeight="1" s="218"/>
    <row r="120" ht="15.75" customHeight="1" s="218"/>
    <row r="121" ht="15.75" customHeight="1" s="218"/>
    <row r="122" ht="15.75" customHeight="1" s="218"/>
    <row r="123" ht="15.75" customHeight="1" s="218"/>
    <row r="124" ht="15.75" customHeight="1" s="218"/>
    <row r="125" ht="15.75" customHeight="1" s="218"/>
    <row r="126" ht="15.75" customHeight="1" s="218"/>
    <row r="127" ht="15.75" customHeight="1" s="218"/>
    <row r="128" ht="15.75" customHeight="1" s="218"/>
    <row r="129" ht="15.75" customHeight="1" s="218"/>
    <row r="130" ht="15.75" customHeight="1" s="218"/>
    <row r="131" ht="15.75" customHeight="1" s="218"/>
    <row r="132" ht="15.75" customHeight="1" s="218"/>
    <row r="133" ht="15.75" customHeight="1" s="218"/>
    <row r="134" ht="15.75" customHeight="1" s="218"/>
    <row r="135" ht="15.75" customHeight="1" s="218"/>
    <row r="136" ht="15.75" customHeight="1" s="218"/>
    <row r="137" ht="15.75" customHeight="1" s="218"/>
    <row r="138" ht="15.75" customHeight="1" s="218"/>
    <row r="139" ht="15.75" customHeight="1" s="218"/>
    <row r="140" ht="15.75" customHeight="1" s="218"/>
    <row r="141" ht="15.75" customHeight="1" s="218"/>
    <row r="142" ht="15.75" customHeight="1" s="218"/>
    <row r="143" ht="15.75" customHeight="1" s="218"/>
    <row r="144" ht="15.75" customHeight="1" s="218"/>
    <row r="145" ht="15.75" customHeight="1" s="218"/>
    <row r="146" ht="15.75" customHeight="1" s="218"/>
    <row r="147" ht="15.75" customHeight="1" s="218"/>
    <row r="148" ht="15.75" customHeight="1" s="218"/>
    <row r="149" ht="15.75" customHeight="1" s="218"/>
    <row r="150" ht="15.75" customHeight="1" s="218"/>
    <row r="151" ht="15.75" customHeight="1" s="218"/>
    <row r="152" ht="15.75" customHeight="1" s="218"/>
    <row r="153" ht="15.75" customHeight="1" s="218"/>
    <row r="154" ht="15.75" customHeight="1" s="218"/>
    <row r="155" ht="15.75" customHeight="1" s="218"/>
    <row r="156" ht="15.75" customHeight="1" s="218"/>
    <row r="157" ht="15.75" customHeight="1" s="218"/>
    <row r="158" ht="15.75" customHeight="1" s="218"/>
    <row r="159" ht="15.75" customHeight="1" s="218"/>
    <row r="160" ht="15.75" customHeight="1" s="218"/>
    <row r="161" ht="15.75" customHeight="1" s="218"/>
    <row r="162" ht="15.75" customHeight="1" s="218"/>
    <row r="163" ht="15.75" customHeight="1" s="218"/>
    <row r="164" ht="15.75" customHeight="1" s="218"/>
    <row r="165" ht="15.75" customHeight="1" s="218"/>
    <row r="166" ht="15.75" customHeight="1" s="218"/>
    <row r="167" ht="15.75" customHeight="1" s="218"/>
    <row r="168" ht="15.75" customHeight="1" s="218"/>
    <row r="169" ht="15.75" customHeight="1" s="218"/>
    <row r="170" ht="15.75" customHeight="1" s="218"/>
    <row r="171" ht="15.75" customHeight="1" s="218"/>
    <row r="172" ht="15.75" customHeight="1" s="218"/>
    <row r="173" ht="15.75" customHeight="1" s="218"/>
    <row r="174" ht="15.75" customHeight="1" s="218"/>
    <row r="175" ht="15.75" customHeight="1" s="218"/>
    <row r="176" ht="15.75" customHeight="1" s="218"/>
    <row r="177" ht="15.75" customHeight="1" s="218"/>
    <row r="178" ht="15.75" customHeight="1" s="218"/>
    <row r="179" ht="15.75" customHeight="1" s="218"/>
    <row r="180" ht="15.75" customHeight="1" s="218"/>
    <row r="181" ht="15.75" customHeight="1" s="218"/>
    <row r="182" ht="15.75" customHeight="1" s="218"/>
    <row r="183" ht="15.75" customHeight="1" s="218"/>
    <row r="184" ht="15.75" customHeight="1" s="218"/>
    <row r="185" ht="15.75" customHeight="1" s="218"/>
    <row r="186" ht="15.75" customHeight="1" s="218"/>
    <row r="187" ht="15.75" customHeight="1" s="218"/>
    <row r="188" ht="15.75" customHeight="1" s="218"/>
    <row r="189" ht="15.75" customHeight="1" s="218"/>
    <row r="190" ht="15.75" customHeight="1" s="218"/>
    <row r="191" ht="15.75" customHeight="1" s="218"/>
    <row r="192" ht="15.75" customHeight="1" s="218"/>
    <row r="193" ht="15.75" customHeight="1" s="218"/>
    <row r="194" ht="15.75" customHeight="1" s="218"/>
    <row r="195" ht="15.75" customHeight="1" s="218"/>
    <row r="196" ht="15.75" customHeight="1" s="218"/>
    <row r="197" ht="15.75" customHeight="1" s="218"/>
    <row r="198" ht="15.75" customHeight="1" s="218"/>
    <row r="199" ht="15.75" customHeight="1" s="218"/>
    <row r="200" ht="15.75" customHeight="1" s="218"/>
    <row r="201" ht="15.75" customHeight="1" s="218"/>
    <row r="202" ht="15.75" customHeight="1" s="218"/>
    <row r="203" ht="15.75" customHeight="1" s="218"/>
    <row r="204" ht="15.75" customHeight="1" s="218"/>
    <row r="205" ht="15.75" customHeight="1" s="218"/>
    <row r="206" ht="15.75" customHeight="1" s="218"/>
    <row r="207" ht="15.75" customHeight="1" s="218"/>
    <row r="208" ht="15.75" customHeight="1" s="218"/>
    <row r="209" ht="15.75" customHeight="1" s="218"/>
    <row r="210" ht="15.75" customHeight="1" s="218"/>
    <row r="211" ht="15.75" customHeight="1" s="218"/>
    <row r="212" ht="15.75" customHeight="1" s="218"/>
    <row r="213" ht="15.75" customHeight="1" s="218"/>
    <row r="214" ht="15.75" customHeight="1" s="218"/>
    <row r="215" ht="15.75" customHeight="1" s="218"/>
    <row r="216" ht="15.75" customHeight="1" s="218"/>
    <row r="217" ht="15.75" customHeight="1" s="218"/>
    <row r="218" ht="15.75" customHeight="1" s="218"/>
    <row r="219" ht="15.75" customHeight="1" s="218"/>
    <row r="220" ht="15.75" customHeight="1" s="218"/>
    <row r="221" ht="15.75" customHeight="1" s="218"/>
    <row r="222" ht="15.75" customHeight="1" s="218"/>
    <row r="223" ht="15.75" customHeight="1" s="218"/>
    <row r="224" ht="15.75" customHeight="1" s="218"/>
    <row r="225" ht="15.75" customHeight="1" s="218"/>
    <row r="226" ht="15.75" customHeight="1" s="218"/>
    <row r="227" ht="15.75" customHeight="1" s="218"/>
    <row r="228" ht="15.75" customHeight="1" s="218"/>
    <row r="229" ht="15.75" customHeight="1" s="218"/>
    <row r="230" ht="15.75" customHeight="1" s="218"/>
    <row r="231" ht="15.75" customHeight="1" s="218"/>
    <row r="232" ht="15.75" customHeight="1" s="218"/>
    <row r="233" ht="15.75" customHeight="1" s="218"/>
    <row r="234" ht="15.75" customHeight="1" s="218"/>
    <row r="235" ht="15.75" customHeight="1" s="218"/>
    <row r="236" ht="15.75" customHeight="1" s="218"/>
    <row r="237" ht="15.75" customHeight="1" s="218"/>
    <row r="238" ht="15.75" customHeight="1" s="218"/>
    <row r="239" ht="15.75" customHeight="1" s="218"/>
    <row r="240" ht="15.75" customHeight="1" s="218"/>
    <row r="241" ht="15.75" customHeight="1" s="218"/>
    <row r="242" ht="15.75" customHeight="1" s="218"/>
    <row r="243" ht="15.75" customHeight="1" s="218"/>
    <row r="244" ht="15.75" customHeight="1" s="218"/>
    <row r="245" ht="15.75" customHeight="1" s="218"/>
    <row r="246" ht="15.75" customHeight="1" s="218"/>
    <row r="247" ht="15.75" customHeight="1" s="218"/>
    <row r="248" ht="15.75" customHeight="1" s="218"/>
    <row r="249" ht="15.75" customHeight="1" s="218"/>
    <row r="250" ht="15.75" customHeight="1" s="218"/>
    <row r="251" ht="15.75" customHeight="1" s="218"/>
    <row r="252" ht="15.75" customHeight="1" s="218"/>
    <row r="253" ht="15.75" customHeight="1" s="218"/>
    <row r="254" ht="15.75" customHeight="1" s="218"/>
    <row r="255" ht="15.75" customHeight="1" s="218"/>
    <row r="256" ht="15.75" customHeight="1" s="218"/>
    <row r="257" ht="15.75" customHeight="1" s="218"/>
    <row r="258" ht="15.75" customHeight="1" s="218"/>
    <row r="259" ht="15.75" customHeight="1" s="218"/>
    <row r="260" ht="15.75" customHeight="1" s="218"/>
    <row r="261" ht="15.75" customHeight="1" s="218"/>
    <row r="262" ht="15.75" customHeight="1" s="218"/>
    <row r="263" ht="15.75" customHeight="1" s="218"/>
    <row r="264" ht="15.75" customHeight="1" s="218"/>
    <row r="265" ht="15.75" customHeight="1" s="218"/>
    <row r="266" ht="15.75" customHeight="1" s="218"/>
    <row r="267" ht="15.75" customHeight="1" s="218"/>
    <row r="268" ht="15.75" customHeight="1" s="218"/>
    <row r="269" ht="15.75" customHeight="1" s="218"/>
    <row r="270" ht="15.75" customHeight="1" s="218"/>
    <row r="271" ht="15.75" customHeight="1" s="218"/>
    <row r="272" ht="15.75" customHeight="1" s="218"/>
    <row r="273" ht="15.75" customHeight="1" s="218"/>
    <row r="274" ht="15.75" customHeight="1" s="218"/>
    <row r="275" ht="15.75" customHeight="1" s="218"/>
    <row r="276" ht="15.75" customHeight="1" s="218"/>
    <row r="277" ht="15.75" customHeight="1" s="218"/>
    <row r="278" ht="15.75" customHeight="1" s="218"/>
    <row r="279" ht="15.75" customHeight="1" s="218"/>
    <row r="280" ht="15.75" customHeight="1" s="218"/>
    <row r="281" ht="15.75" customHeight="1" s="218"/>
    <row r="282" ht="15.75" customHeight="1" s="218"/>
    <row r="283" ht="15.75" customHeight="1" s="218"/>
    <row r="284" ht="15.75" customHeight="1" s="218"/>
    <row r="285" ht="15.75" customHeight="1" s="218"/>
    <row r="286" ht="15.75" customHeight="1" s="218"/>
    <row r="287" ht="15.75" customHeight="1" s="218"/>
    <row r="288" ht="15.75" customHeight="1" s="218"/>
    <row r="289" ht="15.75" customHeight="1" s="218"/>
    <row r="290" ht="15.75" customHeight="1" s="218"/>
    <row r="291" ht="15.75" customHeight="1" s="218"/>
    <row r="292" ht="15.75" customHeight="1" s="218"/>
    <row r="293" ht="15.75" customHeight="1" s="218"/>
    <row r="294" ht="15.75" customHeight="1" s="218"/>
    <row r="295" ht="15.75" customHeight="1" s="218"/>
    <row r="296" ht="15.75" customHeight="1" s="218"/>
    <row r="297" ht="15.75" customHeight="1" s="218"/>
    <row r="298" ht="15.75" customHeight="1" s="218"/>
    <row r="299" ht="15.75" customHeight="1" s="218"/>
    <row r="300" ht="15.75" customHeight="1" s="218"/>
    <row r="301" ht="15.75" customHeight="1" s="218"/>
    <row r="302" ht="15.75" customHeight="1" s="218"/>
    <row r="303" ht="15.75" customHeight="1" s="218"/>
    <row r="304" ht="15.75" customHeight="1" s="218"/>
    <row r="305" ht="15.75" customHeight="1" s="218"/>
    <row r="306" ht="15.75" customHeight="1" s="218"/>
    <row r="307" ht="15.75" customHeight="1" s="218"/>
    <row r="308" ht="15.75" customHeight="1" s="218"/>
    <row r="309" ht="15.75" customHeight="1" s="218"/>
    <row r="310" ht="15.75" customHeight="1" s="218"/>
    <row r="311" ht="15.75" customHeight="1" s="218"/>
    <row r="312" ht="15.75" customHeight="1" s="218"/>
    <row r="313" ht="15.75" customHeight="1" s="218"/>
    <row r="314" ht="15.75" customHeight="1" s="218"/>
    <row r="315" ht="15.75" customHeight="1" s="218"/>
    <row r="316" ht="15.75" customHeight="1" s="218"/>
    <row r="317" ht="15.75" customHeight="1" s="218"/>
    <row r="318" ht="15.75" customHeight="1" s="218"/>
    <row r="319" ht="15.75" customHeight="1" s="218"/>
    <row r="320" ht="15.75" customHeight="1" s="218"/>
    <row r="321" ht="15.75" customHeight="1" s="218"/>
    <row r="322" ht="15.75" customHeight="1" s="218"/>
    <row r="323" ht="15.75" customHeight="1" s="218"/>
    <row r="324" ht="15.75" customHeight="1" s="218"/>
    <row r="325" ht="15.75" customHeight="1" s="218"/>
    <row r="326" ht="15.75" customHeight="1" s="218"/>
    <row r="327" ht="15.75" customHeight="1" s="218"/>
    <row r="328" ht="15.75" customHeight="1" s="218"/>
    <row r="329" ht="15.75" customHeight="1" s="218"/>
    <row r="330" ht="15.75" customHeight="1" s="218"/>
    <row r="331" ht="15.75" customHeight="1" s="218"/>
    <row r="332" ht="15.75" customHeight="1" s="218"/>
    <row r="333" ht="15.75" customHeight="1" s="218"/>
    <row r="334" ht="15.75" customHeight="1" s="218"/>
    <row r="335" ht="15.75" customHeight="1" s="218"/>
    <row r="336" ht="15.75" customHeight="1" s="218"/>
    <row r="337" ht="15.75" customHeight="1" s="218"/>
    <row r="338" ht="15.75" customHeight="1" s="218"/>
    <row r="339" ht="15.75" customHeight="1" s="218"/>
    <row r="340" ht="15.75" customHeight="1" s="218"/>
    <row r="341" ht="15.75" customHeight="1" s="218"/>
    <row r="342" ht="15.75" customHeight="1" s="218"/>
    <row r="343" ht="15.75" customHeight="1" s="218"/>
    <row r="344" ht="15.75" customHeight="1" s="218"/>
    <row r="345" ht="15.75" customHeight="1" s="218"/>
    <row r="346" ht="15.75" customHeight="1" s="218"/>
    <row r="347" ht="15.75" customHeight="1" s="218"/>
    <row r="348" ht="15.75" customHeight="1" s="218"/>
    <row r="349" ht="15.75" customHeight="1" s="218"/>
    <row r="350" ht="15.75" customHeight="1" s="218"/>
    <row r="351" ht="15.75" customHeight="1" s="218"/>
    <row r="352" ht="15.75" customHeight="1" s="218"/>
    <row r="353" ht="15.75" customHeight="1" s="218"/>
    <row r="354" ht="15.75" customHeight="1" s="218"/>
    <row r="355" ht="15.75" customHeight="1" s="218"/>
    <row r="356" ht="15.75" customHeight="1" s="218"/>
    <row r="357" ht="15.75" customHeight="1" s="218"/>
    <row r="358" ht="15.75" customHeight="1" s="218"/>
    <row r="359" ht="15.75" customHeight="1" s="218"/>
    <row r="360" ht="15.75" customHeight="1" s="218"/>
    <row r="361" ht="15.75" customHeight="1" s="218"/>
    <row r="362" ht="15.75" customHeight="1" s="218"/>
    <row r="363" ht="15.75" customHeight="1" s="218"/>
    <row r="364" ht="15.75" customHeight="1" s="218"/>
    <row r="365" ht="15.75" customHeight="1" s="218"/>
    <row r="366" ht="15.75" customHeight="1" s="218"/>
    <row r="367" ht="15.75" customHeight="1" s="218"/>
    <row r="368" ht="15.75" customHeight="1" s="218"/>
    <row r="369" ht="15.75" customHeight="1" s="218"/>
    <row r="370" ht="15.75" customHeight="1" s="218"/>
    <row r="371" ht="15.75" customHeight="1" s="218"/>
    <row r="372" ht="15.75" customHeight="1" s="218"/>
    <row r="373" ht="15.75" customHeight="1" s="218"/>
    <row r="374" ht="15.75" customHeight="1" s="218"/>
    <row r="375" ht="15.75" customHeight="1" s="218"/>
    <row r="376" ht="15.75" customHeight="1" s="218"/>
    <row r="377" ht="15.75" customHeight="1" s="218"/>
    <row r="378" ht="15.75" customHeight="1" s="218"/>
    <row r="379" ht="15.75" customHeight="1" s="218"/>
    <row r="380" ht="15.75" customHeight="1" s="218"/>
    <row r="381" ht="15.75" customHeight="1" s="218"/>
    <row r="382" ht="15.75" customHeight="1" s="218"/>
    <row r="383" ht="15.75" customHeight="1" s="218"/>
    <row r="384" ht="15.75" customHeight="1" s="218"/>
    <row r="385" ht="15.75" customHeight="1" s="218"/>
    <row r="386" ht="15.75" customHeight="1" s="218"/>
    <row r="387" ht="15.75" customHeight="1" s="218"/>
    <row r="388" ht="15.75" customHeight="1" s="218"/>
    <row r="389" ht="15.75" customHeight="1" s="218"/>
    <row r="390" ht="15.75" customHeight="1" s="218"/>
    <row r="391" ht="15.75" customHeight="1" s="218"/>
    <row r="392" ht="15.75" customHeight="1" s="218"/>
    <row r="393" ht="15.75" customHeight="1" s="218"/>
    <row r="394" ht="15.75" customHeight="1" s="218"/>
    <row r="395" ht="15.75" customHeight="1" s="218"/>
    <row r="396" ht="15.75" customHeight="1" s="218"/>
    <row r="397" ht="15.75" customHeight="1" s="218"/>
    <row r="398" ht="15.75" customHeight="1" s="218"/>
    <row r="399" ht="15.75" customHeight="1" s="218"/>
    <row r="400" ht="15.75" customHeight="1" s="218"/>
    <row r="401" ht="15.75" customHeight="1" s="218"/>
    <row r="402" ht="15.75" customHeight="1" s="218"/>
    <row r="403" ht="15.75" customHeight="1" s="218"/>
    <row r="404" ht="15.75" customHeight="1" s="218"/>
    <row r="405" ht="15.75" customHeight="1" s="218"/>
    <row r="406" ht="15.75" customHeight="1" s="218"/>
    <row r="407" ht="15.75" customHeight="1" s="218"/>
    <row r="408" ht="15.75" customHeight="1" s="218"/>
    <row r="409" ht="15.75" customHeight="1" s="218"/>
    <row r="410" ht="15.75" customHeight="1" s="218"/>
    <row r="411" ht="15.75" customHeight="1" s="218"/>
    <row r="412" ht="15.75" customHeight="1" s="218"/>
    <row r="413" ht="15.75" customHeight="1" s="218"/>
    <row r="414" ht="15.75" customHeight="1" s="218"/>
    <row r="415" ht="15.75" customHeight="1" s="218"/>
    <row r="416" ht="15.75" customHeight="1" s="218"/>
    <row r="417" ht="15.75" customHeight="1" s="218"/>
    <row r="418" ht="15.75" customHeight="1" s="218"/>
    <row r="419" ht="15.75" customHeight="1" s="218"/>
    <row r="420" ht="15.75" customHeight="1" s="218"/>
    <row r="421" ht="15.75" customHeight="1" s="218"/>
    <row r="422" ht="15.75" customHeight="1" s="218"/>
    <row r="423" ht="15.75" customHeight="1" s="218"/>
    <row r="424" ht="15.75" customHeight="1" s="218"/>
    <row r="425" ht="15.75" customHeight="1" s="218"/>
    <row r="426" ht="15.75" customHeight="1" s="218"/>
    <row r="427" ht="15.75" customHeight="1" s="218"/>
    <row r="428" ht="15.75" customHeight="1" s="218"/>
    <row r="429" ht="15.75" customHeight="1" s="218"/>
    <row r="430" ht="15.75" customHeight="1" s="218"/>
    <row r="431" ht="15.75" customHeight="1" s="218"/>
    <row r="432" ht="15.75" customHeight="1" s="218"/>
    <row r="433" ht="15.75" customHeight="1" s="218"/>
    <row r="434" ht="15.75" customHeight="1" s="218"/>
    <row r="435" ht="15.75" customHeight="1" s="218"/>
    <row r="436" ht="15.75" customHeight="1" s="218"/>
    <row r="437" ht="15.75" customHeight="1" s="218"/>
    <row r="438" ht="15.75" customHeight="1" s="218"/>
    <row r="439" ht="15.75" customHeight="1" s="218"/>
    <row r="440" ht="15.75" customHeight="1" s="218"/>
    <row r="441" ht="15.75" customHeight="1" s="218"/>
    <row r="442" ht="15.75" customHeight="1" s="218"/>
    <row r="443" ht="15.75" customHeight="1" s="218"/>
    <row r="444" ht="15.75" customHeight="1" s="218"/>
    <row r="445" ht="15.75" customHeight="1" s="218"/>
    <row r="446" ht="15.75" customHeight="1" s="218"/>
    <row r="447" ht="15.75" customHeight="1" s="218"/>
    <row r="448" ht="15.75" customHeight="1" s="218"/>
    <row r="449" ht="15.75" customHeight="1" s="218"/>
    <row r="450" ht="15.75" customHeight="1" s="218"/>
    <row r="451" ht="15.75" customHeight="1" s="218"/>
    <row r="452" ht="15.75" customHeight="1" s="218"/>
    <row r="453" ht="15.75" customHeight="1" s="218"/>
    <row r="454" ht="15.75" customHeight="1" s="218"/>
    <row r="455" ht="15.75" customHeight="1" s="218"/>
    <row r="456" ht="15.75" customHeight="1" s="218"/>
    <row r="457" ht="15.75" customHeight="1" s="218"/>
    <row r="458" ht="15.75" customHeight="1" s="218"/>
    <row r="459" ht="15.75" customHeight="1" s="218"/>
    <row r="460" ht="15.75" customHeight="1" s="218"/>
    <row r="461" ht="15.75" customHeight="1" s="218"/>
    <row r="462" ht="15.75" customHeight="1" s="218"/>
    <row r="463" ht="15.75" customHeight="1" s="218"/>
    <row r="464" ht="15.75" customHeight="1" s="218"/>
    <row r="465" ht="15.75" customHeight="1" s="218"/>
    <row r="466" ht="15.75" customHeight="1" s="218"/>
    <row r="467" ht="15.75" customHeight="1" s="218"/>
    <row r="468" ht="15.75" customHeight="1" s="218"/>
    <row r="469" ht="15.75" customHeight="1" s="218"/>
    <row r="470" ht="15.75" customHeight="1" s="218"/>
    <row r="471" ht="15.75" customHeight="1" s="218"/>
    <row r="472" ht="15.75" customHeight="1" s="218"/>
    <row r="473" ht="15.75" customHeight="1" s="218"/>
    <row r="474" ht="15.75" customHeight="1" s="218"/>
    <row r="475" ht="15.75" customHeight="1" s="218"/>
    <row r="476" ht="15.75" customHeight="1" s="218"/>
    <row r="477" ht="15.75" customHeight="1" s="218"/>
    <row r="478" ht="15.75" customHeight="1" s="218"/>
    <row r="479" ht="15.75" customHeight="1" s="218"/>
    <row r="480" ht="15.75" customHeight="1" s="218"/>
    <row r="481" ht="15.75" customHeight="1" s="218"/>
    <row r="482" ht="15.75" customHeight="1" s="218"/>
    <row r="483" ht="15.75" customHeight="1" s="218"/>
    <row r="484" ht="15.75" customHeight="1" s="218"/>
    <row r="485" ht="15.75" customHeight="1" s="218"/>
    <row r="486" ht="15.75" customHeight="1" s="218"/>
    <row r="487" ht="15.75" customHeight="1" s="218"/>
    <row r="488" ht="15.75" customHeight="1" s="218"/>
    <row r="489" ht="15.75" customHeight="1" s="218"/>
    <row r="490" ht="15.75" customHeight="1" s="218"/>
    <row r="491" ht="15.75" customHeight="1" s="218"/>
    <row r="492" ht="15.75" customHeight="1" s="218"/>
    <row r="493" ht="15.75" customHeight="1" s="218"/>
    <row r="494" ht="15.75" customHeight="1" s="218"/>
    <row r="495" ht="15.75" customHeight="1" s="218"/>
    <row r="496" ht="15.75" customHeight="1" s="218"/>
    <row r="497" ht="15.75" customHeight="1" s="218"/>
    <row r="498" ht="15.75" customHeight="1" s="218"/>
    <row r="499" ht="15.75" customHeight="1" s="218"/>
    <row r="500" ht="15.75" customHeight="1" s="218"/>
    <row r="501" ht="15.75" customHeight="1" s="218"/>
    <row r="502" ht="15.75" customHeight="1" s="218"/>
    <row r="503" ht="15.75" customHeight="1" s="218"/>
    <row r="504" ht="15.75" customHeight="1" s="218"/>
    <row r="505" ht="15.75" customHeight="1" s="218"/>
    <row r="506" ht="15.75" customHeight="1" s="218"/>
    <row r="507" ht="15.75" customHeight="1" s="218"/>
    <row r="508" ht="15.75" customHeight="1" s="218"/>
    <row r="509" ht="15.75" customHeight="1" s="218"/>
    <row r="510" ht="15.75" customHeight="1" s="218"/>
    <row r="511" ht="15.75" customHeight="1" s="218"/>
    <row r="512" ht="15.75" customHeight="1" s="218"/>
    <row r="513" ht="15.75" customHeight="1" s="218"/>
    <row r="514" ht="15.75" customHeight="1" s="218"/>
    <row r="515" ht="15.75" customHeight="1" s="218"/>
    <row r="516" ht="15.75" customHeight="1" s="218"/>
    <row r="517" ht="15.75" customHeight="1" s="218"/>
    <row r="518" ht="15.75" customHeight="1" s="218"/>
    <row r="519" ht="15.75" customHeight="1" s="218"/>
    <row r="520" ht="15.75" customHeight="1" s="218"/>
    <row r="521" ht="15.75" customHeight="1" s="218"/>
    <row r="522" ht="15.75" customHeight="1" s="218"/>
    <row r="523" ht="15.75" customHeight="1" s="218"/>
    <row r="524" ht="15.75" customHeight="1" s="218"/>
    <row r="525" ht="15.75" customHeight="1" s="218"/>
    <row r="526" ht="15.75" customHeight="1" s="218"/>
    <row r="527" ht="15.75" customHeight="1" s="218"/>
    <row r="528" ht="15.75" customHeight="1" s="218"/>
    <row r="529" ht="15.75" customHeight="1" s="218"/>
    <row r="530" ht="15.75" customHeight="1" s="218"/>
    <row r="531" ht="15.75" customHeight="1" s="218"/>
    <row r="532" ht="15.75" customHeight="1" s="218"/>
    <row r="533" ht="15.75" customHeight="1" s="218"/>
    <row r="534" ht="15.75" customHeight="1" s="218"/>
    <row r="535" ht="15.75" customHeight="1" s="218"/>
    <row r="536" ht="15.75" customHeight="1" s="218"/>
    <row r="537" ht="15.75" customHeight="1" s="218"/>
    <row r="538" ht="15.75" customHeight="1" s="218"/>
    <row r="539" ht="15.75" customHeight="1" s="218"/>
    <row r="540" ht="15.75" customHeight="1" s="218"/>
    <row r="541" ht="15.75" customHeight="1" s="218"/>
    <row r="542" ht="15.75" customHeight="1" s="218"/>
    <row r="543" ht="15.75" customHeight="1" s="218"/>
    <row r="544" ht="15.75" customHeight="1" s="218"/>
    <row r="545" ht="15.75" customHeight="1" s="218"/>
    <row r="546" ht="15.75" customHeight="1" s="218"/>
    <row r="547" ht="15.75" customHeight="1" s="218"/>
    <row r="548" ht="15.75" customHeight="1" s="218"/>
    <row r="549" ht="15.75" customHeight="1" s="218"/>
    <row r="550" ht="15.75" customHeight="1" s="218"/>
    <row r="551" ht="15.75" customHeight="1" s="218"/>
    <row r="552" ht="15.75" customHeight="1" s="218"/>
    <row r="553" ht="15.75" customHeight="1" s="218"/>
    <row r="554" ht="15.75" customHeight="1" s="218"/>
    <row r="555" ht="15.75" customHeight="1" s="218"/>
    <row r="556" ht="15.75" customHeight="1" s="218"/>
    <row r="557" ht="15.75" customHeight="1" s="218"/>
    <row r="558" ht="15.75" customHeight="1" s="218"/>
    <row r="559" ht="15.75" customHeight="1" s="218"/>
    <row r="560" ht="15.75" customHeight="1" s="218"/>
    <row r="561" ht="15.75" customHeight="1" s="218"/>
    <row r="562" ht="15.75" customHeight="1" s="218"/>
    <row r="563" ht="15.75" customHeight="1" s="218"/>
    <row r="564" ht="15.75" customHeight="1" s="218"/>
    <row r="565" ht="15.75" customHeight="1" s="218"/>
    <row r="566" ht="15.75" customHeight="1" s="218"/>
    <row r="567" ht="15.75" customHeight="1" s="218"/>
    <row r="568" ht="15.75" customHeight="1" s="218"/>
    <row r="569" ht="15.75" customHeight="1" s="218"/>
    <row r="570" ht="15.75" customHeight="1" s="218"/>
    <row r="571" ht="15.75" customHeight="1" s="218"/>
    <row r="572" ht="15.75" customHeight="1" s="218"/>
    <row r="573" ht="15.75" customHeight="1" s="218"/>
    <row r="574" ht="15.75" customHeight="1" s="218"/>
    <row r="575" ht="15.75" customHeight="1" s="218"/>
    <row r="576" ht="15.75" customHeight="1" s="218"/>
    <row r="577" ht="15.75" customHeight="1" s="218"/>
    <row r="578" ht="15.75" customHeight="1" s="218"/>
    <row r="579" ht="15.75" customHeight="1" s="218"/>
    <row r="580" ht="15.75" customHeight="1" s="218"/>
    <row r="581" ht="15.75" customHeight="1" s="218"/>
    <row r="582" ht="15.75" customHeight="1" s="218"/>
    <row r="583" ht="15.75" customHeight="1" s="218"/>
    <row r="584" ht="15.75" customHeight="1" s="218"/>
    <row r="585" ht="15.75" customHeight="1" s="218"/>
    <row r="586" ht="15.75" customHeight="1" s="218"/>
    <row r="587" ht="15.75" customHeight="1" s="218"/>
    <row r="588" ht="15.75" customHeight="1" s="218"/>
    <row r="589" ht="15.75" customHeight="1" s="218"/>
    <row r="590" ht="15.75" customHeight="1" s="218"/>
    <row r="591" ht="15.75" customHeight="1" s="218"/>
    <row r="592" ht="15.75" customHeight="1" s="218"/>
    <row r="593" ht="15.75" customHeight="1" s="218"/>
    <row r="594" ht="15.75" customHeight="1" s="218"/>
    <row r="595" ht="15.75" customHeight="1" s="218"/>
    <row r="596" ht="15.75" customHeight="1" s="218"/>
    <row r="597" ht="15.75" customHeight="1" s="218"/>
    <row r="598" ht="15.75" customHeight="1" s="218"/>
    <row r="599" ht="15.75" customHeight="1" s="218"/>
    <row r="600" ht="15.75" customHeight="1" s="218"/>
    <row r="601" ht="15.75" customHeight="1" s="218"/>
    <row r="602" ht="15.75" customHeight="1" s="218"/>
    <row r="603" ht="15.75" customHeight="1" s="218"/>
    <row r="604" ht="15.75" customHeight="1" s="218"/>
    <row r="605" ht="15.75" customHeight="1" s="218"/>
    <row r="606" ht="15.75" customHeight="1" s="218"/>
    <row r="607" ht="15.75" customHeight="1" s="218"/>
    <row r="608" ht="15.75" customHeight="1" s="218"/>
    <row r="609" ht="15.75" customHeight="1" s="218"/>
    <row r="610" ht="15.75" customHeight="1" s="218"/>
    <row r="611" ht="15.75" customHeight="1" s="218"/>
    <row r="612" ht="15.75" customHeight="1" s="218"/>
    <row r="613" ht="15.75" customHeight="1" s="218"/>
    <row r="614" ht="15.75" customHeight="1" s="218"/>
    <row r="615" ht="15.75" customHeight="1" s="218"/>
    <row r="616" ht="15.75" customHeight="1" s="218"/>
    <row r="617" ht="15.75" customHeight="1" s="218"/>
    <row r="618" ht="15.75" customHeight="1" s="218"/>
    <row r="619" ht="15.75" customHeight="1" s="218"/>
    <row r="620" ht="15.75" customHeight="1" s="218"/>
    <row r="621" ht="15.75" customHeight="1" s="218"/>
    <row r="622" ht="15.75" customHeight="1" s="218"/>
    <row r="623" ht="15.75" customHeight="1" s="218"/>
    <row r="624" ht="15.75" customHeight="1" s="218"/>
    <row r="625" ht="15.75" customHeight="1" s="218"/>
    <row r="626" ht="15.75" customHeight="1" s="218"/>
    <row r="627" ht="15.75" customHeight="1" s="218"/>
    <row r="628" ht="15.75" customHeight="1" s="218"/>
    <row r="629" ht="15.75" customHeight="1" s="218"/>
    <row r="630" ht="15.75" customHeight="1" s="218"/>
    <row r="631" ht="15.75" customHeight="1" s="218"/>
    <row r="632" ht="15.75" customHeight="1" s="218"/>
    <row r="633" ht="15.75" customHeight="1" s="218"/>
    <row r="634" ht="15.75" customHeight="1" s="218"/>
    <row r="635" ht="15.75" customHeight="1" s="218"/>
    <row r="636" ht="15.75" customHeight="1" s="218"/>
    <row r="637" ht="15.75" customHeight="1" s="218"/>
    <row r="638" ht="15.75" customHeight="1" s="218"/>
    <row r="639" ht="15.75" customHeight="1" s="218"/>
    <row r="640" ht="15.75" customHeight="1" s="218"/>
    <row r="641" ht="15.75" customHeight="1" s="218"/>
    <row r="642" ht="15.75" customHeight="1" s="218"/>
    <row r="643" ht="15.75" customHeight="1" s="218"/>
    <row r="644" ht="15.75" customHeight="1" s="218"/>
    <row r="645" ht="15.75" customHeight="1" s="218"/>
    <row r="646" ht="15.75" customHeight="1" s="218"/>
    <row r="647" ht="15.75" customHeight="1" s="218"/>
    <row r="648" ht="15.75" customHeight="1" s="218"/>
    <row r="649" ht="15.75" customHeight="1" s="218"/>
    <row r="650" ht="15.75" customHeight="1" s="218"/>
    <row r="651" ht="15.75" customHeight="1" s="218"/>
    <row r="652" ht="15.75" customHeight="1" s="218"/>
    <row r="653" ht="15.75" customHeight="1" s="218"/>
    <row r="654" ht="15.75" customHeight="1" s="218"/>
    <row r="655" ht="15.75" customHeight="1" s="218"/>
    <row r="656" ht="15.75" customHeight="1" s="218"/>
    <row r="657" ht="15.75" customHeight="1" s="218"/>
    <row r="658" ht="15.75" customHeight="1" s="218"/>
    <row r="659" ht="15.75" customHeight="1" s="218"/>
    <row r="660" ht="15.75" customHeight="1" s="218"/>
    <row r="661" ht="15.75" customHeight="1" s="218"/>
    <row r="662" ht="15.75" customHeight="1" s="218"/>
    <row r="663" ht="15.75" customHeight="1" s="218"/>
    <row r="664" ht="15.75" customHeight="1" s="218"/>
    <row r="665" ht="15.75" customHeight="1" s="218"/>
    <row r="666" ht="15.75" customHeight="1" s="218"/>
    <row r="667" ht="15.75" customHeight="1" s="218"/>
    <row r="668" ht="15.75" customHeight="1" s="218"/>
    <row r="669" ht="15.75" customHeight="1" s="218"/>
    <row r="670" ht="15.75" customHeight="1" s="218"/>
    <row r="671" ht="15.75" customHeight="1" s="218"/>
    <row r="672" ht="15.75" customHeight="1" s="218"/>
    <row r="673" ht="15.75" customHeight="1" s="218"/>
    <row r="674" ht="15.75" customHeight="1" s="218"/>
    <row r="675" ht="15.75" customHeight="1" s="218"/>
    <row r="676" ht="15.75" customHeight="1" s="218"/>
    <row r="677" ht="15.75" customHeight="1" s="218"/>
    <row r="678" ht="15.75" customHeight="1" s="218"/>
    <row r="679" ht="15.75" customHeight="1" s="218"/>
    <row r="680" ht="15.75" customHeight="1" s="218"/>
    <row r="681" ht="15.75" customHeight="1" s="218"/>
    <row r="682" ht="15.75" customHeight="1" s="218"/>
    <row r="683" ht="15.75" customHeight="1" s="218"/>
    <row r="684" ht="15.75" customHeight="1" s="218"/>
    <row r="685" ht="15.75" customHeight="1" s="218"/>
    <row r="686" ht="15.75" customHeight="1" s="218"/>
    <row r="687" ht="15.75" customHeight="1" s="218"/>
    <row r="688" ht="15.75" customHeight="1" s="218"/>
    <row r="689" ht="15.75" customHeight="1" s="218"/>
    <row r="690" ht="15.75" customHeight="1" s="218"/>
    <row r="691" ht="15.75" customHeight="1" s="218"/>
    <row r="692" ht="15.75" customHeight="1" s="218"/>
    <row r="693" ht="15.75" customHeight="1" s="218"/>
    <row r="694" ht="15.75" customHeight="1" s="218"/>
    <row r="695" ht="15.75" customHeight="1" s="218"/>
    <row r="696" ht="15.75" customHeight="1" s="218"/>
    <row r="697" ht="15.75" customHeight="1" s="218"/>
    <row r="698" ht="15.75" customHeight="1" s="218"/>
    <row r="699" ht="15.75" customHeight="1" s="218"/>
    <row r="700" ht="15.75" customHeight="1" s="218"/>
    <row r="701" ht="15.75" customHeight="1" s="218"/>
    <row r="702" ht="15.75" customHeight="1" s="218"/>
    <row r="703" ht="15.75" customHeight="1" s="218"/>
    <row r="704" ht="15.75" customHeight="1" s="218"/>
    <row r="705" ht="15.75" customHeight="1" s="218"/>
    <row r="706" ht="15.75" customHeight="1" s="218"/>
    <row r="707" ht="15.75" customHeight="1" s="218"/>
    <row r="708" ht="15.75" customHeight="1" s="218"/>
    <row r="709" ht="15.75" customHeight="1" s="218"/>
    <row r="710" ht="15.75" customHeight="1" s="218"/>
    <row r="711" ht="15.75" customHeight="1" s="218"/>
    <row r="712" ht="15.75" customHeight="1" s="218"/>
    <row r="713" ht="15.75" customHeight="1" s="218"/>
    <row r="714" ht="15.75" customHeight="1" s="218"/>
    <row r="715" ht="15.75" customHeight="1" s="218"/>
    <row r="716" ht="15.75" customHeight="1" s="218"/>
    <row r="717" ht="15.75" customHeight="1" s="218"/>
    <row r="718" ht="15.75" customHeight="1" s="218"/>
    <row r="719" ht="15.75" customHeight="1" s="218"/>
    <row r="720" ht="15.75" customHeight="1" s="218"/>
    <row r="721" ht="15.75" customHeight="1" s="218"/>
    <row r="722" ht="15.75" customHeight="1" s="218"/>
    <row r="723" ht="15.75" customHeight="1" s="218"/>
    <row r="724" ht="15.75" customHeight="1" s="218"/>
    <row r="725" ht="15.75" customHeight="1" s="218"/>
    <row r="726" ht="15.75" customHeight="1" s="218"/>
    <row r="727" ht="15.75" customHeight="1" s="218"/>
    <row r="728" ht="15.75" customHeight="1" s="218"/>
    <row r="729" ht="15.75" customHeight="1" s="218"/>
    <row r="730" ht="15.75" customHeight="1" s="218"/>
    <row r="731" ht="15.75" customHeight="1" s="218"/>
    <row r="732" ht="15.75" customHeight="1" s="218"/>
    <row r="733" ht="15.75" customHeight="1" s="218"/>
    <row r="734" ht="15.75" customHeight="1" s="218"/>
    <row r="735" ht="15.75" customHeight="1" s="218"/>
    <row r="736" ht="15.75" customHeight="1" s="218"/>
    <row r="737" ht="15.75" customHeight="1" s="218"/>
    <row r="738" ht="15.75" customHeight="1" s="218"/>
    <row r="739" ht="15.75" customHeight="1" s="218"/>
    <row r="740" ht="15.75" customHeight="1" s="218"/>
    <row r="741" ht="15.75" customHeight="1" s="218"/>
    <row r="742" ht="15.75" customHeight="1" s="218"/>
    <row r="743" ht="15.75" customHeight="1" s="218"/>
    <row r="744" ht="15.75" customHeight="1" s="218"/>
    <row r="745" ht="15.75" customHeight="1" s="218"/>
    <row r="746" ht="15.75" customHeight="1" s="218"/>
    <row r="747" ht="15.75" customHeight="1" s="218"/>
    <row r="748" ht="15.75" customHeight="1" s="218"/>
    <row r="749" ht="15.75" customHeight="1" s="218"/>
    <row r="750" ht="15.75" customHeight="1" s="218"/>
    <row r="751" ht="15.75" customHeight="1" s="218"/>
    <row r="752" ht="15.75" customHeight="1" s="218"/>
    <row r="753" ht="15.75" customHeight="1" s="218"/>
    <row r="754" ht="15.75" customHeight="1" s="218"/>
    <row r="755" ht="15.75" customHeight="1" s="218"/>
    <row r="756" ht="15.75" customHeight="1" s="218"/>
    <row r="757" ht="15.75" customHeight="1" s="218"/>
    <row r="758" ht="15.75" customHeight="1" s="218"/>
    <row r="759" ht="15.75" customHeight="1" s="218"/>
    <row r="760" ht="15.75" customHeight="1" s="218"/>
    <row r="761" ht="15.75" customHeight="1" s="218"/>
    <row r="762" ht="15.75" customHeight="1" s="218"/>
    <row r="763" ht="15.75" customHeight="1" s="218"/>
    <row r="764" ht="15.75" customHeight="1" s="218"/>
    <row r="765" ht="15.75" customHeight="1" s="218"/>
    <row r="766" ht="15.75" customHeight="1" s="218"/>
    <row r="767" ht="15.75" customHeight="1" s="218"/>
    <row r="768" ht="15.75" customHeight="1" s="218"/>
    <row r="769" ht="15.75" customHeight="1" s="218"/>
    <row r="770" ht="15.75" customHeight="1" s="218"/>
    <row r="771" ht="15.75" customHeight="1" s="218"/>
    <row r="772" ht="15.75" customHeight="1" s="218"/>
    <row r="773" ht="15.75" customHeight="1" s="218"/>
    <row r="774" ht="15.75" customHeight="1" s="218"/>
    <row r="775" ht="15.75" customHeight="1" s="218"/>
    <row r="776" ht="15.75" customHeight="1" s="218"/>
    <row r="777" ht="15.75" customHeight="1" s="218"/>
    <row r="778" ht="15.75" customHeight="1" s="218"/>
    <row r="779" ht="15.75" customHeight="1" s="218"/>
    <row r="780" ht="15.75" customHeight="1" s="218"/>
    <row r="781" ht="15.75" customHeight="1" s="218"/>
    <row r="782" ht="15.75" customHeight="1" s="218"/>
    <row r="783" ht="15.75" customHeight="1" s="218"/>
    <row r="784" ht="15.75" customHeight="1" s="218"/>
    <row r="785" ht="15.75" customHeight="1" s="218"/>
    <row r="786" ht="15.75" customHeight="1" s="218"/>
    <row r="787" ht="15.75" customHeight="1" s="218"/>
    <row r="788" ht="15.75" customHeight="1" s="218"/>
    <row r="789" ht="15.75" customHeight="1" s="218"/>
    <row r="790" ht="15.75" customHeight="1" s="218"/>
    <row r="791" ht="15.75" customHeight="1" s="218"/>
    <row r="792" ht="15.75" customHeight="1" s="218"/>
    <row r="793" ht="15.75" customHeight="1" s="218"/>
    <row r="794" ht="15.75" customHeight="1" s="218"/>
    <row r="795" ht="15.75" customHeight="1" s="218"/>
    <row r="796" ht="15.75" customHeight="1" s="218"/>
    <row r="797" ht="15.75" customHeight="1" s="218"/>
    <row r="798" ht="15.75" customHeight="1" s="218"/>
    <row r="799" ht="15.75" customHeight="1" s="218"/>
    <row r="800" ht="15.75" customHeight="1" s="218"/>
    <row r="801" ht="15.75" customHeight="1" s="218"/>
    <row r="802" ht="15.75" customHeight="1" s="218"/>
    <row r="803" ht="15.75" customHeight="1" s="218"/>
    <row r="804" ht="15.75" customHeight="1" s="218"/>
    <row r="805" ht="15.75" customHeight="1" s="218"/>
    <row r="806" ht="15.75" customHeight="1" s="218"/>
    <row r="807" ht="15.75" customHeight="1" s="218"/>
    <row r="808" ht="15.75" customHeight="1" s="218"/>
    <row r="809" ht="15.75" customHeight="1" s="218"/>
    <row r="810" ht="15.75" customHeight="1" s="218"/>
    <row r="811" ht="15.75" customHeight="1" s="218"/>
    <row r="812" ht="15.75" customHeight="1" s="218"/>
    <row r="813" ht="15.75" customHeight="1" s="218"/>
    <row r="814" ht="15.75" customHeight="1" s="218"/>
    <row r="815" ht="15.75" customHeight="1" s="218"/>
    <row r="816" ht="15.75" customHeight="1" s="218"/>
    <row r="817" ht="15.75" customHeight="1" s="218"/>
    <row r="818" ht="15.75" customHeight="1" s="218"/>
    <row r="819" ht="15.75" customHeight="1" s="218"/>
    <row r="820" ht="15.75" customHeight="1" s="218"/>
    <row r="821" ht="15.75" customHeight="1" s="218"/>
    <row r="822" ht="15.75" customHeight="1" s="218"/>
    <row r="823" ht="15.75" customHeight="1" s="218"/>
    <row r="824" ht="15.75" customHeight="1" s="218"/>
    <row r="825" ht="15.75" customHeight="1" s="218"/>
    <row r="826" ht="15.75" customHeight="1" s="218"/>
    <row r="827" ht="15.75" customHeight="1" s="218"/>
    <row r="828" ht="15.75" customHeight="1" s="218"/>
    <row r="829" ht="15.75" customHeight="1" s="218"/>
    <row r="830" ht="15.75" customHeight="1" s="218"/>
    <row r="831" ht="15.75" customHeight="1" s="218"/>
    <row r="832" ht="15.75" customHeight="1" s="218"/>
    <row r="833" ht="15.75" customHeight="1" s="218"/>
    <row r="834" ht="15.75" customHeight="1" s="218"/>
    <row r="835" ht="15.75" customHeight="1" s="218"/>
    <row r="836" ht="15.75" customHeight="1" s="218"/>
    <row r="837" ht="15.75" customHeight="1" s="218"/>
    <row r="838" ht="15.75" customHeight="1" s="218"/>
    <row r="839" ht="15.75" customHeight="1" s="218"/>
    <row r="840" ht="15.75" customHeight="1" s="218"/>
    <row r="841" ht="15.75" customHeight="1" s="218"/>
    <row r="842" ht="15.75" customHeight="1" s="218"/>
    <row r="843" ht="15.75" customHeight="1" s="218"/>
    <row r="844" ht="15.75" customHeight="1" s="218"/>
    <row r="845" ht="15.75" customHeight="1" s="218"/>
    <row r="846" ht="15.75" customHeight="1" s="218"/>
    <row r="847" ht="15.75" customHeight="1" s="218"/>
    <row r="848" ht="15.75" customHeight="1" s="218"/>
    <row r="849" ht="15.75" customHeight="1" s="218"/>
    <row r="850" ht="15.75" customHeight="1" s="218"/>
    <row r="851" ht="15.75" customHeight="1" s="218"/>
    <row r="852" ht="15.75" customHeight="1" s="218"/>
    <row r="853" ht="15.75" customHeight="1" s="218"/>
    <row r="854" ht="15.75" customHeight="1" s="218"/>
    <row r="855" ht="15.75" customHeight="1" s="218"/>
    <row r="856" ht="15.75" customHeight="1" s="218"/>
    <row r="857" ht="15.75" customHeight="1" s="218"/>
    <row r="858" ht="15.75" customHeight="1" s="218"/>
    <row r="859" ht="15.75" customHeight="1" s="218"/>
    <row r="860" ht="15.75" customHeight="1" s="218"/>
    <row r="861" ht="15.75" customHeight="1" s="218"/>
    <row r="862" ht="15.75" customHeight="1" s="218"/>
    <row r="863" ht="15.75" customHeight="1" s="218"/>
    <row r="864" ht="15.75" customHeight="1" s="218"/>
    <row r="865" ht="15.75" customHeight="1" s="218"/>
    <row r="866" ht="15.75" customHeight="1" s="218"/>
    <row r="867" ht="15.75" customHeight="1" s="218"/>
    <row r="868" ht="15.75" customHeight="1" s="218"/>
    <row r="869" ht="15.75" customHeight="1" s="218"/>
    <row r="870" ht="15.75" customHeight="1" s="218"/>
    <row r="871" ht="15.75" customHeight="1" s="218"/>
    <row r="872" ht="15.75" customHeight="1" s="218"/>
    <row r="873" ht="15.75" customHeight="1" s="218"/>
    <row r="874" ht="15.75" customHeight="1" s="218"/>
    <row r="875" ht="15.75" customHeight="1" s="218"/>
    <row r="876" ht="15.75" customHeight="1" s="218"/>
    <row r="877" ht="15.75" customHeight="1" s="218"/>
    <row r="878" ht="15.75" customHeight="1" s="218"/>
    <row r="879" ht="15.75" customHeight="1" s="218"/>
    <row r="880" ht="15.75" customHeight="1" s="218"/>
    <row r="881" ht="15.75" customHeight="1" s="218"/>
    <row r="882" ht="15.75" customHeight="1" s="218"/>
    <row r="883" ht="15.75" customHeight="1" s="218"/>
    <row r="884" ht="15.75" customHeight="1" s="218"/>
    <row r="885" ht="15.75" customHeight="1" s="218"/>
    <row r="886" ht="15.75" customHeight="1" s="218"/>
    <row r="887" ht="15.75" customHeight="1" s="218"/>
    <row r="888" ht="15.75" customHeight="1" s="218"/>
    <row r="889" ht="15.75" customHeight="1" s="218"/>
    <row r="890" ht="15.75" customHeight="1" s="218"/>
    <row r="891" ht="15.75" customHeight="1" s="218"/>
    <row r="892" ht="15.75" customHeight="1" s="218"/>
    <row r="893" ht="15.75" customHeight="1" s="218"/>
    <row r="894" ht="15.75" customHeight="1" s="218"/>
    <row r="895" ht="15.75" customHeight="1" s="218"/>
    <row r="896" ht="15.75" customHeight="1" s="218"/>
    <row r="897" ht="15.75" customHeight="1" s="218"/>
    <row r="898" ht="15.75" customHeight="1" s="218"/>
    <row r="899" ht="15.75" customHeight="1" s="218"/>
    <row r="900" ht="15.75" customHeight="1" s="218"/>
    <row r="901" ht="15.75" customHeight="1" s="218"/>
    <row r="902" ht="15.75" customHeight="1" s="218"/>
    <row r="903" ht="15.75" customHeight="1" s="218"/>
    <row r="904" ht="15.75" customHeight="1" s="218"/>
    <row r="905" ht="15.75" customHeight="1" s="218"/>
    <row r="906" ht="15.75" customHeight="1" s="218"/>
    <row r="907" ht="15.75" customHeight="1" s="218"/>
    <row r="908" ht="15.75" customHeight="1" s="218"/>
    <row r="909" ht="15.75" customHeight="1" s="218"/>
    <row r="910" ht="15.75" customHeight="1" s="218"/>
    <row r="911" ht="15.75" customHeight="1" s="218"/>
    <row r="912" ht="15.75" customHeight="1" s="218"/>
    <row r="913" ht="15.75" customHeight="1" s="218"/>
    <row r="914" ht="15.75" customHeight="1" s="218"/>
    <row r="915" ht="15.75" customHeight="1" s="218"/>
    <row r="916" ht="15.75" customHeight="1" s="218"/>
    <row r="917" ht="15.75" customHeight="1" s="218"/>
    <row r="918" ht="15.75" customHeight="1" s="218"/>
    <row r="919" ht="15.75" customHeight="1" s="218"/>
    <row r="920" ht="15.75" customHeight="1" s="218"/>
    <row r="921" ht="15.75" customHeight="1" s="218"/>
    <row r="922" ht="15.75" customHeight="1" s="218"/>
    <row r="923" ht="15.75" customHeight="1" s="218"/>
    <row r="924" ht="15.75" customHeight="1" s="218"/>
    <row r="925" ht="15.75" customHeight="1" s="218"/>
    <row r="926" ht="15.75" customHeight="1" s="218"/>
    <row r="927" ht="15.75" customHeight="1" s="218"/>
    <row r="928" ht="15.75" customHeight="1" s="218"/>
    <row r="929" ht="15.75" customHeight="1" s="218"/>
    <row r="930" ht="15.75" customHeight="1" s="218"/>
    <row r="931" ht="15.75" customHeight="1" s="218"/>
    <row r="932" ht="15.75" customHeight="1" s="218"/>
    <row r="933" ht="15.75" customHeight="1" s="218"/>
    <row r="934" ht="15.75" customHeight="1" s="218"/>
    <row r="935" ht="15.75" customHeight="1" s="218"/>
    <row r="936" ht="15.75" customHeight="1" s="218"/>
    <row r="937" ht="15.75" customHeight="1" s="218"/>
    <row r="938" ht="15.75" customHeight="1" s="218"/>
    <row r="939" ht="15.75" customHeight="1" s="218"/>
    <row r="940" ht="15.75" customHeight="1" s="218"/>
    <row r="941" ht="15.75" customHeight="1" s="218"/>
    <row r="942" ht="15.75" customHeight="1" s="218"/>
    <row r="943" ht="15.75" customHeight="1" s="218"/>
    <row r="944" ht="15.75" customHeight="1" s="218"/>
    <row r="945" ht="15.75" customHeight="1" s="218"/>
    <row r="946" ht="15.75" customHeight="1" s="218"/>
    <row r="947" ht="15.75" customHeight="1" s="218"/>
    <row r="948" ht="15.75" customHeight="1" s="218"/>
    <row r="949" ht="15.75" customHeight="1" s="218"/>
    <row r="950" ht="15.75" customHeight="1" s="218"/>
    <row r="951" ht="15.75" customHeight="1" s="218"/>
    <row r="952" ht="15.75" customHeight="1" s="218"/>
    <row r="953" ht="15.75" customHeight="1" s="218"/>
    <row r="954" ht="15.75" customHeight="1" s="218"/>
    <row r="955" ht="15.75" customHeight="1" s="218"/>
    <row r="956" ht="15.75" customHeight="1" s="218"/>
    <row r="957" ht="15.75" customHeight="1" s="218"/>
    <row r="958" ht="15.75" customHeight="1" s="218"/>
    <row r="959" ht="15.75" customHeight="1" s="218"/>
    <row r="960" ht="15.75" customHeight="1" s="218"/>
    <row r="961" ht="15.75" customHeight="1" s="218"/>
    <row r="962" ht="15.75" customHeight="1" s="218"/>
    <row r="963" ht="15.75" customHeight="1" s="218"/>
    <row r="964" ht="15.75" customHeight="1" s="218"/>
    <row r="965" ht="15.75" customHeight="1" s="218"/>
    <row r="966" ht="15.75" customHeight="1" s="218"/>
    <row r="967" ht="15.75" customHeight="1" s="218"/>
    <row r="968" ht="15.75" customHeight="1" s="218"/>
    <row r="969" ht="15.75" customHeight="1" s="218"/>
    <row r="970" ht="15.75" customHeight="1" s="218"/>
    <row r="971" ht="15.75" customHeight="1" s="218"/>
    <row r="972" ht="15.75" customHeight="1" s="218"/>
    <row r="973" ht="15.75" customHeight="1" s="218"/>
    <row r="974" ht="15.75" customHeight="1" s="218"/>
    <row r="975" ht="15.75" customHeight="1" s="218"/>
    <row r="976" ht="15.75" customHeight="1" s="218"/>
    <row r="977" ht="15.75" customHeight="1" s="218"/>
    <row r="978" ht="15.75" customHeight="1" s="218"/>
    <row r="979" ht="15.75" customHeight="1" s="218"/>
    <row r="980" ht="15.75" customHeight="1" s="218"/>
    <row r="981" ht="15.75" customHeight="1" s="218"/>
    <row r="982" ht="15.75" customHeight="1" s="218"/>
    <row r="983" ht="15.75" customHeight="1" s="218"/>
    <row r="984" ht="15.75" customHeight="1" s="218"/>
    <row r="985" ht="15.75" customHeight="1" s="218"/>
    <row r="986" ht="15.75" customHeight="1" s="218"/>
    <row r="987" ht="15.75" customHeight="1" s="218"/>
    <row r="988" ht="15.75" customHeight="1" s="218"/>
    <row r="989" ht="15.75" customHeight="1" s="218"/>
    <row r="990" ht="15.75" customHeight="1" s="218"/>
    <row r="991" ht="15.75" customHeight="1" s="218"/>
    <row r="992" ht="15.75" customHeight="1" s="218"/>
    <row r="993" ht="15.75" customHeight="1" s="218"/>
    <row r="994" ht="15.75" customHeight="1" s="218"/>
    <row r="995" ht="15.75" customHeight="1" s="218"/>
    <row r="996" ht="15.75" customHeight="1" s="218"/>
    <row r="997" ht="15.75" customHeight="1" s="218"/>
    <row r="998" ht="15.75" customHeight="1" s="218"/>
    <row r="999" ht="15.75" customHeight="1" s="218"/>
    <row r="1000" ht="15.75" customHeight="1" s="218"/>
  </sheetData>
  <mergeCells count="9">
    <mergeCell ref="BB4:BM4"/>
    <mergeCell ref="A12:BN12"/>
    <mergeCell ref="A26:BN26"/>
    <mergeCell ref="A2:BN2"/>
    <mergeCell ref="AO4:AZ4"/>
    <mergeCell ref="A1:BN1"/>
    <mergeCell ref="A17:BN17"/>
    <mergeCell ref="A18:BN18"/>
    <mergeCell ref="A6:BN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tabColor rgb="FFC00000"/>
    <outlinePr summaryBelow="1" summaryRight="1"/>
    <pageSetUpPr fitToPage="0"/>
  </sheetPr>
  <dimension ref="A1:B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B6" activeCellId="0" sqref="B6"/>
    </sheetView>
  </sheetViews>
  <sheetFormatPr baseColWidth="8" defaultColWidth="14.43359375" defaultRowHeight="15" customHeight="1" zeroHeight="0" outlineLevelRow="0"/>
  <cols>
    <col width="34" customWidth="1" style="217" min="1" max="1"/>
    <col width="9.57" customWidth="1" style="217" min="2" max="13"/>
    <col width="11" customWidth="1" style="217" min="14" max="14"/>
    <col width="9.57" customWidth="1" style="217" min="15" max="26"/>
    <col width="11" customWidth="1" style="217" min="27" max="27"/>
    <col width="9.57" customWidth="1" style="217" min="28" max="39"/>
    <col width="11" customWidth="1" style="217" min="40" max="40"/>
    <col width="9.57" customWidth="1" style="217" min="41" max="41"/>
    <col width="13" customWidth="1" style="217" min="42" max="52"/>
    <col width="11" customWidth="1" style="217" min="53" max="53"/>
    <col width="9.57" customWidth="1" style="217" min="54" max="54"/>
    <col width="13" customWidth="1" style="217" min="55" max="65"/>
    <col width="11" customWidth="1" style="217" min="66" max="66"/>
  </cols>
  <sheetData>
    <row r="1" ht="39.75" customHeight="1" s="218">
      <c r="A1" s="264" t="inlineStr">
        <is>
          <t>CASH FLOW STATEMENT</t>
        </is>
      </c>
    </row>
    <row r="2" ht="18" customHeight="1" s="218">
      <c r="A2" s="265" t="inlineStr">
        <is>
          <t>Monthly cash in / out. Opening balance from prior month. Yellow = your inputs (CAPEX). Everything else auto-calculated.</t>
        </is>
      </c>
    </row>
    <row r="3" ht="18" customHeight="1" s="218">
      <c r="A3" s="221" t="n"/>
      <c r="B3" s="221" t="n"/>
      <c r="C3" s="221" t="n"/>
      <c r="D3" s="221" t="n"/>
      <c r="E3" s="221" t="n"/>
      <c r="F3" s="221" t="n"/>
      <c r="G3" s="221" t="n"/>
      <c r="H3" s="221" t="n"/>
      <c r="I3" s="221" t="n"/>
      <c r="J3" s="221" t="n"/>
      <c r="K3" s="221" t="n"/>
      <c r="L3" s="221" t="n"/>
      <c r="M3" s="221" t="n"/>
      <c r="N3" s="221" t="n"/>
      <c r="O3" s="221" t="n"/>
      <c r="P3" s="221" t="n"/>
      <c r="Q3" s="221" t="n"/>
      <c r="R3" s="221" t="n"/>
      <c r="S3" s="221" t="n"/>
      <c r="T3" s="221" t="n"/>
      <c r="U3" s="221" t="n"/>
      <c r="V3" s="221" t="n"/>
      <c r="W3" s="221" t="n"/>
      <c r="X3" s="221" t="n"/>
      <c r="Y3" s="221" t="n"/>
      <c r="Z3" s="221" t="n"/>
      <c r="AA3" s="221" t="n"/>
      <c r="AB3" s="221" t="n"/>
      <c r="AC3" s="221" t="n"/>
      <c r="AD3" s="221" t="n"/>
      <c r="AE3" s="221" t="n"/>
      <c r="AF3" s="221" t="n"/>
      <c r="AG3" s="221" t="n"/>
      <c r="AH3" s="221" t="n"/>
      <c r="AI3" s="221" t="n"/>
      <c r="AJ3" s="221" t="n"/>
      <c r="AK3" s="221" t="n"/>
      <c r="AL3" s="221" t="n"/>
      <c r="AM3" s="221" t="n"/>
      <c r="AN3" s="221" t="n"/>
    </row>
    <row r="4" ht="18" customHeight="1" s="218">
      <c r="A4" s="266" t="n"/>
      <c r="B4" s="233" t="inlineStr">
        <is>
          <t xml:space="preserve">  YEAR 1</t>
        </is>
      </c>
      <c r="N4" s="267" t="inlineStr">
        <is>
          <t>Y1</t>
        </is>
      </c>
      <c r="O4" s="268" t="inlineStr">
        <is>
          <t xml:space="preserve">  YEAR 2</t>
        </is>
      </c>
      <c r="AA4" s="269" t="inlineStr">
        <is>
          <t>Y2</t>
        </is>
      </c>
      <c r="AB4" s="270" t="inlineStr">
        <is>
          <t xml:space="preserve">  YEAR 3</t>
        </is>
      </c>
      <c r="AN4" s="271" t="inlineStr">
        <is>
          <t>Y3</t>
        </is>
      </c>
      <c r="AO4" s="272" t="inlineStr">
        <is>
          <t xml:space="preserve">  YEAR 4</t>
        </is>
      </c>
      <c r="BA4" s="273" t="inlineStr">
        <is>
          <t>Y4</t>
        </is>
      </c>
      <c r="BB4" s="272" t="inlineStr">
        <is>
          <t xml:space="preserve">  YEAR 5</t>
        </is>
      </c>
      <c r="BN4" s="273" t="inlineStr">
        <is>
          <t>Y5</t>
        </is>
      </c>
    </row>
    <row r="5" ht="21.75" customHeight="1" s="218">
      <c r="A5" s="266" t="n"/>
      <c r="B5" s="274" t="inlineStr">
        <is>
          <t>Jan</t>
        </is>
      </c>
      <c r="C5" s="274" t="inlineStr">
        <is>
          <t>Feb</t>
        </is>
      </c>
      <c r="D5" s="274" t="inlineStr">
        <is>
          <t>Mar</t>
        </is>
      </c>
      <c r="E5" s="274" t="inlineStr">
        <is>
          <t>Apr</t>
        </is>
      </c>
      <c r="F5" s="274" t="inlineStr">
        <is>
          <t>May</t>
        </is>
      </c>
      <c r="G5" s="274" t="inlineStr">
        <is>
          <t>Jun</t>
        </is>
      </c>
      <c r="H5" s="274" t="inlineStr">
        <is>
          <t>Jul</t>
        </is>
      </c>
      <c r="I5" s="274" t="inlineStr">
        <is>
          <t>Aug</t>
        </is>
      </c>
      <c r="J5" s="274" t="inlineStr">
        <is>
          <t>Sep</t>
        </is>
      </c>
      <c r="K5" s="274" t="inlineStr">
        <is>
          <t>Oct</t>
        </is>
      </c>
      <c r="L5" s="274" t="inlineStr">
        <is>
          <t>Nov</t>
        </is>
      </c>
      <c r="M5" s="274" t="inlineStr">
        <is>
          <t>Dec</t>
        </is>
      </c>
      <c r="N5" s="274" t="inlineStr">
        <is>
          <t>Y1 Total</t>
        </is>
      </c>
      <c r="O5" s="258" t="inlineStr">
        <is>
          <t>Jan</t>
        </is>
      </c>
      <c r="P5" s="258" t="inlineStr">
        <is>
          <t>Feb</t>
        </is>
      </c>
      <c r="Q5" s="258" t="inlineStr">
        <is>
          <t>Mar</t>
        </is>
      </c>
      <c r="R5" s="258" t="inlineStr">
        <is>
          <t>Apr</t>
        </is>
      </c>
      <c r="S5" s="258" t="inlineStr">
        <is>
          <t>May</t>
        </is>
      </c>
      <c r="T5" s="258" t="inlineStr">
        <is>
          <t>Jun</t>
        </is>
      </c>
      <c r="U5" s="258" t="inlineStr">
        <is>
          <t>Jul</t>
        </is>
      </c>
      <c r="V5" s="258" t="inlineStr">
        <is>
          <t>Aug</t>
        </is>
      </c>
      <c r="W5" s="258" t="inlineStr">
        <is>
          <t>Sep</t>
        </is>
      </c>
      <c r="X5" s="258" t="inlineStr">
        <is>
          <t>Oct</t>
        </is>
      </c>
      <c r="Y5" s="258" t="inlineStr">
        <is>
          <t>Nov</t>
        </is>
      </c>
      <c r="Z5" s="258" t="inlineStr">
        <is>
          <t>Dec</t>
        </is>
      </c>
      <c r="AA5" s="258" t="inlineStr">
        <is>
          <t>Y2 Total</t>
        </is>
      </c>
      <c r="AB5" s="275" t="inlineStr">
        <is>
          <t>Jan</t>
        </is>
      </c>
      <c r="AC5" s="275" t="inlineStr">
        <is>
          <t>Feb</t>
        </is>
      </c>
      <c r="AD5" s="275" t="inlineStr">
        <is>
          <t>Mar</t>
        </is>
      </c>
      <c r="AE5" s="275" t="inlineStr">
        <is>
          <t>Apr</t>
        </is>
      </c>
      <c r="AF5" s="275" t="inlineStr">
        <is>
          <t>May</t>
        </is>
      </c>
      <c r="AG5" s="275" t="inlineStr">
        <is>
          <t>Jun</t>
        </is>
      </c>
      <c r="AH5" s="275" t="inlineStr">
        <is>
          <t>Jul</t>
        </is>
      </c>
      <c r="AI5" s="275" t="inlineStr">
        <is>
          <t>Aug</t>
        </is>
      </c>
      <c r="AJ5" s="275" t="inlineStr">
        <is>
          <t>Sep</t>
        </is>
      </c>
      <c r="AK5" s="275" t="inlineStr">
        <is>
          <t>Oct</t>
        </is>
      </c>
      <c r="AL5" s="275" t="inlineStr">
        <is>
          <t>Nov</t>
        </is>
      </c>
      <c r="AM5" s="275" t="inlineStr">
        <is>
          <t>Dec</t>
        </is>
      </c>
      <c r="AN5" s="275" t="inlineStr">
        <is>
          <t>Y3 Total</t>
        </is>
      </c>
      <c r="AO5" s="275" t="inlineStr">
        <is>
          <t>Jan</t>
        </is>
      </c>
      <c r="AP5" s="275" t="inlineStr">
        <is>
          <t>Feb</t>
        </is>
      </c>
      <c r="AQ5" s="275" t="inlineStr">
        <is>
          <t>Mar</t>
        </is>
      </c>
      <c r="AR5" s="275" t="inlineStr">
        <is>
          <t>Apr</t>
        </is>
      </c>
      <c r="AS5" s="275" t="inlineStr">
        <is>
          <t>May</t>
        </is>
      </c>
      <c r="AT5" s="275" t="inlineStr">
        <is>
          <t>Jun</t>
        </is>
      </c>
      <c r="AU5" s="275" t="inlineStr">
        <is>
          <t>Jul</t>
        </is>
      </c>
      <c r="AV5" s="275" t="inlineStr">
        <is>
          <t>Aug</t>
        </is>
      </c>
      <c r="AW5" s="275" t="inlineStr">
        <is>
          <t>Sep</t>
        </is>
      </c>
      <c r="AX5" s="275" t="inlineStr">
        <is>
          <t>Oct</t>
        </is>
      </c>
      <c r="AY5" s="275" t="inlineStr">
        <is>
          <t>Nov</t>
        </is>
      </c>
      <c r="AZ5" s="275" t="inlineStr">
        <is>
          <t>Dec</t>
        </is>
      </c>
      <c r="BA5" s="275" t="inlineStr">
        <is>
          <t>Y4 Total</t>
        </is>
      </c>
      <c r="BB5" s="275" t="inlineStr">
        <is>
          <t>Jan</t>
        </is>
      </c>
      <c r="BC5" s="275" t="inlineStr">
        <is>
          <t>Feb</t>
        </is>
      </c>
      <c r="BD5" s="275" t="inlineStr">
        <is>
          <t>Mar</t>
        </is>
      </c>
      <c r="BE5" s="275" t="inlineStr">
        <is>
          <t>Apr</t>
        </is>
      </c>
      <c r="BF5" s="275" t="inlineStr">
        <is>
          <t>May</t>
        </is>
      </c>
      <c r="BG5" s="275" t="inlineStr">
        <is>
          <t>Jun</t>
        </is>
      </c>
      <c r="BH5" s="275" t="inlineStr">
        <is>
          <t>Jul</t>
        </is>
      </c>
      <c r="BI5" s="275" t="inlineStr">
        <is>
          <t>Aug</t>
        </is>
      </c>
      <c r="BJ5" s="275" t="inlineStr">
        <is>
          <t>Sep</t>
        </is>
      </c>
      <c r="BK5" s="275" t="inlineStr">
        <is>
          <t>Oct</t>
        </is>
      </c>
      <c r="BL5" s="275" t="inlineStr">
        <is>
          <t>Nov</t>
        </is>
      </c>
      <c r="BM5" s="275" t="inlineStr">
        <is>
          <t>Dec</t>
        </is>
      </c>
      <c r="BN5" s="275" t="inlineStr">
        <is>
          <t>Y5 Total</t>
        </is>
      </c>
    </row>
    <row r="6" ht="18" customHeight="1" s="218">
      <c r="A6" s="332" t="inlineStr">
        <is>
          <t>OPENING CASH BALANCE</t>
        </is>
      </c>
    </row>
    <row r="7" ht="18" customHeight="1" s="218">
      <c r="A7" s="324" t="inlineStr">
        <is>
          <t>Opening Cash Balance (£)</t>
        </is>
      </c>
      <c r="B7" s="322">
        <f>ASSUMPTIONS!$B$79</f>
        <v/>
      </c>
      <c r="C7" s="322">
        <f>IFERROR(B25,0)</f>
        <v/>
      </c>
      <c r="D7" s="322">
        <f>IFERROR(C25,0)</f>
        <v/>
      </c>
      <c r="E7" s="322">
        <f>IFERROR(D25,0)</f>
        <v/>
      </c>
      <c r="F7" s="322">
        <f>IFERROR(E25,0)</f>
        <v/>
      </c>
      <c r="G7" s="322">
        <f>IFERROR(F25,0)</f>
        <v/>
      </c>
      <c r="H7" s="322">
        <f>IFERROR(G25,0)</f>
        <v/>
      </c>
      <c r="I7" s="322">
        <f>IFERROR(H25,0)</f>
        <v/>
      </c>
      <c r="J7" s="322">
        <f>IFERROR(I25,0)</f>
        <v/>
      </c>
      <c r="K7" s="322">
        <f>IFERROR(J25,0)</f>
        <v/>
      </c>
      <c r="L7" s="322">
        <f>IFERROR(K25,0)</f>
        <v/>
      </c>
      <c r="M7" s="322">
        <f>IFERROR(L25,0)</f>
        <v/>
      </c>
      <c r="N7" s="326">
        <f>M7</f>
        <v/>
      </c>
      <c r="O7" s="322">
        <f>IFERROR(M25,0)</f>
        <v/>
      </c>
      <c r="P7" s="322">
        <f>IFERROR(O25,0)</f>
        <v/>
      </c>
      <c r="Q7" s="322">
        <f>IFERROR(P25,0)</f>
        <v/>
      </c>
      <c r="R7" s="322">
        <f>IFERROR(Q25,0)</f>
        <v/>
      </c>
      <c r="S7" s="322">
        <f>IFERROR(R25,0)</f>
        <v/>
      </c>
      <c r="T7" s="322">
        <f>IFERROR(S25,0)</f>
        <v/>
      </c>
      <c r="U7" s="322">
        <f>IFERROR(T25,0)</f>
        <v/>
      </c>
      <c r="V7" s="322">
        <f>IFERROR(U25,0)</f>
        <v/>
      </c>
      <c r="W7" s="322">
        <f>IFERROR(V25,0)</f>
        <v/>
      </c>
      <c r="X7" s="322">
        <f>IFERROR(W25,0)</f>
        <v/>
      </c>
      <c r="Y7" s="322">
        <f>IFERROR(X25,0)</f>
        <v/>
      </c>
      <c r="Z7" s="322">
        <f>IFERROR(Y25,0)</f>
        <v/>
      </c>
      <c r="AA7" s="326">
        <f>Z7</f>
        <v/>
      </c>
      <c r="AB7" s="322">
        <f>IFERROR(Z25,0)</f>
        <v/>
      </c>
      <c r="AC7" s="322">
        <f>IFERROR(AB25,0)</f>
        <v/>
      </c>
      <c r="AD7" s="322">
        <f>IFERROR(AC25,0)</f>
        <v/>
      </c>
      <c r="AE7" s="322">
        <f>IFERROR(AD25,0)</f>
        <v/>
      </c>
      <c r="AF7" s="322">
        <f>IFERROR(AE25,0)</f>
        <v/>
      </c>
      <c r="AG7" s="322">
        <f>IFERROR(AF25,0)</f>
        <v/>
      </c>
      <c r="AH7" s="322">
        <f>IFERROR(AG25,0)</f>
        <v/>
      </c>
      <c r="AI7" s="322">
        <f>IFERROR(AH25,0)</f>
        <v/>
      </c>
      <c r="AJ7" s="322">
        <f>IFERROR(AI25,0)</f>
        <v/>
      </c>
      <c r="AK7" s="322">
        <f>IFERROR(AJ25,0)</f>
        <v/>
      </c>
      <c r="AL7" s="322">
        <f>IFERROR(AK25,0)</f>
        <v/>
      </c>
      <c r="AM7" s="322">
        <f>IFERROR(AL25,0)</f>
        <v/>
      </c>
      <c r="AN7" s="326">
        <f>AM7</f>
        <v/>
      </c>
      <c r="AO7" s="322">
        <f>IFERROR(AM25,0)</f>
        <v/>
      </c>
      <c r="AP7" s="322">
        <f>IFERROR(AO25,0)</f>
        <v/>
      </c>
      <c r="AQ7" s="322">
        <f>IFERROR(AP25,0)</f>
        <v/>
      </c>
      <c r="AR7" s="322">
        <f>IFERROR(AQ25,0)</f>
        <v/>
      </c>
      <c r="AS7" s="322">
        <f>IFERROR(AR25,0)</f>
        <v/>
      </c>
      <c r="AT7" s="322">
        <f>IFERROR(AS25,0)</f>
        <v/>
      </c>
      <c r="AU7" s="322">
        <f>IFERROR(AT25,0)</f>
        <v/>
      </c>
      <c r="AV7" s="322">
        <f>IFERROR(AU25,0)</f>
        <v/>
      </c>
      <c r="AW7" s="322">
        <f>IFERROR(AV25,0)</f>
        <v/>
      </c>
      <c r="AX7" s="322">
        <f>IFERROR(AW25,0)</f>
        <v/>
      </c>
      <c r="AY7" s="322">
        <f>IFERROR(AX25,0)</f>
        <v/>
      </c>
      <c r="AZ7" s="322">
        <f>IFERROR(AY25,0)</f>
        <v/>
      </c>
      <c r="BA7" s="290">
        <f>AZ7</f>
        <v/>
      </c>
      <c r="BB7" s="322">
        <f>IFERROR(AZ25,0)</f>
        <v/>
      </c>
      <c r="BC7" s="322">
        <f>IFERROR(BB25,0)</f>
        <v/>
      </c>
      <c r="BD7" s="322">
        <f>IFERROR(BC25,0)</f>
        <v/>
      </c>
      <c r="BE7" s="322">
        <f>IFERROR(BD25,0)</f>
        <v/>
      </c>
      <c r="BF7" s="322">
        <f>IFERROR(BE25,0)</f>
        <v/>
      </c>
      <c r="BG7" s="322">
        <f>IFERROR(BF25,0)</f>
        <v/>
      </c>
      <c r="BH7" s="322">
        <f>IFERROR(BG25,0)</f>
        <v/>
      </c>
      <c r="BI7" s="322">
        <f>IFERROR(BH25,0)</f>
        <v/>
      </c>
      <c r="BJ7" s="322">
        <f>IFERROR(BI25,0)</f>
        <v/>
      </c>
      <c r="BK7" s="322">
        <f>IFERROR(BJ25,0)</f>
        <v/>
      </c>
      <c r="BL7" s="322">
        <f>IFERROR(BK25,0)</f>
        <v/>
      </c>
      <c r="BM7" s="322">
        <f>IFERROR(BL25,0)</f>
        <v/>
      </c>
      <c r="BN7" s="290">
        <f>BM7</f>
        <v/>
      </c>
    </row>
    <row r="8" ht="6" customHeight="1" s="218">
      <c r="A8" s="221" t="n"/>
      <c r="B8" s="221" t="n"/>
      <c r="C8" s="221" t="n"/>
      <c r="D8" s="221" t="n"/>
      <c r="E8" s="221" t="n"/>
      <c r="F8" s="221" t="n"/>
      <c r="G8" s="221" t="n"/>
      <c r="H8" s="221" t="n"/>
      <c r="I8" s="221" t="n"/>
      <c r="J8" s="221" t="n"/>
      <c r="K8" s="221" t="n"/>
      <c r="L8" s="221" t="n"/>
      <c r="M8" s="221" t="n"/>
      <c r="N8" s="221" t="n"/>
      <c r="O8" s="221" t="n"/>
      <c r="P8" s="221" t="n"/>
      <c r="Q8" s="221" t="n"/>
      <c r="R8" s="221" t="n"/>
      <c r="S8" s="221" t="n"/>
      <c r="T8" s="221" t="n"/>
      <c r="U8" s="221" t="n"/>
      <c r="V8" s="221" t="n"/>
      <c r="W8" s="221" t="n"/>
      <c r="X8" s="221" t="n"/>
      <c r="Y8" s="221" t="n"/>
      <c r="Z8" s="221" t="n"/>
      <c r="AA8" s="221" t="n"/>
      <c r="AB8" s="221" t="n"/>
      <c r="AC8" s="221" t="n"/>
      <c r="AD8" s="221" t="n"/>
      <c r="AE8" s="221" t="n"/>
      <c r="AF8" s="221" t="n"/>
      <c r="AG8" s="221" t="n"/>
      <c r="AH8" s="221" t="n"/>
      <c r="AI8" s="221" t="n"/>
      <c r="AJ8" s="221" t="n"/>
      <c r="AK8" s="221" t="n"/>
      <c r="AL8" s="221" t="n"/>
      <c r="AM8" s="221" t="n"/>
      <c r="AN8" s="221" t="n"/>
      <c r="AO8" s="221" t="n"/>
      <c r="AP8" s="221" t="n"/>
      <c r="AQ8" s="221" t="n"/>
      <c r="AR8" s="221" t="n"/>
      <c r="AS8" s="221" t="n"/>
      <c r="AT8" s="221" t="n"/>
      <c r="AU8" s="221" t="n"/>
      <c r="AV8" s="221" t="n"/>
      <c r="AW8" s="221" t="n"/>
      <c r="AX8" s="221" t="n"/>
      <c r="AY8" s="221" t="n"/>
      <c r="AZ8" s="221" t="n"/>
      <c r="BA8" s="285" t="n"/>
      <c r="BB8" s="221" t="n"/>
      <c r="BC8" s="221" t="n"/>
      <c r="BD8" s="221" t="n"/>
      <c r="BE8" s="221" t="n"/>
      <c r="BF8" s="221" t="n"/>
      <c r="BG8" s="221" t="n"/>
      <c r="BH8" s="221" t="n"/>
      <c r="BI8" s="221" t="n"/>
      <c r="BJ8" s="221" t="n"/>
      <c r="BK8" s="221" t="n"/>
      <c r="BL8" s="221" t="n"/>
      <c r="BM8" s="221" t="n"/>
      <c r="BN8" s="285" t="n"/>
    </row>
    <row r="9" ht="19.5" customHeight="1" s="218">
      <c r="A9" s="276" t="inlineStr">
        <is>
          <t>OPERATING ACTIVITIES</t>
        </is>
      </c>
    </row>
    <row r="10" ht="18" customHeight="1" s="218">
      <c r="A10" s="293" t="inlineStr">
        <is>
          <t xml:space="preserve">  EBITDA (from P&amp;L)</t>
        </is>
      </c>
      <c r="B10" s="313">
        <f>IFERROR('P&amp;L'!B33,0)</f>
        <v/>
      </c>
      <c r="C10" s="313">
        <f>IFERROR('P&amp;L'!C33,0)</f>
        <v/>
      </c>
      <c r="D10" s="313">
        <f>IFERROR('P&amp;L'!D33,0)</f>
        <v/>
      </c>
      <c r="E10" s="313">
        <f>IFERROR('P&amp;L'!E33,0)</f>
        <v/>
      </c>
      <c r="F10" s="313">
        <f>IFERROR('P&amp;L'!F33,0)</f>
        <v/>
      </c>
      <c r="G10" s="313">
        <f>IFERROR('P&amp;L'!G33,0)</f>
        <v/>
      </c>
      <c r="H10" s="313">
        <f>IFERROR('P&amp;L'!H33,0)</f>
        <v/>
      </c>
      <c r="I10" s="313">
        <f>IFERROR('P&amp;L'!I33,0)</f>
        <v/>
      </c>
      <c r="J10" s="313">
        <f>IFERROR('P&amp;L'!J33,0)</f>
        <v/>
      </c>
      <c r="K10" s="313">
        <f>IFERROR('P&amp;L'!K33,0)</f>
        <v/>
      </c>
      <c r="L10" s="313">
        <f>IFERROR('P&amp;L'!L33,0)</f>
        <v/>
      </c>
      <c r="M10" s="313">
        <f>IFERROR('P&amp;L'!M33,0)</f>
        <v/>
      </c>
      <c r="N10" s="322">
        <f>SUM(B10:M10)</f>
        <v/>
      </c>
      <c r="O10" s="313">
        <f>IFERROR('P&amp;L'!O33,0)</f>
        <v/>
      </c>
      <c r="P10" s="313">
        <f>IFERROR('P&amp;L'!P33,0)</f>
        <v/>
      </c>
      <c r="Q10" s="313">
        <f>IFERROR('P&amp;L'!Q33,0)</f>
        <v/>
      </c>
      <c r="R10" s="313">
        <f>IFERROR('P&amp;L'!R33,0)</f>
        <v/>
      </c>
      <c r="S10" s="313">
        <f>IFERROR('P&amp;L'!S33,0)</f>
        <v/>
      </c>
      <c r="T10" s="313">
        <f>IFERROR('P&amp;L'!T33,0)</f>
        <v/>
      </c>
      <c r="U10" s="313">
        <f>IFERROR('P&amp;L'!U33,0)</f>
        <v/>
      </c>
      <c r="V10" s="313">
        <f>IFERROR('P&amp;L'!V33,0)</f>
        <v/>
      </c>
      <c r="W10" s="313">
        <f>IFERROR('P&amp;L'!W33,0)</f>
        <v/>
      </c>
      <c r="X10" s="313">
        <f>IFERROR('P&amp;L'!X33,0)</f>
        <v/>
      </c>
      <c r="Y10" s="313">
        <f>IFERROR('P&amp;L'!Y33,0)</f>
        <v/>
      </c>
      <c r="Z10" s="313">
        <f>IFERROR('P&amp;L'!Z33,0)</f>
        <v/>
      </c>
      <c r="AA10" s="322">
        <f>SUM(O10:Z10)</f>
        <v/>
      </c>
      <c r="AB10" s="313">
        <f>IFERROR('P&amp;L'!AB33,0)</f>
        <v/>
      </c>
      <c r="AC10" s="313">
        <f>IFERROR('P&amp;L'!AC33,0)</f>
        <v/>
      </c>
      <c r="AD10" s="313">
        <f>IFERROR('P&amp;L'!AD33,0)</f>
        <v/>
      </c>
      <c r="AE10" s="313">
        <f>IFERROR('P&amp;L'!AE33,0)</f>
        <v/>
      </c>
      <c r="AF10" s="313">
        <f>IFERROR('P&amp;L'!AF33,0)</f>
        <v/>
      </c>
      <c r="AG10" s="313">
        <f>IFERROR('P&amp;L'!AG33,0)</f>
        <v/>
      </c>
      <c r="AH10" s="313">
        <f>IFERROR('P&amp;L'!AH33,0)</f>
        <v/>
      </c>
      <c r="AI10" s="313">
        <f>IFERROR('P&amp;L'!AI33,0)</f>
        <v/>
      </c>
      <c r="AJ10" s="313">
        <f>IFERROR('P&amp;L'!AJ33,0)</f>
        <v/>
      </c>
      <c r="AK10" s="313">
        <f>IFERROR('P&amp;L'!AK33,0)</f>
        <v/>
      </c>
      <c r="AL10" s="313">
        <f>IFERROR('P&amp;L'!AL33,0)</f>
        <v/>
      </c>
      <c r="AM10" s="313">
        <f>IFERROR('P&amp;L'!AM33,0)</f>
        <v/>
      </c>
      <c r="AN10" s="322">
        <f>SUM(AB10:AM10)</f>
        <v/>
      </c>
      <c r="AO10" s="313">
        <f>IFERROR('P&amp;L'!AO33,0)</f>
        <v/>
      </c>
      <c r="AP10" s="313">
        <f>IFERROR('P&amp;L'!AP33,0)</f>
        <v/>
      </c>
      <c r="AQ10" s="313">
        <f>IFERROR('P&amp;L'!AQ33,0)</f>
        <v/>
      </c>
      <c r="AR10" s="313">
        <f>IFERROR('P&amp;L'!AR33,0)</f>
        <v/>
      </c>
      <c r="AS10" s="313">
        <f>IFERROR('P&amp;L'!AS33,0)</f>
        <v/>
      </c>
      <c r="AT10" s="313">
        <f>IFERROR('P&amp;L'!AT33,0)</f>
        <v/>
      </c>
      <c r="AU10" s="313">
        <f>IFERROR('P&amp;L'!AU33,0)</f>
        <v/>
      </c>
      <c r="AV10" s="313">
        <f>IFERROR('P&amp;L'!AV33,0)</f>
        <v/>
      </c>
      <c r="AW10" s="313">
        <f>IFERROR('P&amp;L'!AW33,0)</f>
        <v/>
      </c>
      <c r="AX10" s="313">
        <f>IFERROR('P&amp;L'!AX33,0)</f>
        <v/>
      </c>
      <c r="AY10" s="313">
        <f>IFERROR('P&amp;L'!AY33,0)</f>
        <v/>
      </c>
      <c r="AZ10" s="313">
        <f>IFERROR('P&amp;L'!AZ33,0)</f>
        <v/>
      </c>
      <c r="BA10" s="290">
        <f>SUM(AO10:AZ10)</f>
        <v/>
      </c>
      <c r="BB10" s="313">
        <f>IFERROR('P&amp;L'!BB33,0)</f>
        <v/>
      </c>
      <c r="BC10" s="313">
        <f>IFERROR('P&amp;L'!BC33,0)</f>
        <v/>
      </c>
      <c r="BD10" s="313">
        <f>IFERROR('P&amp;L'!BD33,0)</f>
        <v/>
      </c>
      <c r="BE10" s="313">
        <f>IFERROR('P&amp;L'!BE33,0)</f>
        <v/>
      </c>
      <c r="BF10" s="313">
        <f>IFERROR('P&amp;L'!BF33,0)</f>
        <v/>
      </c>
      <c r="BG10" s="313">
        <f>IFERROR('P&amp;L'!BG33,0)</f>
        <v/>
      </c>
      <c r="BH10" s="313">
        <f>IFERROR('P&amp;L'!BH33,0)</f>
        <v/>
      </c>
      <c r="BI10" s="313">
        <f>IFERROR('P&amp;L'!BI33,0)</f>
        <v/>
      </c>
      <c r="BJ10" s="313">
        <f>IFERROR('P&amp;L'!BJ33,0)</f>
        <v/>
      </c>
      <c r="BK10" s="313">
        <f>IFERROR('P&amp;L'!BK33,0)</f>
        <v/>
      </c>
      <c r="BL10" s="313">
        <f>IFERROR('P&amp;L'!BL33,0)</f>
        <v/>
      </c>
      <c r="BM10" s="313">
        <f>IFERROR('P&amp;L'!BM33,0)</f>
        <v/>
      </c>
      <c r="BN10" s="290">
        <f>SUM(BB10:BM10)</f>
        <v/>
      </c>
    </row>
    <row r="11" ht="18" customHeight="1" s="218">
      <c r="A11" s="291" t="inlineStr">
        <is>
          <t xml:space="preserve">  Change in Accounts Receivable</t>
        </is>
      </c>
      <c r="B11" s="300">
        <f>IFERROR(-(('P&amp;L'!B10-0)*ASSUMPTIONS!$B$84/30),0)</f>
        <v/>
      </c>
      <c r="C11" s="300">
        <f>IFERROR(-(('P&amp;L'!C10-'P&amp;L'!B10)*ASSUMPTIONS!$B$84/30),0)</f>
        <v/>
      </c>
      <c r="D11" s="300">
        <f>IFERROR(-(('P&amp;L'!D10-'P&amp;L'!C10)*ASSUMPTIONS!$B$84/30),0)</f>
        <v/>
      </c>
      <c r="E11" s="300">
        <f>IFERROR(-(('P&amp;L'!E10-'P&amp;L'!D10)*ASSUMPTIONS!$B$84/30),0)</f>
        <v/>
      </c>
      <c r="F11" s="300">
        <f>IFERROR(-(('P&amp;L'!F10-'P&amp;L'!E10)*ASSUMPTIONS!$B$84/30),0)</f>
        <v/>
      </c>
      <c r="G11" s="300">
        <f>IFERROR(-(('P&amp;L'!G10-'P&amp;L'!F10)*ASSUMPTIONS!$B$84/30),0)</f>
        <v/>
      </c>
      <c r="H11" s="300">
        <f>IFERROR(-(('P&amp;L'!H10-'P&amp;L'!G10)*ASSUMPTIONS!$B$84/30),0)</f>
        <v/>
      </c>
      <c r="I11" s="300">
        <f>IFERROR(-(('P&amp;L'!I10-'P&amp;L'!H10)*ASSUMPTIONS!$B$84/30),0)</f>
        <v/>
      </c>
      <c r="J11" s="300">
        <f>IFERROR(-(('P&amp;L'!J10-'P&amp;L'!I10)*ASSUMPTIONS!$B$84/30),0)</f>
        <v/>
      </c>
      <c r="K11" s="300">
        <f>IFERROR(-(('P&amp;L'!K10-'P&amp;L'!J10)*ASSUMPTIONS!$B$84/30),0)</f>
        <v/>
      </c>
      <c r="L11" s="300">
        <f>IFERROR(-(('P&amp;L'!L10-'P&amp;L'!K10)*ASSUMPTIONS!$B$84/30),0)</f>
        <v/>
      </c>
      <c r="M11" s="300">
        <f>IFERROR(-(('P&amp;L'!M10-'P&amp;L'!L10)*ASSUMPTIONS!$B$84/30),0)</f>
        <v/>
      </c>
      <c r="N11" s="301">
        <f>SUM(B11:M11)</f>
        <v/>
      </c>
      <c r="O11" s="300">
        <f>IFERROR(-(('P&amp;L'!O10-'P&amp;L'!M10)*ASSUMPTIONS!$B$84/30),0)</f>
        <v/>
      </c>
      <c r="P11" s="300">
        <f>IFERROR(-(('P&amp;L'!P10-'P&amp;L'!O10)*ASSUMPTIONS!$B$84/30),0)</f>
        <v/>
      </c>
      <c r="Q11" s="300">
        <f>IFERROR(-(('P&amp;L'!Q10-'P&amp;L'!P10)*ASSUMPTIONS!$B$84/30),0)</f>
        <v/>
      </c>
      <c r="R11" s="300">
        <f>IFERROR(-(('P&amp;L'!R10-'P&amp;L'!Q10)*ASSUMPTIONS!$B$84/30),0)</f>
        <v/>
      </c>
      <c r="S11" s="300">
        <f>IFERROR(-(('P&amp;L'!S10-'P&amp;L'!R10)*ASSUMPTIONS!$B$84/30),0)</f>
        <v/>
      </c>
      <c r="T11" s="300">
        <f>IFERROR(-(('P&amp;L'!T10-'P&amp;L'!S10)*ASSUMPTIONS!$B$84/30),0)</f>
        <v/>
      </c>
      <c r="U11" s="300">
        <f>IFERROR(-(('P&amp;L'!U10-'P&amp;L'!T10)*ASSUMPTIONS!$B$84/30),0)</f>
        <v/>
      </c>
      <c r="V11" s="300">
        <f>IFERROR(-(('P&amp;L'!V10-'P&amp;L'!U10)*ASSUMPTIONS!$B$84/30),0)</f>
        <v/>
      </c>
      <c r="W11" s="300">
        <f>IFERROR(-(('P&amp;L'!W10-'P&amp;L'!V10)*ASSUMPTIONS!$B$84/30),0)</f>
        <v/>
      </c>
      <c r="X11" s="300">
        <f>IFERROR(-(('P&amp;L'!X10-'P&amp;L'!W10)*ASSUMPTIONS!$B$84/30),0)</f>
        <v/>
      </c>
      <c r="Y11" s="300">
        <f>IFERROR(-(('P&amp;L'!Y10-'P&amp;L'!X10)*ASSUMPTIONS!$B$84/30),0)</f>
        <v/>
      </c>
      <c r="Z11" s="300">
        <f>IFERROR(-(('P&amp;L'!Z10-'P&amp;L'!Y10)*ASSUMPTIONS!$B$84/30),0)</f>
        <v/>
      </c>
      <c r="AA11" s="301">
        <f>SUM(O11:Z11)</f>
        <v/>
      </c>
      <c r="AB11" s="300">
        <f>IFERROR(-(('P&amp;L'!AB10-'P&amp;L'!Z10)*ASSUMPTIONS!$B$84/30),0)</f>
        <v/>
      </c>
      <c r="AC11" s="300">
        <f>IFERROR(-(('P&amp;L'!AC10-'P&amp;L'!AB10)*ASSUMPTIONS!$B$84/30),0)</f>
        <v/>
      </c>
      <c r="AD11" s="300">
        <f>IFERROR(-(('P&amp;L'!AD10-'P&amp;L'!AC10)*ASSUMPTIONS!$B$84/30),0)</f>
        <v/>
      </c>
      <c r="AE11" s="300">
        <f>IFERROR(-(('P&amp;L'!AE10-'P&amp;L'!AD10)*ASSUMPTIONS!$B$84/30),0)</f>
        <v/>
      </c>
      <c r="AF11" s="300">
        <f>IFERROR(-(('P&amp;L'!AF10-'P&amp;L'!AE10)*ASSUMPTIONS!$B$84/30),0)</f>
        <v/>
      </c>
      <c r="AG11" s="300">
        <f>IFERROR(-(('P&amp;L'!AG10-'P&amp;L'!AF10)*ASSUMPTIONS!$B$84/30),0)</f>
        <v/>
      </c>
      <c r="AH11" s="300">
        <f>IFERROR(-(('P&amp;L'!AH10-'P&amp;L'!AG10)*ASSUMPTIONS!$B$84/30),0)</f>
        <v/>
      </c>
      <c r="AI11" s="300">
        <f>IFERROR(-(('P&amp;L'!AI10-'P&amp;L'!AH10)*ASSUMPTIONS!$B$84/30),0)</f>
        <v/>
      </c>
      <c r="AJ11" s="300">
        <f>IFERROR(-(('P&amp;L'!AJ10-'P&amp;L'!AI10)*ASSUMPTIONS!$B$84/30),0)</f>
        <v/>
      </c>
      <c r="AK11" s="300">
        <f>IFERROR(-(('P&amp;L'!AK10-'P&amp;L'!AJ10)*ASSUMPTIONS!$B$84/30),0)</f>
        <v/>
      </c>
      <c r="AL11" s="300">
        <f>IFERROR(-(('P&amp;L'!AL10-'P&amp;L'!AK10)*ASSUMPTIONS!$B$84/30),0)</f>
        <v/>
      </c>
      <c r="AM11" s="300">
        <f>IFERROR(-(('P&amp;L'!AM10-'P&amp;L'!AL10)*ASSUMPTIONS!$B$84/30),0)</f>
        <v/>
      </c>
      <c r="AN11" s="301">
        <f>SUM(AB11:AM11)</f>
        <v/>
      </c>
      <c r="AO11" s="300">
        <f>IFERROR(-(('P&amp;L'!AO10-'P&amp;L'!AM10)*ASSUMPTIONS!$B$84/30),0)</f>
        <v/>
      </c>
      <c r="AP11" s="300">
        <f>IFERROR(-(('P&amp;L'!AP10-'P&amp;L'!AO10)*ASSUMPTIONS!$B$84/30),0)</f>
        <v/>
      </c>
      <c r="AQ11" s="300">
        <f>IFERROR(-(('P&amp;L'!AQ10-'P&amp;L'!AP10)*ASSUMPTIONS!$B$84/30),0)</f>
        <v/>
      </c>
      <c r="AR11" s="300">
        <f>IFERROR(-(('P&amp;L'!AR10-'P&amp;L'!AQ10)*ASSUMPTIONS!$B$84/30),0)</f>
        <v/>
      </c>
      <c r="AS11" s="300">
        <f>IFERROR(-(('P&amp;L'!AS10-'P&amp;L'!AR10)*ASSUMPTIONS!$B$84/30),0)</f>
        <v/>
      </c>
      <c r="AT11" s="300">
        <f>IFERROR(-(('P&amp;L'!AT10-'P&amp;L'!AS10)*ASSUMPTIONS!$B$84/30),0)</f>
        <v/>
      </c>
      <c r="AU11" s="300">
        <f>IFERROR(-(('P&amp;L'!AU10-'P&amp;L'!AT10)*ASSUMPTIONS!$B$84/30),0)</f>
        <v/>
      </c>
      <c r="AV11" s="300">
        <f>IFERROR(-(('P&amp;L'!AV10-'P&amp;L'!AU10)*ASSUMPTIONS!$B$84/30),0)</f>
        <v/>
      </c>
      <c r="AW11" s="300">
        <f>IFERROR(-(('P&amp;L'!AW10-'P&amp;L'!AV10)*ASSUMPTIONS!$B$84/30),0)</f>
        <v/>
      </c>
      <c r="AX11" s="300">
        <f>IFERROR(-(('P&amp;L'!AX10-'P&amp;L'!AW10)*ASSUMPTIONS!$B$84/30),0)</f>
        <v/>
      </c>
      <c r="AY11" s="300">
        <f>IFERROR(-(('P&amp;L'!AY10-'P&amp;L'!AX10)*ASSUMPTIONS!$B$84/30),0)</f>
        <v/>
      </c>
      <c r="AZ11" s="300">
        <f>IFERROR(-(('P&amp;L'!AZ10-'P&amp;L'!AY10)*ASSUMPTIONS!$B$84/30),0)</f>
        <v/>
      </c>
      <c r="BA11" s="290">
        <f>SUM(AO11:AZ11)</f>
        <v/>
      </c>
      <c r="BB11" s="300">
        <f>IFERROR(-(('P&amp;L'!BB10-'P&amp;L'!AZ10)*ASSUMPTIONS!$B$84/30),0)</f>
        <v/>
      </c>
      <c r="BC11" s="300">
        <f>IFERROR(-(('P&amp;L'!BC10-'P&amp;L'!BB10)*ASSUMPTIONS!$B$84/30),0)</f>
        <v/>
      </c>
      <c r="BD11" s="300">
        <f>IFERROR(-(('P&amp;L'!BD10-'P&amp;L'!BC10)*ASSUMPTIONS!$B$84/30),0)</f>
        <v/>
      </c>
      <c r="BE11" s="300">
        <f>IFERROR(-(('P&amp;L'!BE10-'P&amp;L'!BD10)*ASSUMPTIONS!$B$84/30),0)</f>
        <v/>
      </c>
      <c r="BF11" s="300">
        <f>IFERROR(-(('P&amp;L'!BF10-'P&amp;L'!BE10)*ASSUMPTIONS!$B$84/30),0)</f>
        <v/>
      </c>
      <c r="BG11" s="300">
        <f>IFERROR(-(('P&amp;L'!BG10-'P&amp;L'!BF10)*ASSUMPTIONS!$B$84/30),0)</f>
        <v/>
      </c>
      <c r="BH11" s="300">
        <f>IFERROR(-(('P&amp;L'!BH10-'P&amp;L'!BG10)*ASSUMPTIONS!$B$84/30),0)</f>
        <v/>
      </c>
      <c r="BI11" s="300">
        <f>IFERROR(-(('P&amp;L'!BI10-'P&amp;L'!BH10)*ASSUMPTIONS!$B$84/30),0)</f>
        <v/>
      </c>
      <c r="BJ11" s="300">
        <f>IFERROR(-(('P&amp;L'!BJ10-'P&amp;L'!BI10)*ASSUMPTIONS!$B$84/30),0)</f>
        <v/>
      </c>
      <c r="BK11" s="300">
        <f>IFERROR(-(('P&amp;L'!BK10-'P&amp;L'!BJ10)*ASSUMPTIONS!$B$84/30),0)</f>
        <v/>
      </c>
      <c r="BL11" s="300">
        <f>IFERROR(-(('P&amp;L'!BL10-'P&amp;L'!BK10)*ASSUMPTIONS!$B$84/30),0)</f>
        <v/>
      </c>
      <c r="BM11" s="300">
        <f>IFERROR(-(('P&amp;L'!BM10-'P&amp;L'!BL10)*ASSUMPTIONS!$B$84/30),0)</f>
        <v/>
      </c>
      <c r="BN11" s="290">
        <f>SUM(BB11:BM11)</f>
        <v/>
      </c>
    </row>
    <row r="12" ht="18" customHeight="1" s="218">
      <c r="A12" s="293" t="inlineStr">
        <is>
          <t xml:space="preserve">  Change in Accounts Payable</t>
        </is>
      </c>
      <c r="B12" s="313">
        <f>IFERROR((('P&amp;L'!B13+'P&amp;L'!B31)-0)*ASSUMPTIONS!$B$85/30,0)</f>
        <v/>
      </c>
      <c r="C12" s="313">
        <f>IFERROR((('P&amp;L'!C13+'P&amp;L'!C31)-('P&amp;L'!B13+'P&amp;L'!B31))*ASSUMPTIONS!$B$85/30,0)</f>
        <v/>
      </c>
      <c r="D12" s="313">
        <f>IFERROR((('P&amp;L'!D13+'P&amp;L'!D31)-('P&amp;L'!C13+'P&amp;L'!C31))*ASSUMPTIONS!$B$85/30,0)</f>
        <v/>
      </c>
      <c r="E12" s="313">
        <f>IFERROR((('P&amp;L'!E13+'P&amp;L'!E31)-('P&amp;L'!D13+'P&amp;L'!D31))*ASSUMPTIONS!$B$85/30,0)</f>
        <v/>
      </c>
      <c r="F12" s="313">
        <f>IFERROR((('P&amp;L'!F13+'P&amp;L'!F31)-('P&amp;L'!E13+'P&amp;L'!E31))*ASSUMPTIONS!$B$85/30,0)</f>
        <v/>
      </c>
      <c r="G12" s="313">
        <f>IFERROR((('P&amp;L'!G13+'P&amp;L'!G31)-('P&amp;L'!F13+'P&amp;L'!F31))*ASSUMPTIONS!$B$85/30,0)</f>
        <v/>
      </c>
      <c r="H12" s="313">
        <f>IFERROR((('P&amp;L'!H13+'P&amp;L'!H31)-('P&amp;L'!G13+'P&amp;L'!G31))*ASSUMPTIONS!$B$85/30,0)</f>
        <v/>
      </c>
      <c r="I12" s="313">
        <f>IFERROR((('P&amp;L'!I13+'P&amp;L'!I31)-('P&amp;L'!H13+'P&amp;L'!H31))*ASSUMPTIONS!$B$85/30,0)</f>
        <v/>
      </c>
      <c r="J12" s="313">
        <f>IFERROR((('P&amp;L'!J13+'P&amp;L'!J31)-('P&amp;L'!I13+'P&amp;L'!I31))*ASSUMPTIONS!$B$85/30,0)</f>
        <v/>
      </c>
      <c r="K12" s="313">
        <f>IFERROR((('P&amp;L'!K13+'P&amp;L'!K31)-('P&amp;L'!J13+'P&amp;L'!J31))*ASSUMPTIONS!$B$85/30,0)</f>
        <v/>
      </c>
      <c r="L12" s="313">
        <f>IFERROR((('P&amp;L'!L13+'P&amp;L'!L31)-('P&amp;L'!K13+'P&amp;L'!K31))*ASSUMPTIONS!$B$85/30,0)</f>
        <v/>
      </c>
      <c r="M12" s="313">
        <f>IFERROR((('P&amp;L'!M13+'P&amp;L'!M31)-('P&amp;L'!L13+'P&amp;L'!L31))*ASSUMPTIONS!$B$85/30,0)</f>
        <v/>
      </c>
      <c r="N12" s="326">
        <f>SUM(B12:M12)</f>
        <v/>
      </c>
      <c r="O12" s="313">
        <f>IFERROR((('P&amp;L'!O13+'P&amp;L'!O31)-('P&amp;L'!M13+'P&amp;L'!M31))*ASSUMPTIONS!$B$85/30,0)</f>
        <v/>
      </c>
      <c r="P12" s="313">
        <f>IFERROR((('P&amp;L'!P13+'P&amp;L'!P31)-('P&amp;L'!O13+'P&amp;L'!O31))*ASSUMPTIONS!$B$85/30,0)</f>
        <v/>
      </c>
      <c r="Q12" s="313">
        <f>IFERROR((('P&amp;L'!Q13+'P&amp;L'!Q31)-('P&amp;L'!P13+'P&amp;L'!P31))*ASSUMPTIONS!$B$85/30,0)</f>
        <v/>
      </c>
      <c r="R12" s="313">
        <f>IFERROR((('P&amp;L'!R13+'P&amp;L'!R31)-('P&amp;L'!Q13+'P&amp;L'!Q31))*ASSUMPTIONS!$B$85/30,0)</f>
        <v/>
      </c>
      <c r="S12" s="313">
        <f>IFERROR((('P&amp;L'!S13+'P&amp;L'!S31)-('P&amp;L'!R13+'P&amp;L'!R31))*ASSUMPTIONS!$B$85/30,0)</f>
        <v/>
      </c>
      <c r="T12" s="313">
        <f>IFERROR((('P&amp;L'!T13+'P&amp;L'!T31)-('P&amp;L'!S13+'P&amp;L'!S31))*ASSUMPTIONS!$B$85/30,0)</f>
        <v/>
      </c>
      <c r="U12" s="313">
        <f>IFERROR((('P&amp;L'!U13+'P&amp;L'!U31)-('P&amp;L'!T13+'P&amp;L'!T31))*ASSUMPTIONS!$B$85/30,0)</f>
        <v/>
      </c>
      <c r="V12" s="313">
        <f>IFERROR((('P&amp;L'!V13+'P&amp;L'!V31)-('P&amp;L'!U13+'P&amp;L'!U31))*ASSUMPTIONS!$B$85/30,0)</f>
        <v/>
      </c>
      <c r="W12" s="313">
        <f>IFERROR((('P&amp;L'!W13+'P&amp;L'!W31)-('P&amp;L'!V13+'P&amp;L'!V31))*ASSUMPTIONS!$B$85/30,0)</f>
        <v/>
      </c>
      <c r="X12" s="313">
        <f>IFERROR((('P&amp;L'!X13+'P&amp;L'!X31)-('P&amp;L'!W13+'P&amp;L'!W31))*ASSUMPTIONS!$B$85/30,0)</f>
        <v/>
      </c>
      <c r="Y12" s="313">
        <f>IFERROR((('P&amp;L'!Y13+'P&amp;L'!Y31)-('P&amp;L'!X13+'P&amp;L'!X31))*ASSUMPTIONS!$B$85/30,0)</f>
        <v/>
      </c>
      <c r="Z12" s="313">
        <f>IFERROR((('P&amp;L'!Z13+'P&amp;L'!Z31)-('P&amp;L'!Y13+'P&amp;L'!Y31))*ASSUMPTIONS!$B$85/30,0)</f>
        <v/>
      </c>
      <c r="AA12" s="326">
        <f>SUM(O12:Z12)</f>
        <v/>
      </c>
      <c r="AB12" s="313">
        <f>IFERROR((('P&amp;L'!AB13+'P&amp;L'!AB31)-('P&amp;L'!Z13+'P&amp;L'!Z31))*ASSUMPTIONS!$B$85/30,0)</f>
        <v/>
      </c>
      <c r="AC12" s="313">
        <f>IFERROR((('P&amp;L'!AC13+'P&amp;L'!AC31)-('P&amp;L'!AB13+'P&amp;L'!AB31))*ASSUMPTIONS!$B$85/30,0)</f>
        <v/>
      </c>
      <c r="AD12" s="313">
        <f>IFERROR((('P&amp;L'!AD13+'P&amp;L'!AD31)-('P&amp;L'!AC13+'P&amp;L'!AC31))*ASSUMPTIONS!$B$85/30,0)</f>
        <v/>
      </c>
      <c r="AE12" s="313">
        <f>IFERROR((('P&amp;L'!AE13+'P&amp;L'!AE31)-('P&amp;L'!AD13+'P&amp;L'!AD31))*ASSUMPTIONS!$B$85/30,0)</f>
        <v/>
      </c>
      <c r="AF12" s="313">
        <f>IFERROR((('P&amp;L'!AF13+'P&amp;L'!AF31)-('P&amp;L'!AE13+'P&amp;L'!AE31))*ASSUMPTIONS!$B$85/30,0)</f>
        <v/>
      </c>
      <c r="AG12" s="313">
        <f>IFERROR((('P&amp;L'!AG13+'P&amp;L'!AG31)-('P&amp;L'!AF13+'P&amp;L'!AF31))*ASSUMPTIONS!$B$85/30,0)</f>
        <v/>
      </c>
      <c r="AH12" s="313">
        <f>IFERROR((('P&amp;L'!AH13+'P&amp;L'!AH31)-('P&amp;L'!AG13+'P&amp;L'!AG31))*ASSUMPTIONS!$B$85/30,0)</f>
        <v/>
      </c>
      <c r="AI12" s="313">
        <f>IFERROR((('P&amp;L'!AI13+'P&amp;L'!AI31)-('P&amp;L'!AH13+'P&amp;L'!AH31))*ASSUMPTIONS!$B$85/30,0)</f>
        <v/>
      </c>
      <c r="AJ12" s="313">
        <f>IFERROR((('P&amp;L'!AJ13+'P&amp;L'!AJ31)-('P&amp;L'!AI13+'P&amp;L'!AI31))*ASSUMPTIONS!$B$85/30,0)</f>
        <v/>
      </c>
      <c r="AK12" s="313">
        <f>IFERROR((('P&amp;L'!AK13+'P&amp;L'!AK31)-('P&amp;L'!AJ13+'P&amp;L'!AJ31))*ASSUMPTIONS!$B$85/30,0)</f>
        <v/>
      </c>
      <c r="AL12" s="313">
        <f>IFERROR((('P&amp;L'!AL13+'P&amp;L'!AL31)-('P&amp;L'!AK13+'P&amp;L'!AK31))*ASSUMPTIONS!$B$85/30,0)</f>
        <v/>
      </c>
      <c r="AM12" s="313">
        <f>IFERROR((('P&amp;L'!AM13+'P&amp;L'!AM31)-('P&amp;L'!AL13+'P&amp;L'!AL31))*ASSUMPTIONS!$B$85/30,0)</f>
        <v/>
      </c>
      <c r="AN12" s="326">
        <f>SUM(AB12:AM12)</f>
        <v/>
      </c>
      <c r="AO12" s="313">
        <f>IFERROR((('P&amp;L'!AO13+'P&amp;L'!AO31)-('P&amp;L'!AM13+'P&amp;L'!AM31))*ASSUMPTIONS!$B$85/30,0)</f>
        <v/>
      </c>
      <c r="AP12" s="313">
        <f>IFERROR((('P&amp;L'!AP13+'P&amp;L'!AP31)-('P&amp;L'!AO13+'P&amp;L'!AO31))*ASSUMPTIONS!$B$85/30,0)</f>
        <v/>
      </c>
      <c r="AQ12" s="313">
        <f>IFERROR((('P&amp;L'!AQ13+'P&amp;L'!AQ31)-('P&amp;L'!AP13+'P&amp;L'!AP31))*ASSUMPTIONS!$B$85/30,0)</f>
        <v/>
      </c>
      <c r="AR12" s="313">
        <f>IFERROR((('P&amp;L'!AR13+'P&amp;L'!AR31)-('P&amp;L'!AQ13+'P&amp;L'!AQ31))*ASSUMPTIONS!$B$85/30,0)</f>
        <v/>
      </c>
      <c r="AS12" s="313">
        <f>IFERROR((('P&amp;L'!AS13+'P&amp;L'!AS31)-('P&amp;L'!AR13+'P&amp;L'!AR31))*ASSUMPTIONS!$B$85/30,0)</f>
        <v/>
      </c>
      <c r="AT12" s="313">
        <f>IFERROR((('P&amp;L'!AT13+'P&amp;L'!AT31)-('P&amp;L'!AS13+'P&amp;L'!AS31))*ASSUMPTIONS!$B$85/30,0)</f>
        <v/>
      </c>
      <c r="AU12" s="313">
        <f>IFERROR((('P&amp;L'!AU13+'P&amp;L'!AU31)-('P&amp;L'!AT13+'P&amp;L'!AT31))*ASSUMPTIONS!$B$85/30,0)</f>
        <v/>
      </c>
      <c r="AV12" s="313">
        <f>IFERROR((('P&amp;L'!AV13+'P&amp;L'!AV31)-('P&amp;L'!AU13+'P&amp;L'!AU31))*ASSUMPTIONS!$B$85/30,0)</f>
        <v/>
      </c>
      <c r="AW12" s="313">
        <f>IFERROR((('P&amp;L'!AW13+'P&amp;L'!AW31)-('P&amp;L'!AV13+'P&amp;L'!AV31))*ASSUMPTIONS!$B$85/30,0)</f>
        <v/>
      </c>
      <c r="AX12" s="313">
        <f>IFERROR((('P&amp;L'!AX13+'P&amp;L'!AX31)-('P&amp;L'!AW13+'P&amp;L'!AW31))*ASSUMPTIONS!$B$85/30,0)</f>
        <v/>
      </c>
      <c r="AY12" s="313">
        <f>IFERROR((('P&amp;L'!AY13+'P&amp;L'!AY31)-('P&amp;L'!AX13+'P&amp;L'!AX31))*ASSUMPTIONS!$B$85/30,0)</f>
        <v/>
      </c>
      <c r="AZ12" s="313">
        <f>IFERROR((('P&amp;L'!AZ13+'P&amp;L'!AZ31)-('P&amp;L'!AY13+'P&amp;L'!AY31))*ASSUMPTIONS!$B$85/30,0)</f>
        <v/>
      </c>
      <c r="BA12" s="290">
        <f>SUM(AO12:AZ12)</f>
        <v/>
      </c>
      <c r="BB12" s="313">
        <f>IFERROR((('P&amp;L'!BB13+'P&amp;L'!BB31)-('P&amp;L'!AZ13+'P&amp;L'!AZ31))*ASSUMPTIONS!$B$85/30,0)</f>
        <v/>
      </c>
      <c r="BC12" s="313">
        <f>IFERROR((('P&amp;L'!BC13+'P&amp;L'!BC31)-('P&amp;L'!BB13+'P&amp;L'!BB31))*ASSUMPTIONS!$B$85/30,0)</f>
        <v/>
      </c>
      <c r="BD12" s="313">
        <f>IFERROR((('P&amp;L'!BD13+'P&amp;L'!BD31)-('P&amp;L'!BC13+'P&amp;L'!BC31))*ASSUMPTIONS!$B$85/30,0)</f>
        <v/>
      </c>
      <c r="BE12" s="313">
        <f>IFERROR((('P&amp;L'!BE13+'P&amp;L'!BE31)-('P&amp;L'!BD13+'P&amp;L'!BD31))*ASSUMPTIONS!$B$85/30,0)</f>
        <v/>
      </c>
      <c r="BF12" s="313">
        <f>IFERROR((('P&amp;L'!BF13+'P&amp;L'!BF31)-('P&amp;L'!BE13+'P&amp;L'!BE31))*ASSUMPTIONS!$B$85/30,0)</f>
        <v/>
      </c>
      <c r="BG12" s="313">
        <f>IFERROR((('P&amp;L'!BG13+'P&amp;L'!BG31)-('P&amp;L'!BF13+'P&amp;L'!BF31))*ASSUMPTIONS!$B$85/30,0)</f>
        <v/>
      </c>
      <c r="BH12" s="313">
        <f>IFERROR((('P&amp;L'!BH13+'P&amp;L'!BH31)-('P&amp;L'!BG13+'P&amp;L'!BG31))*ASSUMPTIONS!$B$85/30,0)</f>
        <v/>
      </c>
      <c r="BI12" s="313">
        <f>IFERROR((('P&amp;L'!BI13+'P&amp;L'!BI31)-('P&amp;L'!BH13+'P&amp;L'!BH31))*ASSUMPTIONS!$B$85/30,0)</f>
        <v/>
      </c>
      <c r="BJ12" s="313">
        <f>IFERROR((('P&amp;L'!BJ13+'P&amp;L'!BJ31)-('P&amp;L'!BI13+'P&amp;L'!BI31))*ASSUMPTIONS!$B$85/30,0)</f>
        <v/>
      </c>
      <c r="BK12" s="313">
        <f>IFERROR((('P&amp;L'!BK13+'P&amp;L'!BK31)-('P&amp;L'!BJ13+'P&amp;L'!BJ31))*ASSUMPTIONS!$B$85/30,0)</f>
        <v/>
      </c>
      <c r="BL12" s="313">
        <f>IFERROR((('P&amp;L'!BL13+'P&amp;L'!BL31)-('P&amp;L'!BK13+'P&amp;L'!BK31))*ASSUMPTIONS!$B$85/30,0)</f>
        <v/>
      </c>
      <c r="BM12" s="313">
        <f>IFERROR((('P&amp;L'!BM13+'P&amp;L'!BM31)-('P&amp;L'!BL13+'P&amp;L'!BL31))*ASSUMPTIONS!$B$85/30,0)</f>
        <v/>
      </c>
      <c r="BN12" s="290">
        <f>SUM(BB12:BM12)</f>
        <v/>
      </c>
    </row>
    <row r="13" ht="18" customHeight="1" s="218">
      <c r="A13" s="294" t="inlineStr">
        <is>
          <t>CASH FROM OPERATIONS (£)</t>
        </is>
      </c>
      <c r="B13" s="295">
        <f>IFERROR(B10+B11+B12,0)</f>
        <v/>
      </c>
      <c r="C13" s="295">
        <f>IFERROR(C10+C11+C12,0)</f>
        <v/>
      </c>
      <c r="D13" s="295">
        <f>IFERROR(D10+D11+D12,0)</f>
        <v/>
      </c>
      <c r="E13" s="295">
        <f>IFERROR(E10+E11+E12,0)</f>
        <v/>
      </c>
      <c r="F13" s="295">
        <f>IFERROR(F10+F11+F12,0)</f>
        <v/>
      </c>
      <c r="G13" s="295">
        <f>IFERROR(G10+G11+G12,0)</f>
        <v/>
      </c>
      <c r="H13" s="295">
        <f>IFERROR(H10+H11+H12,0)</f>
        <v/>
      </c>
      <c r="I13" s="295">
        <f>IFERROR(I10+I11+I12,0)</f>
        <v/>
      </c>
      <c r="J13" s="295">
        <f>IFERROR(J10+J11+J12,0)</f>
        <v/>
      </c>
      <c r="K13" s="295">
        <f>IFERROR(K10+K11+K12,0)</f>
        <v/>
      </c>
      <c r="L13" s="295">
        <f>IFERROR(L10+L11+L12,0)</f>
        <v/>
      </c>
      <c r="M13" s="295">
        <f>IFERROR(M10+M11+M12,0)</f>
        <v/>
      </c>
      <c r="N13" s="295">
        <f>SUM(B13:M13)</f>
        <v/>
      </c>
      <c r="O13" s="295">
        <f>IFERROR(O10+O11+O12,0)</f>
        <v/>
      </c>
      <c r="P13" s="295">
        <f>IFERROR(P10+P11+P12,0)</f>
        <v/>
      </c>
      <c r="Q13" s="295">
        <f>IFERROR(Q10+Q11+Q12,0)</f>
        <v/>
      </c>
      <c r="R13" s="295">
        <f>IFERROR(R10+R11+R12,0)</f>
        <v/>
      </c>
      <c r="S13" s="295">
        <f>IFERROR(S10+S11+S12,0)</f>
        <v/>
      </c>
      <c r="T13" s="295">
        <f>IFERROR(T10+T11+T12,0)</f>
        <v/>
      </c>
      <c r="U13" s="295">
        <f>IFERROR(U10+U11+U12,0)</f>
        <v/>
      </c>
      <c r="V13" s="295">
        <f>IFERROR(V10+V11+V12,0)</f>
        <v/>
      </c>
      <c r="W13" s="295">
        <f>IFERROR(W10+W11+W12,0)</f>
        <v/>
      </c>
      <c r="X13" s="295">
        <f>IFERROR(X10+X11+X12,0)</f>
        <v/>
      </c>
      <c r="Y13" s="295">
        <f>IFERROR(Y10+Y11+Y12,0)</f>
        <v/>
      </c>
      <c r="Z13" s="295">
        <f>IFERROR(Z10+Z11+Z12,0)</f>
        <v/>
      </c>
      <c r="AA13" s="295">
        <f>SUM(O13:Z13)</f>
        <v/>
      </c>
      <c r="AB13" s="295">
        <f>IFERROR(AB10+AB11+AB12,0)</f>
        <v/>
      </c>
      <c r="AC13" s="295">
        <f>IFERROR(AC10+AC11+AC12,0)</f>
        <v/>
      </c>
      <c r="AD13" s="295">
        <f>IFERROR(AD10+AD11+AD12,0)</f>
        <v/>
      </c>
      <c r="AE13" s="295">
        <f>IFERROR(AE10+AE11+AE12,0)</f>
        <v/>
      </c>
      <c r="AF13" s="295">
        <f>IFERROR(AF10+AF11+AF12,0)</f>
        <v/>
      </c>
      <c r="AG13" s="295">
        <f>IFERROR(AG10+AG11+AG12,0)</f>
        <v/>
      </c>
      <c r="AH13" s="295">
        <f>IFERROR(AH10+AH11+AH12,0)</f>
        <v/>
      </c>
      <c r="AI13" s="295">
        <f>IFERROR(AI10+AI11+AI12,0)</f>
        <v/>
      </c>
      <c r="AJ13" s="295">
        <f>IFERROR(AJ10+AJ11+AJ12,0)</f>
        <v/>
      </c>
      <c r="AK13" s="295">
        <f>IFERROR(AK10+AK11+AK12,0)</f>
        <v/>
      </c>
      <c r="AL13" s="295">
        <f>IFERROR(AL10+AL11+AL12,0)</f>
        <v/>
      </c>
      <c r="AM13" s="295">
        <f>IFERROR(AM10+AM11+AM12,0)</f>
        <v/>
      </c>
      <c r="AN13" s="295">
        <f>SUM(AB13:AM13)</f>
        <v/>
      </c>
      <c r="AO13" s="295">
        <f>IFERROR(AO10+AO11+AO12,0)</f>
        <v/>
      </c>
      <c r="AP13" s="295">
        <f>IFERROR(AP10+AP11+AP12,0)</f>
        <v/>
      </c>
      <c r="AQ13" s="295">
        <f>IFERROR(AQ10+AQ11+AQ12,0)</f>
        <v/>
      </c>
      <c r="AR13" s="295">
        <f>IFERROR(AR10+AR11+AR12,0)</f>
        <v/>
      </c>
      <c r="AS13" s="295">
        <f>IFERROR(AS10+AS11+AS12,0)</f>
        <v/>
      </c>
      <c r="AT13" s="295">
        <f>IFERROR(AT10+AT11+AT12,0)</f>
        <v/>
      </c>
      <c r="AU13" s="295">
        <f>IFERROR(AU10+AU11+AU12,0)</f>
        <v/>
      </c>
      <c r="AV13" s="295">
        <f>IFERROR(AV10+AV11+AV12,0)</f>
        <v/>
      </c>
      <c r="AW13" s="295">
        <f>IFERROR(AW10+AW11+AW12,0)</f>
        <v/>
      </c>
      <c r="AX13" s="295">
        <f>IFERROR(AX10+AX11+AX12,0)</f>
        <v/>
      </c>
      <c r="AY13" s="295">
        <f>IFERROR(AY10+AY11+AY12,0)</f>
        <v/>
      </c>
      <c r="AZ13" s="295">
        <f>IFERROR(AZ10+AZ11+AZ12,0)</f>
        <v/>
      </c>
      <c r="BA13" s="296">
        <f>SUM(AO13:AZ13)</f>
        <v/>
      </c>
      <c r="BB13" s="295">
        <f>IFERROR(BB10+BB11+BB12,0)</f>
        <v/>
      </c>
      <c r="BC13" s="295">
        <f>IFERROR(BC10+BC11+BC12,0)</f>
        <v/>
      </c>
      <c r="BD13" s="295">
        <f>IFERROR(BD10+BD11+BD12,0)</f>
        <v/>
      </c>
      <c r="BE13" s="295">
        <f>IFERROR(BE10+BE11+BE12,0)</f>
        <v/>
      </c>
      <c r="BF13" s="295">
        <f>IFERROR(BF10+BF11+BF12,0)</f>
        <v/>
      </c>
      <c r="BG13" s="295">
        <f>IFERROR(BG10+BG11+BG12,0)</f>
        <v/>
      </c>
      <c r="BH13" s="295">
        <f>IFERROR(BH10+BH11+BH12,0)</f>
        <v/>
      </c>
      <c r="BI13" s="295">
        <f>IFERROR(BI10+BI11+BI12,0)</f>
        <v/>
      </c>
      <c r="BJ13" s="295">
        <f>IFERROR(BJ10+BJ11+BJ12,0)</f>
        <v/>
      </c>
      <c r="BK13" s="295">
        <f>IFERROR(BK10+BK11+BK12,0)</f>
        <v/>
      </c>
      <c r="BL13" s="295">
        <f>IFERROR(BL10+BL11+BL12,0)</f>
        <v/>
      </c>
      <c r="BM13" s="295">
        <f>IFERROR(BM10+BM11+BM12,0)</f>
        <v/>
      </c>
      <c r="BN13" s="296">
        <f>SUM(BB13:BM13)</f>
        <v/>
      </c>
    </row>
    <row r="14" ht="6" customHeight="1" s="218">
      <c r="A14" s="221" t="n"/>
      <c r="B14" s="221" t="n"/>
      <c r="C14" s="221" t="n"/>
      <c r="D14" s="221" t="n"/>
      <c r="E14" s="221" t="n"/>
      <c r="F14" s="221" t="n"/>
      <c r="G14" s="221" t="n"/>
      <c r="H14" s="221" t="n"/>
      <c r="I14" s="221" t="n"/>
      <c r="J14" s="221" t="n"/>
      <c r="K14" s="221" t="n"/>
      <c r="L14" s="221" t="n"/>
      <c r="M14" s="221" t="n"/>
      <c r="N14" s="221" t="n"/>
      <c r="O14" s="221" t="n"/>
      <c r="P14" s="221" t="n"/>
      <c r="Q14" s="221" t="n"/>
      <c r="R14" s="221" t="n"/>
      <c r="S14" s="221" t="n"/>
      <c r="T14" s="221" t="n"/>
      <c r="U14" s="221" t="n"/>
      <c r="V14" s="221" t="n"/>
      <c r="W14" s="221" t="n"/>
      <c r="X14" s="221" t="n"/>
      <c r="Y14" s="221" t="n"/>
      <c r="Z14" s="221" t="n"/>
      <c r="AA14" s="221" t="n"/>
      <c r="AB14" s="221" t="n"/>
      <c r="AC14" s="221" t="n"/>
      <c r="AD14" s="221" t="n"/>
      <c r="AE14" s="221" t="n"/>
      <c r="AF14" s="221" t="n"/>
      <c r="AG14" s="221" t="n"/>
      <c r="AH14" s="221" t="n"/>
      <c r="AI14" s="221" t="n"/>
      <c r="AJ14" s="221" t="n"/>
      <c r="AK14" s="221" t="n"/>
      <c r="AL14" s="221" t="n"/>
      <c r="AM14" s="221" t="n"/>
      <c r="AN14" s="221" t="n"/>
      <c r="AO14" s="221" t="n"/>
      <c r="AP14" s="221" t="n"/>
      <c r="AQ14" s="221" t="n"/>
      <c r="AR14" s="221" t="n"/>
      <c r="AS14" s="221" t="n"/>
      <c r="AT14" s="221" t="n"/>
      <c r="AU14" s="221" t="n"/>
      <c r="AV14" s="221" t="n"/>
      <c r="AW14" s="221" t="n"/>
      <c r="AX14" s="221" t="n"/>
      <c r="AY14" s="221" t="n"/>
      <c r="AZ14" s="221" t="n"/>
      <c r="BA14" s="285" t="n"/>
      <c r="BB14" s="221" t="n"/>
      <c r="BC14" s="221" t="n"/>
      <c r="BD14" s="221" t="n"/>
      <c r="BE14" s="221" t="n"/>
      <c r="BF14" s="221" t="n"/>
      <c r="BG14" s="221" t="n"/>
      <c r="BH14" s="221" t="n"/>
      <c r="BI14" s="221" t="n"/>
      <c r="BJ14" s="221" t="n"/>
      <c r="BK14" s="221" t="n"/>
      <c r="BL14" s="221" t="n"/>
      <c r="BM14" s="221" t="n"/>
      <c r="BN14" s="285" t="n"/>
    </row>
    <row r="15" ht="19.5" customHeight="1" s="218">
      <c r="A15" s="276" t="inlineStr">
        <is>
          <t>INVESTING ACTIVITIES</t>
        </is>
      </c>
    </row>
    <row r="16" ht="18" customHeight="1" s="218">
      <c r="A16" s="293" t="inlineStr">
        <is>
          <t xml:space="preserve">  Capital Expenditure (enter as negative £)</t>
        </is>
      </c>
      <c r="B16" s="333" t="n"/>
      <c r="C16" s="333" t="n"/>
      <c r="D16" s="333" t="n"/>
      <c r="E16" s="333" t="n"/>
      <c r="F16" s="333" t="n"/>
      <c r="G16" s="333" t="n"/>
      <c r="H16" s="333" t="n"/>
      <c r="I16" s="333" t="n"/>
      <c r="J16" s="333" t="n"/>
      <c r="K16" s="333" t="n"/>
      <c r="L16" s="333" t="n"/>
      <c r="M16" s="333" t="n"/>
      <c r="N16" s="289">
        <f>SUM(B16:M16)</f>
        <v/>
      </c>
      <c r="O16" s="333" t="n"/>
      <c r="P16" s="333" t="n"/>
      <c r="Q16" s="333" t="n"/>
      <c r="R16" s="333" t="n"/>
      <c r="S16" s="333" t="n"/>
      <c r="T16" s="333" t="n"/>
      <c r="U16" s="333" t="n"/>
      <c r="V16" s="333" t="n"/>
      <c r="W16" s="333" t="n"/>
      <c r="X16" s="333" t="n"/>
      <c r="Y16" s="333" t="n"/>
      <c r="Z16" s="333" t="n"/>
      <c r="AA16" s="289">
        <f>SUM(O16:Z16)</f>
        <v/>
      </c>
      <c r="AB16" s="333" t="n"/>
      <c r="AC16" s="333" t="n"/>
      <c r="AD16" s="333" t="n"/>
      <c r="AE16" s="333" t="n"/>
      <c r="AF16" s="333" t="n"/>
      <c r="AG16" s="333" t="n"/>
      <c r="AH16" s="333" t="n"/>
      <c r="AI16" s="333" t="n"/>
      <c r="AJ16" s="333" t="n"/>
      <c r="AK16" s="333" t="n"/>
      <c r="AL16" s="333" t="n"/>
      <c r="AM16" s="333" t="n"/>
      <c r="AN16" s="289">
        <f>SUM(AB16:AM16)</f>
        <v/>
      </c>
      <c r="AO16" s="333" t="n"/>
      <c r="AP16" s="333" t="n"/>
      <c r="AQ16" s="333" t="n"/>
      <c r="AR16" s="333" t="n"/>
      <c r="AS16" s="333" t="n"/>
      <c r="AT16" s="333" t="n"/>
      <c r="AU16" s="333" t="n"/>
      <c r="AV16" s="333" t="n"/>
      <c r="AW16" s="333" t="n"/>
      <c r="AX16" s="333" t="n"/>
      <c r="AY16" s="333" t="n"/>
      <c r="AZ16" s="333" t="n"/>
      <c r="BA16" s="290">
        <f>SUM(AO16:AZ16)</f>
        <v/>
      </c>
      <c r="BB16" s="333" t="n"/>
      <c r="BC16" s="333" t="n"/>
      <c r="BD16" s="333" t="n"/>
      <c r="BE16" s="333" t="n"/>
      <c r="BF16" s="333" t="n"/>
      <c r="BG16" s="333" t="n"/>
      <c r="BH16" s="333" t="n"/>
      <c r="BI16" s="333" t="n"/>
      <c r="BJ16" s="333" t="n"/>
      <c r="BK16" s="333" t="n"/>
      <c r="BL16" s="333" t="n"/>
      <c r="BM16" s="333" t="n"/>
      <c r="BN16" s="290">
        <f>SUM(BB16:BM16)</f>
        <v/>
      </c>
    </row>
    <row r="17" ht="18" customHeight="1" s="218">
      <c r="A17" s="294" t="inlineStr">
        <is>
          <t>CASH FROM INVESTING (£)</t>
        </is>
      </c>
      <c r="B17" s="295">
        <f>IFERROR(B16,0)</f>
        <v/>
      </c>
      <c r="C17" s="295">
        <f>IFERROR(C16,0)</f>
        <v/>
      </c>
      <c r="D17" s="295">
        <f>IFERROR(D16,0)</f>
        <v/>
      </c>
      <c r="E17" s="295">
        <f>IFERROR(E16,0)</f>
        <v/>
      </c>
      <c r="F17" s="295">
        <f>IFERROR(F16,0)</f>
        <v/>
      </c>
      <c r="G17" s="295">
        <f>IFERROR(G16,0)</f>
        <v/>
      </c>
      <c r="H17" s="295">
        <f>IFERROR(H16,0)</f>
        <v/>
      </c>
      <c r="I17" s="295">
        <f>IFERROR(I16,0)</f>
        <v/>
      </c>
      <c r="J17" s="295">
        <f>IFERROR(J16,0)</f>
        <v/>
      </c>
      <c r="K17" s="295">
        <f>IFERROR(K16,0)</f>
        <v/>
      </c>
      <c r="L17" s="295">
        <f>IFERROR(L16,0)</f>
        <v/>
      </c>
      <c r="M17" s="295">
        <f>IFERROR(M16,0)</f>
        <v/>
      </c>
      <c r="N17" s="295">
        <f>SUM(B17:M17)</f>
        <v/>
      </c>
      <c r="O17" s="295">
        <f>IFERROR(O16,0)</f>
        <v/>
      </c>
      <c r="P17" s="295">
        <f>IFERROR(P16,0)</f>
        <v/>
      </c>
      <c r="Q17" s="295">
        <f>IFERROR(Q16,0)</f>
        <v/>
      </c>
      <c r="R17" s="295">
        <f>IFERROR(R16,0)</f>
        <v/>
      </c>
      <c r="S17" s="295">
        <f>IFERROR(S16,0)</f>
        <v/>
      </c>
      <c r="T17" s="295">
        <f>IFERROR(T16,0)</f>
        <v/>
      </c>
      <c r="U17" s="295">
        <f>IFERROR(U16,0)</f>
        <v/>
      </c>
      <c r="V17" s="295">
        <f>IFERROR(V16,0)</f>
        <v/>
      </c>
      <c r="W17" s="295">
        <f>IFERROR(W16,0)</f>
        <v/>
      </c>
      <c r="X17" s="295">
        <f>IFERROR(X16,0)</f>
        <v/>
      </c>
      <c r="Y17" s="295">
        <f>IFERROR(Y16,0)</f>
        <v/>
      </c>
      <c r="Z17" s="295">
        <f>IFERROR(Z16,0)</f>
        <v/>
      </c>
      <c r="AA17" s="295">
        <f>SUM(O17:Z17)</f>
        <v/>
      </c>
      <c r="AB17" s="295">
        <f>IFERROR(AB16,0)</f>
        <v/>
      </c>
      <c r="AC17" s="295">
        <f>IFERROR(AC16,0)</f>
        <v/>
      </c>
      <c r="AD17" s="295">
        <f>IFERROR(AD16,0)</f>
        <v/>
      </c>
      <c r="AE17" s="295">
        <f>IFERROR(AE16,0)</f>
        <v/>
      </c>
      <c r="AF17" s="295">
        <f>IFERROR(AF16,0)</f>
        <v/>
      </c>
      <c r="AG17" s="295">
        <f>IFERROR(AG16,0)</f>
        <v/>
      </c>
      <c r="AH17" s="295">
        <f>IFERROR(AH16,0)</f>
        <v/>
      </c>
      <c r="AI17" s="295">
        <f>IFERROR(AI16,0)</f>
        <v/>
      </c>
      <c r="AJ17" s="295">
        <f>IFERROR(AJ16,0)</f>
        <v/>
      </c>
      <c r="AK17" s="295">
        <f>IFERROR(AK16,0)</f>
        <v/>
      </c>
      <c r="AL17" s="295">
        <f>IFERROR(AL16,0)</f>
        <v/>
      </c>
      <c r="AM17" s="295">
        <f>IFERROR(AM16,0)</f>
        <v/>
      </c>
      <c r="AN17" s="295">
        <f>SUM(AB17:AM17)</f>
        <v/>
      </c>
      <c r="AO17" s="295">
        <f>IFERROR(AO16,0)</f>
        <v/>
      </c>
      <c r="AP17" s="295">
        <f>IFERROR(AP16,0)</f>
        <v/>
      </c>
      <c r="AQ17" s="295">
        <f>IFERROR(AQ16,0)</f>
        <v/>
      </c>
      <c r="AR17" s="295">
        <f>IFERROR(AR16,0)</f>
        <v/>
      </c>
      <c r="AS17" s="295">
        <f>IFERROR(AS16,0)</f>
        <v/>
      </c>
      <c r="AT17" s="295">
        <f>IFERROR(AT16,0)</f>
        <v/>
      </c>
      <c r="AU17" s="295">
        <f>IFERROR(AU16,0)</f>
        <v/>
      </c>
      <c r="AV17" s="295">
        <f>IFERROR(AV16,0)</f>
        <v/>
      </c>
      <c r="AW17" s="295">
        <f>IFERROR(AW16,0)</f>
        <v/>
      </c>
      <c r="AX17" s="295">
        <f>IFERROR(AX16,0)</f>
        <v/>
      </c>
      <c r="AY17" s="295">
        <f>IFERROR(AY16,0)</f>
        <v/>
      </c>
      <c r="AZ17" s="295">
        <f>IFERROR(AZ16,0)</f>
        <v/>
      </c>
      <c r="BA17" s="296">
        <f>SUM(AO17:AZ17)</f>
        <v/>
      </c>
      <c r="BB17" s="295">
        <f>IFERROR(BB16,0)</f>
        <v/>
      </c>
      <c r="BC17" s="295">
        <f>IFERROR(BC16,0)</f>
        <v/>
      </c>
      <c r="BD17" s="295">
        <f>IFERROR(BD16,0)</f>
        <v/>
      </c>
      <c r="BE17" s="295">
        <f>IFERROR(BE16,0)</f>
        <v/>
      </c>
      <c r="BF17" s="295">
        <f>IFERROR(BF16,0)</f>
        <v/>
      </c>
      <c r="BG17" s="295">
        <f>IFERROR(BG16,0)</f>
        <v/>
      </c>
      <c r="BH17" s="295">
        <f>IFERROR(BH16,0)</f>
        <v/>
      </c>
      <c r="BI17" s="295">
        <f>IFERROR(BI16,0)</f>
        <v/>
      </c>
      <c r="BJ17" s="295">
        <f>IFERROR(BJ16,0)</f>
        <v/>
      </c>
      <c r="BK17" s="295">
        <f>IFERROR(BK16,0)</f>
        <v/>
      </c>
      <c r="BL17" s="295">
        <f>IFERROR(BL16,0)</f>
        <v/>
      </c>
      <c r="BM17" s="295">
        <f>IFERROR(BM16,0)</f>
        <v/>
      </c>
      <c r="BN17" s="296">
        <f>SUM(BB17:BM17)</f>
        <v/>
      </c>
    </row>
    <row r="18" ht="6" customHeight="1" s="218">
      <c r="A18" s="221" t="n"/>
      <c r="B18" s="221" t="n"/>
      <c r="C18" s="221" t="n"/>
      <c r="D18" s="221" t="n"/>
      <c r="E18" s="221" t="n"/>
      <c r="F18" s="221" t="n"/>
      <c r="G18" s="221" t="n"/>
      <c r="H18" s="221" t="n"/>
      <c r="I18" s="221" t="n"/>
      <c r="J18" s="221" t="n"/>
      <c r="K18" s="221" t="n"/>
      <c r="L18" s="221" t="n"/>
      <c r="M18" s="221" t="n"/>
      <c r="N18" s="221" t="n"/>
      <c r="O18" s="221" t="n"/>
      <c r="P18" s="221" t="n"/>
      <c r="Q18" s="221" t="n"/>
      <c r="R18" s="221" t="n"/>
      <c r="S18" s="221" t="n"/>
      <c r="T18" s="221" t="n"/>
      <c r="U18" s="221" t="n"/>
      <c r="V18" s="221" t="n"/>
      <c r="W18" s="221" t="n"/>
      <c r="X18" s="221" t="n"/>
      <c r="Y18" s="221" t="n"/>
      <c r="Z18" s="221" t="n"/>
      <c r="AA18" s="221" t="n"/>
      <c r="AB18" s="221" t="n"/>
      <c r="AC18" s="221" t="n"/>
      <c r="AD18" s="221" t="n"/>
      <c r="AE18" s="221" t="n"/>
      <c r="AF18" s="221" t="n"/>
      <c r="AG18" s="221" t="n"/>
      <c r="AH18" s="221" t="n"/>
      <c r="AI18" s="221" t="n"/>
      <c r="AJ18" s="221" t="n"/>
      <c r="AK18" s="221" t="n"/>
      <c r="AL18" s="221" t="n"/>
      <c r="AM18" s="221" t="n"/>
      <c r="AN18" s="221" t="n"/>
      <c r="AO18" s="221" t="n"/>
      <c r="AP18" s="221" t="n"/>
      <c r="AQ18" s="221" t="n"/>
      <c r="AR18" s="221" t="n"/>
      <c r="AS18" s="221" t="n"/>
      <c r="AT18" s="221" t="n"/>
      <c r="AU18" s="221" t="n"/>
      <c r="AV18" s="221" t="n"/>
      <c r="AW18" s="221" t="n"/>
      <c r="AX18" s="221" t="n"/>
      <c r="AY18" s="221" t="n"/>
      <c r="AZ18" s="221" t="n"/>
      <c r="BA18" s="285" t="n"/>
      <c r="BB18" s="221" t="n"/>
      <c r="BC18" s="221" t="n"/>
      <c r="BD18" s="221" t="n"/>
      <c r="BE18" s="221" t="n"/>
      <c r="BF18" s="221" t="n"/>
      <c r="BG18" s="221" t="n"/>
      <c r="BH18" s="221" t="n"/>
      <c r="BI18" s="221" t="n"/>
      <c r="BJ18" s="221" t="n"/>
      <c r="BK18" s="221" t="n"/>
      <c r="BL18" s="221" t="n"/>
      <c r="BM18" s="221" t="n"/>
      <c r="BN18" s="285" t="n"/>
    </row>
    <row r="19" ht="19.5" customHeight="1" s="218">
      <c r="A19" s="276" t="inlineStr">
        <is>
          <t>FINANCING ACTIVITIES</t>
        </is>
      </c>
    </row>
    <row r="20" ht="18" customHeight="1" s="218">
      <c r="A20" s="293" t="inlineStr">
        <is>
          <t xml:space="preserve">  Equity Raised — Round 1 (£)</t>
        </is>
      </c>
      <c r="B20" s="313">
        <f>IFERROR(IF(1=ASSUMPTIONS!$B$81,ASSUMPTIONS!$B$80,0),0)</f>
        <v/>
      </c>
      <c r="C20" s="313">
        <f>IFERROR(IF(2=ASSUMPTIONS!$B$81,ASSUMPTIONS!$B$80,0),0)</f>
        <v/>
      </c>
      <c r="D20" s="313">
        <f>IFERROR(IF(3=ASSUMPTIONS!$B$81,ASSUMPTIONS!$B$80,0),0)</f>
        <v/>
      </c>
      <c r="E20" s="313">
        <f>IFERROR(IF(4=ASSUMPTIONS!$B$81,ASSUMPTIONS!$B$80,0),0)</f>
        <v/>
      </c>
      <c r="F20" s="313">
        <f>IFERROR(IF(5=ASSUMPTIONS!$B$81,ASSUMPTIONS!$B$80,0),0)</f>
        <v/>
      </c>
      <c r="G20" s="313">
        <f>IFERROR(IF(6=ASSUMPTIONS!$B$81,ASSUMPTIONS!$B$80,0),0)</f>
        <v/>
      </c>
      <c r="H20" s="313">
        <f>IFERROR(IF(7=ASSUMPTIONS!$B$81,ASSUMPTIONS!$B$80,0),0)</f>
        <v/>
      </c>
      <c r="I20" s="313">
        <f>IFERROR(IF(8=ASSUMPTIONS!$B$81,ASSUMPTIONS!$B$80,0),0)</f>
        <v/>
      </c>
      <c r="J20" s="313">
        <f>IFERROR(IF(9=ASSUMPTIONS!$B$81,ASSUMPTIONS!$B$80,0),0)</f>
        <v/>
      </c>
      <c r="K20" s="313">
        <f>IFERROR(IF(10=ASSUMPTIONS!$B$81,ASSUMPTIONS!$B$80,0),0)</f>
        <v/>
      </c>
      <c r="L20" s="313">
        <f>IFERROR(IF(11=ASSUMPTIONS!$B$81,ASSUMPTIONS!$B$80,0),0)</f>
        <v/>
      </c>
      <c r="M20" s="313">
        <f>IFERROR(IF(12=ASSUMPTIONS!$B$81,ASSUMPTIONS!$B$80,0),0)</f>
        <v/>
      </c>
      <c r="N20" s="326">
        <f>SUM(B20:M20)</f>
        <v/>
      </c>
      <c r="O20" s="313">
        <f>IFERROR(IF(13=ASSUMPTIONS!$B$81,ASSUMPTIONS!$B$80,0),0)</f>
        <v/>
      </c>
      <c r="P20" s="313">
        <f>IFERROR(IF(14=ASSUMPTIONS!$B$81,ASSUMPTIONS!$B$80,0),0)</f>
        <v/>
      </c>
      <c r="Q20" s="313">
        <f>IFERROR(IF(15=ASSUMPTIONS!$B$81,ASSUMPTIONS!$B$80,0),0)</f>
        <v/>
      </c>
      <c r="R20" s="313">
        <f>IFERROR(IF(16=ASSUMPTIONS!$B$81,ASSUMPTIONS!$B$80,0),0)</f>
        <v/>
      </c>
      <c r="S20" s="313">
        <f>IFERROR(IF(17=ASSUMPTIONS!$B$81,ASSUMPTIONS!$B$80,0),0)</f>
        <v/>
      </c>
      <c r="T20" s="313">
        <f>IFERROR(IF(18=ASSUMPTIONS!$B$81,ASSUMPTIONS!$B$80,0),0)</f>
        <v/>
      </c>
      <c r="U20" s="313">
        <f>IFERROR(IF(19=ASSUMPTIONS!$B$81,ASSUMPTIONS!$B$80,0),0)</f>
        <v/>
      </c>
      <c r="V20" s="313">
        <f>IFERROR(IF(20=ASSUMPTIONS!$B$81,ASSUMPTIONS!$B$80,0),0)</f>
        <v/>
      </c>
      <c r="W20" s="313">
        <f>IFERROR(IF(21=ASSUMPTIONS!$B$81,ASSUMPTIONS!$B$80,0),0)</f>
        <v/>
      </c>
      <c r="X20" s="313">
        <f>IFERROR(IF(22=ASSUMPTIONS!$B$81,ASSUMPTIONS!$B$80,0),0)</f>
        <v/>
      </c>
      <c r="Y20" s="313">
        <f>IFERROR(IF(23=ASSUMPTIONS!$B$81,ASSUMPTIONS!$B$80,0),0)</f>
        <v/>
      </c>
      <c r="Z20" s="313">
        <f>IFERROR(IF(24=ASSUMPTIONS!$B$81,ASSUMPTIONS!$B$80,0),0)</f>
        <v/>
      </c>
      <c r="AA20" s="326">
        <f>SUM(O20:Z20)</f>
        <v/>
      </c>
      <c r="AB20" s="313">
        <f>IFERROR(IF(25=ASSUMPTIONS!$B$81,ASSUMPTIONS!$B$80,0),0)</f>
        <v/>
      </c>
      <c r="AC20" s="313">
        <f>IFERROR(IF(26=ASSUMPTIONS!$B$81,ASSUMPTIONS!$B$80,0),0)</f>
        <v/>
      </c>
      <c r="AD20" s="313">
        <f>IFERROR(IF(27=ASSUMPTIONS!$B$81,ASSUMPTIONS!$B$80,0),0)</f>
        <v/>
      </c>
      <c r="AE20" s="313">
        <f>IFERROR(IF(28=ASSUMPTIONS!$B$81,ASSUMPTIONS!$B$80,0),0)</f>
        <v/>
      </c>
      <c r="AF20" s="313">
        <f>IFERROR(IF(29=ASSUMPTIONS!$B$81,ASSUMPTIONS!$B$80,0),0)</f>
        <v/>
      </c>
      <c r="AG20" s="313">
        <f>IFERROR(IF(30=ASSUMPTIONS!$B$81,ASSUMPTIONS!$B$80,0),0)</f>
        <v/>
      </c>
      <c r="AH20" s="313">
        <f>IFERROR(IF(31=ASSUMPTIONS!$B$81,ASSUMPTIONS!$B$80,0),0)</f>
        <v/>
      </c>
      <c r="AI20" s="313">
        <f>IFERROR(IF(32=ASSUMPTIONS!$B$81,ASSUMPTIONS!$B$80,0),0)</f>
        <v/>
      </c>
      <c r="AJ20" s="313">
        <f>IFERROR(IF(33=ASSUMPTIONS!$B$81,ASSUMPTIONS!$B$80,0),0)</f>
        <v/>
      </c>
      <c r="AK20" s="313">
        <f>IFERROR(IF(34=ASSUMPTIONS!$B$81,ASSUMPTIONS!$B$80,0),0)</f>
        <v/>
      </c>
      <c r="AL20" s="313">
        <f>IFERROR(IF(35=ASSUMPTIONS!$B$81,ASSUMPTIONS!$B$80,0),0)</f>
        <v/>
      </c>
      <c r="AM20" s="313">
        <f>IFERROR(IF(36=ASSUMPTIONS!$B$81,ASSUMPTIONS!$B$80,0),0)</f>
        <v/>
      </c>
      <c r="AN20" s="326">
        <f>SUM(AB20:AM20)</f>
        <v/>
      </c>
      <c r="AO20" s="313">
        <f>IFERROR(IF(37=ASSUMPTIONS!$B$81,ASSUMPTIONS!$B$80,0),0)</f>
        <v/>
      </c>
      <c r="AP20" s="313">
        <f>IFERROR(IF(38=ASSUMPTIONS!$B$81,ASSUMPTIONS!$B$80,0),0)</f>
        <v/>
      </c>
      <c r="AQ20" s="313">
        <f>IFERROR(IF(39=ASSUMPTIONS!$B$81,ASSUMPTIONS!$B$80,0),0)</f>
        <v/>
      </c>
      <c r="AR20" s="313">
        <f>IFERROR(IF(40=ASSUMPTIONS!$B$81,ASSUMPTIONS!$B$80,0),0)</f>
        <v/>
      </c>
      <c r="AS20" s="313">
        <f>IFERROR(IF(41=ASSUMPTIONS!$B$81,ASSUMPTIONS!$B$80,0),0)</f>
        <v/>
      </c>
      <c r="AT20" s="313">
        <f>IFERROR(IF(42=ASSUMPTIONS!$B$81,ASSUMPTIONS!$B$80,0),0)</f>
        <v/>
      </c>
      <c r="AU20" s="313">
        <f>IFERROR(IF(43=ASSUMPTIONS!$B$81,ASSUMPTIONS!$B$80,0),0)</f>
        <v/>
      </c>
      <c r="AV20" s="313">
        <f>IFERROR(IF(44=ASSUMPTIONS!$B$81,ASSUMPTIONS!$B$80,0),0)</f>
        <v/>
      </c>
      <c r="AW20" s="313">
        <f>IFERROR(IF(45=ASSUMPTIONS!$B$81,ASSUMPTIONS!$B$80,0),0)</f>
        <v/>
      </c>
      <c r="AX20" s="313">
        <f>IFERROR(IF(46=ASSUMPTIONS!$B$81,ASSUMPTIONS!$B$80,0),0)</f>
        <v/>
      </c>
      <c r="AY20" s="313">
        <f>IFERROR(IF(47=ASSUMPTIONS!$B$81,ASSUMPTIONS!$B$80,0),0)</f>
        <v/>
      </c>
      <c r="AZ20" s="313">
        <f>IFERROR(IF(48=ASSUMPTIONS!$B$81,ASSUMPTIONS!$B$80,0),0)</f>
        <v/>
      </c>
      <c r="BA20" s="290">
        <f>SUM(AO20:AZ20)</f>
        <v/>
      </c>
      <c r="BB20" s="313">
        <f>IFERROR(IF(49=ASSUMPTIONS!$B$81,ASSUMPTIONS!$B$80,0),0)</f>
        <v/>
      </c>
      <c r="BC20" s="313">
        <f>IFERROR(IF(50=ASSUMPTIONS!$B$81,ASSUMPTIONS!$B$80,0),0)</f>
        <v/>
      </c>
      <c r="BD20" s="313">
        <f>IFERROR(IF(51=ASSUMPTIONS!$B$81,ASSUMPTIONS!$B$80,0),0)</f>
        <v/>
      </c>
      <c r="BE20" s="313">
        <f>IFERROR(IF(52=ASSUMPTIONS!$B$81,ASSUMPTIONS!$B$80,0),0)</f>
        <v/>
      </c>
      <c r="BF20" s="313">
        <f>IFERROR(IF(53=ASSUMPTIONS!$B$81,ASSUMPTIONS!$B$80,0),0)</f>
        <v/>
      </c>
      <c r="BG20" s="313">
        <f>IFERROR(IF(54=ASSUMPTIONS!$B$81,ASSUMPTIONS!$B$80,0),0)</f>
        <v/>
      </c>
      <c r="BH20" s="313">
        <f>IFERROR(IF(55=ASSUMPTIONS!$B$81,ASSUMPTIONS!$B$80,0),0)</f>
        <v/>
      </c>
      <c r="BI20" s="313">
        <f>IFERROR(IF(56=ASSUMPTIONS!$B$81,ASSUMPTIONS!$B$80,0),0)</f>
        <v/>
      </c>
      <c r="BJ20" s="313">
        <f>IFERROR(IF(57=ASSUMPTIONS!$B$81,ASSUMPTIONS!$B$80,0),0)</f>
        <v/>
      </c>
      <c r="BK20" s="313">
        <f>IFERROR(IF(58=ASSUMPTIONS!$B$81,ASSUMPTIONS!$B$80,0),0)</f>
        <v/>
      </c>
      <c r="BL20" s="313">
        <f>IFERROR(IF(59=ASSUMPTIONS!$B$81,ASSUMPTIONS!$B$80,0),0)</f>
        <v/>
      </c>
      <c r="BM20" s="313">
        <f>IFERROR(IF(60=ASSUMPTIONS!$B$81,ASSUMPTIONS!$B$80,0),0)</f>
        <v/>
      </c>
      <c r="BN20" s="290">
        <f>SUM(BB20:BM20)</f>
        <v/>
      </c>
    </row>
    <row r="21" ht="18" customHeight="1" s="218">
      <c r="A21" s="291" t="inlineStr">
        <is>
          <t xml:space="preserve">  Equity Raised — Round 2 (£)</t>
        </is>
      </c>
      <c r="B21" s="313">
        <f>IFERROR(IF(1=ASSUMPTIONS!$B$83,ASSUMPTIONS!$B$82,0),0)</f>
        <v/>
      </c>
      <c r="C21" s="313">
        <f>IFERROR(IF(2=ASSUMPTIONS!$B$83,ASSUMPTIONS!$B$82,0),0)</f>
        <v/>
      </c>
      <c r="D21" s="313">
        <f>IFERROR(IF(3=ASSUMPTIONS!$B$83,ASSUMPTIONS!$B$82,0),0)</f>
        <v/>
      </c>
      <c r="E21" s="313">
        <f>IFERROR(IF(4=ASSUMPTIONS!$B$83,ASSUMPTIONS!$B$82,0),0)</f>
        <v/>
      </c>
      <c r="F21" s="313">
        <f>IFERROR(IF(5=ASSUMPTIONS!$B$83,ASSUMPTIONS!$B$82,0),0)</f>
        <v/>
      </c>
      <c r="G21" s="313">
        <f>IFERROR(IF(6=ASSUMPTIONS!$B$83,ASSUMPTIONS!$B$82,0),0)</f>
        <v/>
      </c>
      <c r="H21" s="313">
        <f>IFERROR(IF(7=ASSUMPTIONS!$B$83,ASSUMPTIONS!$B$82,0),0)</f>
        <v/>
      </c>
      <c r="I21" s="313">
        <f>IFERROR(IF(8=ASSUMPTIONS!$B$83,ASSUMPTIONS!$B$82,0),0)</f>
        <v/>
      </c>
      <c r="J21" s="313">
        <f>IFERROR(IF(9=ASSUMPTIONS!$B$83,ASSUMPTIONS!$B$82,0),0)</f>
        <v/>
      </c>
      <c r="K21" s="313">
        <f>IFERROR(IF(10=ASSUMPTIONS!$B$83,ASSUMPTIONS!$B$82,0),0)</f>
        <v/>
      </c>
      <c r="L21" s="313">
        <f>IFERROR(IF(11=ASSUMPTIONS!$B$83,ASSUMPTIONS!$B$82,0),0)</f>
        <v/>
      </c>
      <c r="M21" s="313">
        <f>IFERROR(IF(12=ASSUMPTIONS!$B$83,ASSUMPTIONS!$B$82,0),0)</f>
        <v/>
      </c>
      <c r="N21" s="326">
        <f>SUM(B21:M21)</f>
        <v/>
      </c>
      <c r="O21" s="313">
        <f>IFERROR(IF(13=ASSUMPTIONS!$B$83,ASSUMPTIONS!$B$82,0),0)</f>
        <v/>
      </c>
      <c r="P21" s="313">
        <f>IFERROR(IF(14=ASSUMPTIONS!$B$83,ASSUMPTIONS!$B$82,0),0)</f>
        <v/>
      </c>
      <c r="Q21" s="313">
        <f>IFERROR(IF(15=ASSUMPTIONS!$B$83,ASSUMPTIONS!$B$82,0),0)</f>
        <v/>
      </c>
      <c r="R21" s="313">
        <f>IFERROR(IF(16=ASSUMPTIONS!$B$83,ASSUMPTIONS!$B$82,0),0)</f>
        <v/>
      </c>
      <c r="S21" s="313">
        <f>IFERROR(IF(17=ASSUMPTIONS!$B$83,ASSUMPTIONS!$B$82,0),0)</f>
        <v/>
      </c>
      <c r="T21" s="313">
        <f>IFERROR(IF(18=ASSUMPTIONS!$B$83,ASSUMPTIONS!$B$82,0),0)</f>
        <v/>
      </c>
      <c r="U21" s="313">
        <f>IFERROR(IF(19=ASSUMPTIONS!$B$83,ASSUMPTIONS!$B$82,0),0)</f>
        <v/>
      </c>
      <c r="V21" s="313">
        <f>IFERROR(IF(20=ASSUMPTIONS!$B$83,ASSUMPTIONS!$B$82,0),0)</f>
        <v/>
      </c>
      <c r="W21" s="313">
        <f>IFERROR(IF(21=ASSUMPTIONS!$B$83,ASSUMPTIONS!$B$82,0),0)</f>
        <v/>
      </c>
      <c r="X21" s="313">
        <f>IFERROR(IF(22=ASSUMPTIONS!$B$83,ASSUMPTIONS!$B$82,0),0)</f>
        <v/>
      </c>
      <c r="Y21" s="313">
        <f>IFERROR(IF(23=ASSUMPTIONS!$B$83,ASSUMPTIONS!$B$82,0),0)</f>
        <v/>
      </c>
      <c r="Z21" s="313">
        <f>IFERROR(IF(24=ASSUMPTIONS!$B$83,ASSUMPTIONS!$B$82,0),0)</f>
        <v/>
      </c>
      <c r="AA21" s="326">
        <f>SUM(O21:Z21)</f>
        <v/>
      </c>
      <c r="AB21" s="313">
        <f>IFERROR(IF(25=ASSUMPTIONS!$B$83,ASSUMPTIONS!$B$82,0),0)</f>
        <v/>
      </c>
      <c r="AC21" s="313">
        <f>IFERROR(IF(26=ASSUMPTIONS!$B$83,ASSUMPTIONS!$B$82,0),0)</f>
        <v/>
      </c>
      <c r="AD21" s="313">
        <f>IFERROR(IF(27=ASSUMPTIONS!$B$83,ASSUMPTIONS!$B$82,0),0)</f>
        <v/>
      </c>
      <c r="AE21" s="313">
        <f>IFERROR(IF(28=ASSUMPTIONS!$B$83,ASSUMPTIONS!$B$82,0),0)</f>
        <v/>
      </c>
      <c r="AF21" s="313">
        <f>IFERROR(IF(29=ASSUMPTIONS!$B$83,ASSUMPTIONS!$B$82,0),0)</f>
        <v/>
      </c>
      <c r="AG21" s="313">
        <f>IFERROR(IF(30=ASSUMPTIONS!$B$83,ASSUMPTIONS!$B$82,0),0)</f>
        <v/>
      </c>
      <c r="AH21" s="313">
        <f>IFERROR(IF(31=ASSUMPTIONS!$B$83,ASSUMPTIONS!$B$82,0),0)</f>
        <v/>
      </c>
      <c r="AI21" s="313">
        <f>IFERROR(IF(32=ASSUMPTIONS!$B$83,ASSUMPTIONS!$B$82,0),0)</f>
        <v/>
      </c>
      <c r="AJ21" s="313">
        <f>IFERROR(IF(33=ASSUMPTIONS!$B$83,ASSUMPTIONS!$B$82,0),0)</f>
        <v/>
      </c>
      <c r="AK21" s="313">
        <f>IFERROR(IF(34=ASSUMPTIONS!$B$83,ASSUMPTIONS!$B$82,0),0)</f>
        <v/>
      </c>
      <c r="AL21" s="313">
        <f>IFERROR(IF(35=ASSUMPTIONS!$B$83,ASSUMPTIONS!$B$82,0),0)</f>
        <v/>
      </c>
      <c r="AM21" s="313">
        <f>IFERROR(IF(36=ASSUMPTIONS!$B$83,ASSUMPTIONS!$B$82,0),0)</f>
        <v/>
      </c>
      <c r="AN21" s="326">
        <f>SUM(AB21:AM21)</f>
        <v/>
      </c>
      <c r="AO21" s="313">
        <f>IFERROR(IF(37=ASSUMPTIONS!$B$83,ASSUMPTIONS!$B$82,0),0)</f>
        <v/>
      </c>
      <c r="AP21" s="313">
        <f>IFERROR(IF(38=ASSUMPTIONS!$B$83,ASSUMPTIONS!$B$82,0),0)</f>
        <v/>
      </c>
      <c r="AQ21" s="313">
        <f>IFERROR(IF(39=ASSUMPTIONS!$B$83,ASSUMPTIONS!$B$82,0),0)</f>
        <v/>
      </c>
      <c r="AR21" s="313">
        <f>IFERROR(IF(40=ASSUMPTIONS!$B$83,ASSUMPTIONS!$B$82,0),0)</f>
        <v/>
      </c>
      <c r="AS21" s="313">
        <f>IFERROR(IF(41=ASSUMPTIONS!$B$83,ASSUMPTIONS!$B$82,0),0)</f>
        <v/>
      </c>
      <c r="AT21" s="313">
        <f>IFERROR(IF(42=ASSUMPTIONS!$B$83,ASSUMPTIONS!$B$82,0),0)</f>
        <v/>
      </c>
      <c r="AU21" s="313">
        <f>IFERROR(IF(43=ASSUMPTIONS!$B$83,ASSUMPTIONS!$B$82,0),0)</f>
        <v/>
      </c>
      <c r="AV21" s="313">
        <f>IFERROR(IF(44=ASSUMPTIONS!$B$83,ASSUMPTIONS!$B$82,0),0)</f>
        <v/>
      </c>
      <c r="AW21" s="313">
        <f>IFERROR(IF(45=ASSUMPTIONS!$B$83,ASSUMPTIONS!$B$82,0),0)</f>
        <v/>
      </c>
      <c r="AX21" s="313">
        <f>IFERROR(IF(46=ASSUMPTIONS!$B$83,ASSUMPTIONS!$B$82,0),0)</f>
        <v/>
      </c>
      <c r="AY21" s="313">
        <f>IFERROR(IF(47=ASSUMPTIONS!$B$83,ASSUMPTIONS!$B$82,0),0)</f>
        <v/>
      </c>
      <c r="AZ21" s="313">
        <f>IFERROR(IF(48=ASSUMPTIONS!$B$83,ASSUMPTIONS!$B$82,0),0)</f>
        <v/>
      </c>
      <c r="BA21" s="290">
        <f>SUM(AO21:AZ21)</f>
        <v/>
      </c>
      <c r="BB21" s="313">
        <f>IFERROR(IF(49=ASSUMPTIONS!$B$83,ASSUMPTIONS!$B$82,0),0)</f>
        <v/>
      </c>
      <c r="BC21" s="313">
        <f>IFERROR(IF(50=ASSUMPTIONS!$B$83,ASSUMPTIONS!$B$82,0),0)</f>
        <v/>
      </c>
      <c r="BD21" s="313">
        <f>IFERROR(IF(51=ASSUMPTIONS!$B$83,ASSUMPTIONS!$B$82,0),0)</f>
        <v/>
      </c>
      <c r="BE21" s="313">
        <f>IFERROR(IF(52=ASSUMPTIONS!$B$83,ASSUMPTIONS!$B$82,0),0)</f>
        <v/>
      </c>
      <c r="BF21" s="313">
        <f>IFERROR(IF(53=ASSUMPTIONS!$B$83,ASSUMPTIONS!$B$82,0),0)</f>
        <v/>
      </c>
      <c r="BG21" s="313">
        <f>IFERROR(IF(54=ASSUMPTIONS!$B$83,ASSUMPTIONS!$B$82,0),0)</f>
        <v/>
      </c>
      <c r="BH21" s="313">
        <f>IFERROR(IF(55=ASSUMPTIONS!$B$83,ASSUMPTIONS!$B$82,0),0)</f>
        <v/>
      </c>
      <c r="BI21" s="313">
        <f>IFERROR(IF(56=ASSUMPTIONS!$B$83,ASSUMPTIONS!$B$82,0),0)</f>
        <v/>
      </c>
      <c r="BJ21" s="313">
        <f>IFERROR(IF(57=ASSUMPTIONS!$B$83,ASSUMPTIONS!$B$82,0),0)</f>
        <v/>
      </c>
      <c r="BK21" s="313">
        <f>IFERROR(IF(58=ASSUMPTIONS!$B$83,ASSUMPTIONS!$B$82,0),0)</f>
        <v/>
      </c>
      <c r="BL21" s="313">
        <f>IFERROR(IF(59=ASSUMPTIONS!$B$83,ASSUMPTIONS!$B$82,0),0)</f>
        <v/>
      </c>
      <c r="BM21" s="313">
        <f>IFERROR(IF(60=ASSUMPTIONS!$B$83,ASSUMPTIONS!$B$82,0),0)</f>
        <v/>
      </c>
      <c r="BN21" s="290">
        <f>SUM(BB21:BM21)</f>
        <v/>
      </c>
    </row>
    <row r="22" ht="18" customHeight="1" s="218">
      <c r="A22" s="294" t="inlineStr">
        <is>
          <t>CASH FROM FINANCING (£)</t>
        </is>
      </c>
      <c r="B22" s="295">
        <f>IFERROR(B20+B21,0)</f>
        <v/>
      </c>
      <c r="C22" s="295">
        <f>IFERROR(C20+C21,0)</f>
        <v/>
      </c>
      <c r="D22" s="295">
        <f>IFERROR(D20+D21,0)</f>
        <v/>
      </c>
      <c r="E22" s="295">
        <f>IFERROR(E20+E21,0)</f>
        <v/>
      </c>
      <c r="F22" s="295">
        <f>IFERROR(F20+F21,0)</f>
        <v/>
      </c>
      <c r="G22" s="295">
        <f>IFERROR(G20+G21,0)</f>
        <v/>
      </c>
      <c r="H22" s="295">
        <f>IFERROR(H20+H21,0)</f>
        <v/>
      </c>
      <c r="I22" s="295">
        <f>IFERROR(I20+I21,0)</f>
        <v/>
      </c>
      <c r="J22" s="295">
        <f>IFERROR(J20+J21,0)</f>
        <v/>
      </c>
      <c r="K22" s="295">
        <f>IFERROR(K20+K21,0)</f>
        <v/>
      </c>
      <c r="L22" s="295">
        <f>IFERROR(L20+L21,0)</f>
        <v/>
      </c>
      <c r="M22" s="295">
        <f>IFERROR(M20+M21,0)</f>
        <v/>
      </c>
      <c r="N22" s="295">
        <f>SUM(B22:M22)</f>
        <v/>
      </c>
      <c r="O22" s="295">
        <f>IFERROR(O20+O21,0)</f>
        <v/>
      </c>
      <c r="P22" s="295">
        <f>IFERROR(P20+P21,0)</f>
        <v/>
      </c>
      <c r="Q22" s="295">
        <f>IFERROR(Q20+Q21,0)</f>
        <v/>
      </c>
      <c r="R22" s="295">
        <f>IFERROR(R20+R21,0)</f>
        <v/>
      </c>
      <c r="S22" s="295">
        <f>IFERROR(S20+S21,0)</f>
        <v/>
      </c>
      <c r="T22" s="295">
        <f>IFERROR(T20+T21,0)</f>
        <v/>
      </c>
      <c r="U22" s="295">
        <f>IFERROR(U20+U21,0)</f>
        <v/>
      </c>
      <c r="V22" s="295">
        <f>IFERROR(V20+V21,0)</f>
        <v/>
      </c>
      <c r="W22" s="295">
        <f>IFERROR(W20+W21,0)</f>
        <v/>
      </c>
      <c r="X22" s="295">
        <f>IFERROR(X20+X21,0)</f>
        <v/>
      </c>
      <c r="Y22" s="295">
        <f>IFERROR(Y20+Y21,0)</f>
        <v/>
      </c>
      <c r="Z22" s="295">
        <f>IFERROR(Z20+Z21,0)</f>
        <v/>
      </c>
      <c r="AA22" s="295">
        <f>SUM(O22:Z22)</f>
        <v/>
      </c>
      <c r="AB22" s="295">
        <f>IFERROR(AB20+AB21,0)</f>
        <v/>
      </c>
      <c r="AC22" s="295">
        <f>IFERROR(AC20+AC21,0)</f>
        <v/>
      </c>
      <c r="AD22" s="295">
        <f>IFERROR(AD20+AD21,0)</f>
        <v/>
      </c>
      <c r="AE22" s="295">
        <f>IFERROR(AE20+AE21,0)</f>
        <v/>
      </c>
      <c r="AF22" s="295">
        <f>IFERROR(AF20+AF21,0)</f>
        <v/>
      </c>
      <c r="AG22" s="295">
        <f>IFERROR(AG20+AG21,0)</f>
        <v/>
      </c>
      <c r="AH22" s="295">
        <f>IFERROR(AH20+AH21,0)</f>
        <v/>
      </c>
      <c r="AI22" s="295">
        <f>IFERROR(AI20+AI21,0)</f>
        <v/>
      </c>
      <c r="AJ22" s="295">
        <f>IFERROR(AJ20+AJ21,0)</f>
        <v/>
      </c>
      <c r="AK22" s="295">
        <f>IFERROR(AK20+AK21,0)</f>
        <v/>
      </c>
      <c r="AL22" s="295">
        <f>IFERROR(AL20+AL21,0)</f>
        <v/>
      </c>
      <c r="AM22" s="295">
        <f>IFERROR(AM20+AM21,0)</f>
        <v/>
      </c>
      <c r="AN22" s="295">
        <f>SUM(AB22:AM22)</f>
        <v/>
      </c>
      <c r="AO22" s="295">
        <f>IFERROR(AO20+AO21,0)</f>
        <v/>
      </c>
      <c r="AP22" s="295">
        <f>IFERROR(AP20+AP21,0)</f>
        <v/>
      </c>
      <c r="AQ22" s="295">
        <f>IFERROR(AQ20+AQ21,0)</f>
        <v/>
      </c>
      <c r="AR22" s="295">
        <f>IFERROR(AR20+AR21,0)</f>
        <v/>
      </c>
      <c r="AS22" s="295">
        <f>IFERROR(AS20+AS21,0)</f>
        <v/>
      </c>
      <c r="AT22" s="295">
        <f>IFERROR(AT20+AT21,0)</f>
        <v/>
      </c>
      <c r="AU22" s="295">
        <f>IFERROR(AU20+AU21,0)</f>
        <v/>
      </c>
      <c r="AV22" s="295">
        <f>IFERROR(AV20+AV21,0)</f>
        <v/>
      </c>
      <c r="AW22" s="295">
        <f>IFERROR(AW20+AW21,0)</f>
        <v/>
      </c>
      <c r="AX22" s="295">
        <f>IFERROR(AX20+AX21,0)</f>
        <v/>
      </c>
      <c r="AY22" s="295">
        <f>IFERROR(AY20+AY21,0)</f>
        <v/>
      </c>
      <c r="AZ22" s="295">
        <f>IFERROR(AZ20+AZ21,0)</f>
        <v/>
      </c>
      <c r="BA22" s="296">
        <f>SUM(AO22:AZ22)</f>
        <v/>
      </c>
      <c r="BB22" s="295">
        <f>IFERROR(BB20+BB21,0)</f>
        <v/>
      </c>
      <c r="BC22" s="295">
        <f>IFERROR(BC20+BC21,0)</f>
        <v/>
      </c>
      <c r="BD22" s="295">
        <f>IFERROR(BD20+BD21,0)</f>
        <v/>
      </c>
      <c r="BE22" s="295">
        <f>IFERROR(BE20+BE21,0)</f>
        <v/>
      </c>
      <c r="BF22" s="295">
        <f>IFERROR(BF20+BF21,0)</f>
        <v/>
      </c>
      <c r="BG22" s="295">
        <f>IFERROR(BG20+BG21,0)</f>
        <v/>
      </c>
      <c r="BH22" s="295">
        <f>IFERROR(BH20+BH21,0)</f>
        <v/>
      </c>
      <c r="BI22" s="295">
        <f>IFERROR(BI20+BI21,0)</f>
        <v/>
      </c>
      <c r="BJ22" s="295">
        <f>IFERROR(BJ20+BJ21,0)</f>
        <v/>
      </c>
      <c r="BK22" s="295">
        <f>IFERROR(BK20+BK21,0)</f>
        <v/>
      </c>
      <c r="BL22" s="295">
        <f>IFERROR(BL20+BL21,0)</f>
        <v/>
      </c>
      <c r="BM22" s="295">
        <f>IFERROR(BM20+BM21,0)</f>
        <v/>
      </c>
      <c r="BN22" s="296">
        <f>SUM(BB22:BM22)</f>
        <v/>
      </c>
    </row>
    <row r="23" ht="6" customHeight="1" s="218">
      <c r="A23" s="297" t="n"/>
      <c r="B23" s="297" t="n"/>
      <c r="C23" s="297" t="n"/>
      <c r="D23" s="297" t="n"/>
      <c r="E23" s="297" t="n"/>
      <c r="F23" s="297" t="n"/>
      <c r="G23" s="297" t="n"/>
      <c r="H23" s="297" t="n"/>
      <c r="I23" s="297" t="n"/>
      <c r="J23" s="297" t="n"/>
      <c r="K23" s="297" t="n"/>
      <c r="L23" s="297" t="n"/>
      <c r="M23" s="297" t="n"/>
      <c r="N23" s="297" t="n"/>
      <c r="O23" s="297" t="n"/>
      <c r="P23" s="297" t="n"/>
      <c r="Q23" s="297" t="n"/>
      <c r="R23" s="297" t="n"/>
      <c r="S23" s="297" t="n"/>
      <c r="T23" s="297" t="n"/>
      <c r="U23" s="297" t="n"/>
      <c r="V23" s="297" t="n"/>
      <c r="W23" s="297" t="n"/>
      <c r="X23" s="297" t="n"/>
      <c r="Y23" s="297" t="n"/>
      <c r="Z23" s="297" t="n"/>
      <c r="AA23" s="297" t="n"/>
      <c r="AB23" s="297" t="n"/>
      <c r="AC23" s="297" t="n"/>
      <c r="AD23" s="297" t="n"/>
      <c r="AE23" s="297" t="n"/>
      <c r="AF23" s="297" t="n"/>
      <c r="AG23" s="297" t="n"/>
      <c r="AH23" s="297" t="n"/>
      <c r="AI23" s="297" t="n"/>
      <c r="AJ23" s="297" t="n"/>
      <c r="AK23" s="297" t="n"/>
      <c r="AL23" s="297" t="n"/>
      <c r="AM23" s="297" t="n"/>
      <c r="AN23" s="297" t="n"/>
      <c r="AO23" s="297" t="n"/>
      <c r="AP23" s="297" t="n"/>
      <c r="AQ23" s="297" t="n"/>
      <c r="AR23" s="297" t="n"/>
      <c r="AS23" s="297" t="n"/>
      <c r="AT23" s="297" t="n"/>
      <c r="AU23" s="297" t="n"/>
      <c r="AV23" s="297" t="n"/>
      <c r="AW23" s="297" t="n"/>
      <c r="AX23" s="297" t="n"/>
      <c r="AY23" s="297" t="n"/>
      <c r="AZ23" s="297" t="n"/>
      <c r="BA23" s="298" t="n"/>
      <c r="BB23" s="297" t="n"/>
      <c r="BC23" s="297" t="n"/>
      <c r="BD23" s="297" t="n"/>
      <c r="BE23" s="297" t="n"/>
      <c r="BF23" s="297" t="n"/>
      <c r="BG23" s="297" t="n"/>
      <c r="BH23" s="297" t="n"/>
      <c r="BI23" s="297" t="n"/>
      <c r="BJ23" s="297" t="n"/>
      <c r="BK23" s="297" t="n"/>
      <c r="BL23" s="297" t="n"/>
      <c r="BM23" s="297" t="n"/>
      <c r="BN23" s="298" t="n"/>
    </row>
    <row r="24" ht="18" customHeight="1" s="218">
      <c r="A24" s="294" t="inlineStr">
        <is>
          <t>NET CASH MOVEMENT (£)</t>
        </is>
      </c>
      <c r="B24" s="295">
        <f>IFERROR(B13+B17+B22,0)</f>
        <v/>
      </c>
      <c r="C24" s="295">
        <f>IFERROR(C13+C17+C22,0)</f>
        <v/>
      </c>
      <c r="D24" s="295">
        <f>IFERROR(D13+D17+D22,0)</f>
        <v/>
      </c>
      <c r="E24" s="295">
        <f>IFERROR(E13+E17+E22,0)</f>
        <v/>
      </c>
      <c r="F24" s="295">
        <f>IFERROR(F13+F17+F22,0)</f>
        <v/>
      </c>
      <c r="G24" s="295">
        <f>IFERROR(G13+G17+G22,0)</f>
        <v/>
      </c>
      <c r="H24" s="295">
        <f>IFERROR(H13+H17+H22,0)</f>
        <v/>
      </c>
      <c r="I24" s="295">
        <f>IFERROR(I13+I17+I22,0)</f>
        <v/>
      </c>
      <c r="J24" s="295">
        <f>IFERROR(J13+J17+J22,0)</f>
        <v/>
      </c>
      <c r="K24" s="295">
        <f>IFERROR(K13+K17+K22,0)</f>
        <v/>
      </c>
      <c r="L24" s="295">
        <f>IFERROR(L13+L17+L22,0)</f>
        <v/>
      </c>
      <c r="M24" s="295">
        <f>IFERROR(M13+M17+M22,0)</f>
        <v/>
      </c>
      <c r="N24" s="295">
        <f>SUM(B24:M24)</f>
        <v/>
      </c>
      <c r="O24" s="295">
        <f>IFERROR(O13+O17+O22,0)</f>
        <v/>
      </c>
      <c r="P24" s="295">
        <f>IFERROR(P13+P17+P22,0)</f>
        <v/>
      </c>
      <c r="Q24" s="295">
        <f>IFERROR(Q13+Q17+Q22,0)</f>
        <v/>
      </c>
      <c r="R24" s="295">
        <f>IFERROR(R13+R17+R22,0)</f>
        <v/>
      </c>
      <c r="S24" s="295">
        <f>IFERROR(S13+S17+S22,0)</f>
        <v/>
      </c>
      <c r="T24" s="295">
        <f>IFERROR(T13+T17+T22,0)</f>
        <v/>
      </c>
      <c r="U24" s="295">
        <f>IFERROR(U13+U17+U22,0)</f>
        <v/>
      </c>
      <c r="V24" s="295">
        <f>IFERROR(V13+V17+V22,0)</f>
        <v/>
      </c>
      <c r="W24" s="295">
        <f>IFERROR(W13+W17+W22,0)</f>
        <v/>
      </c>
      <c r="X24" s="295">
        <f>IFERROR(X13+X17+X22,0)</f>
        <v/>
      </c>
      <c r="Y24" s="295">
        <f>IFERROR(Y13+Y17+Y22,0)</f>
        <v/>
      </c>
      <c r="Z24" s="295">
        <f>IFERROR(Z13+Z17+Z22,0)</f>
        <v/>
      </c>
      <c r="AA24" s="295">
        <f>SUM(O24:Z24)</f>
        <v/>
      </c>
      <c r="AB24" s="295">
        <f>IFERROR(AB13+AB17+AB22,0)</f>
        <v/>
      </c>
      <c r="AC24" s="295">
        <f>IFERROR(AC13+AC17+AC22,0)</f>
        <v/>
      </c>
      <c r="AD24" s="295">
        <f>IFERROR(AD13+AD17+AD22,0)</f>
        <v/>
      </c>
      <c r="AE24" s="295">
        <f>IFERROR(AE13+AE17+AE22,0)</f>
        <v/>
      </c>
      <c r="AF24" s="295">
        <f>IFERROR(AF13+AF17+AF22,0)</f>
        <v/>
      </c>
      <c r="AG24" s="295">
        <f>IFERROR(AG13+AG17+AG22,0)</f>
        <v/>
      </c>
      <c r="AH24" s="295">
        <f>IFERROR(AH13+AH17+AH22,0)</f>
        <v/>
      </c>
      <c r="AI24" s="295">
        <f>IFERROR(AI13+AI17+AI22,0)</f>
        <v/>
      </c>
      <c r="AJ24" s="295">
        <f>IFERROR(AJ13+AJ17+AJ22,0)</f>
        <v/>
      </c>
      <c r="AK24" s="295">
        <f>IFERROR(AK13+AK17+AK22,0)</f>
        <v/>
      </c>
      <c r="AL24" s="295">
        <f>IFERROR(AL13+AL17+AL22,0)</f>
        <v/>
      </c>
      <c r="AM24" s="295">
        <f>IFERROR(AM13+AM17+AM22,0)</f>
        <v/>
      </c>
      <c r="AN24" s="295">
        <f>SUM(AB24:AM24)</f>
        <v/>
      </c>
      <c r="AO24" s="295">
        <f>IFERROR(AO13+AO17+AO22,0)</f>
        <v/>
      </c>
      <c r="AP24" s="295">
        <f>IFERROR(AP13+AP17+AP22,0)</f>
        <v/>
      </c>
      <c r="AQ24" s="295">
        <f>IFERROR(AQ13+AQ17+AQ22,0)</f>
        <v/>
      </c>
      <c r="AR24" s="295">
        <f>IFERROR(AR13+AR17+AR22,0)</f>
        <v/>
      </c>
      <c r="AS24" s="295">
        <f>IFERROR(AS13+AS17+AS22,0)</f>
        <v/>
      </c>
      <c r="AT24" s="295">
        <f>IFERROR(AT13+AT17+AT22,0)</f>
        <v/>
      </c>
      <c r="AU24" s="295">
        <f>IFERROR(AU13+AU17+AU22,0)</f>
        <v/>
      </c>
      <c r="AV24" s="295">
        <f>IFERROR(AV13+AV17+AV22,0)</f>
        <v/>
      </c>
      <c r="AW24" s="295">
        <f>IFERROR(AW13+AW17+AW22,0)</f>
        <v/>
      </c>
      <c r="AX24" s="295">
        <f>IFERROR(AX13+AX17+AX22,0)</f>
        <v/>
      </c>
      <c r="AY24" s="295">
        <f>IFERROR(AY13+AY17+AY22,0)</f>
        <v/>
      </c>
      <c r="AZ24" s="295">
        <f>IFERROR(AZ13+AZ17+AZ22,0)</f>
        <v/>
      </c>
      <c r="BA24" s="296">
        <f>SUM(AO24:AZ24)</f>
        <v/>
      </c>
      <c r="BB24" s="295">
        <f>IFERROR(BB13+BB17+BB22,0)</f>
        <v/>
      </c>
      <c r="BC24" s="295">
        <f>IFERROR(BC13+BC17+BC22,0)</f>
        <v/>
      </c>
      <c r="BD24" s="295">
        <f>IFERROR(BD13+BD17+BD22,0)</f>
        <v/>
      </c>
      <c r="BE24" s="295">
        <f>IFERROR(BE13+BE17+BE22,0)</f>
        <v/>
      </c>
      <c r="BF24" s="295">
        <f>IFERROR(BF13+BF17+BF22,0)</f>
        <v/>
      </c>
      <c r="BG24" s="295">
        <f>IFERROR(BG13+BG17+BG22,0)</f>
        <v/>
      </c>
      <c r="BH24" s="295">
        <f>IFERROR(BH13+BH17+BH22,0)</f>
        <v/>
      </c>
      <c r="BI24" s="295">
        <f>IFERROR(BI13+BI17+BI22,0)</f>
        <v/>
      </c>
      <c r="BJ24" s="295">
        <f>IFERROR(BJ13+BJ17+BJ22,0)</f>
        <v/>
      </c>
      <c r="BK24" s="295">
        <f>IFERROR(BK13+BK17+BK22,0)</f>
        <v/>
      </c>
      <c r="BL24" s="295">
        <f>IFERROR(BL13+BL17+BL22,0)</f>
        <v/>
      </c>
      <c r="BM24" s="295">
        <f>IFERROR(BM13+BM17+BM22,0)</f>
        <v/>
      </c>
      <c r="BN24" s="296">
        <f>SUM(BB24:BM24)</f>
        <v/>
      </c>
    </row>
    <row r="25" ht="18" customHeight="1" s="218">
      <c r="A25" s="294" t="inlineStr">
        <is>
          <t>CLOSING CASH BALANCE (£)</t>
        </is>
      </c>
      <c r="B25" s="295">
        <f>IFERROR(B7+B24,0)</f>
        <v/>
      </c>
      <c r="C25" s="295">
        <f>IFERROR(C7+C24,0)</f>
        <v/>
      </c>
      <c r="D25" s="295">
        <f>IFERROR(D7+D24,0)</f>
        <v/>
      </c>
      <c r="E25" s="295">
        <f>IFERROR(E7+E24,0)</f>
        <v/>
      </c>
      <c r="F25" s="295">
        <f>IFERROR(F7+F24,0)</f>
        <v/>
      </c>
      <c r="G25" s="295">
        <f>IFERROR(G7+G24,0)</f>
        <v/>
      </c>
      <c r="H25" s="295">
        <f>IFERROR(H7+H24,0)</f>
        <v/>
      </c>
      <c r="I25" s="295">
        <f>IFERROR(I7+I24,0)</f>
        <v/>
      </c>
      <c r="J25" s="295">
        <f>IFERROR(J7+J24,0)</f>
        <v/>
      </c>
      <c r="K25" s="295">
        <f>IFERROR(K7+K24,0)</f>
        <v/>
      </c>
      <c r="L25" s="295">
        <f>IFERROR(L7+L24,0)</f>
        <v/>
      </c>
      <c r="M25" s="295">
        <f>IFERROR(M7+M24,0)</f>
        <v/>
      </c>
      <c r="N25" s="295">
        <f>SUM(B25:M25)</f>
        <v/>
      </c>
      <c r="O25" s="295">
        <f>IFERROR(O7+O24,0)</f>
        <v/>
      </c>
      <c r="P25" s="295">
        <f>IFERROR(P7+P24,0)</f>
        <v/>
      </c>
      <c r="Q25" s="295">
        <f>IFERROR(Q7+Q24,0)</f>
        <v/>
      </c>
      <c r="R25" s="295">
        <f>IFERROR(R7+R24,0)</f>
        <v/>
      </c>
      <c r="S25" s="295">
        <f>IFERROR(S7+S24,0)</f>
        <v/>
      </c>
      <c r="T25" s="295">
        <f>IFERROR(T7+T24,0)</f>
        <v/>
      </c>
      <c r="U25" s="295">
        <f>IFERROR(U7+U24,0)</f>
        <v/>
      </c>
      <c r="V25" s="295">
        <f>IFERROR(V7+V24,0)</f>
        <v/>
      </c>
      <c r="W25" s="295">
        <f>IFERROR(W7+W24,0)</f>
        <v/>
      </c>
      <c r="X25" s="295">
        <f>IFERROR(X7+X24,0)</f>
        <v/>
      </c>
      <c r="Y25" s="295">
        <f>IFERROR(Y7+Y24,0)</f>
        <v/>
      </c>
      <c r="Z25" s="295">
        <f>IFERROR(Z7+Z24,0)</f>
        <v/>
      </c>
      <c r="AA25" s="295">
        <f>SUM(O25:Z25)</f>
        <v/>
      </c>
      <c r="AB25" s="295">
        <f>IFERROR(AB7+AB24,0)</f>
        <v/>
      </c>
      <c r="AC25" s="295">
        <f>IFERROR(AC7+AC24,0)</f>
        <v/>
      </c>
      <c r="AD25" s="295">
        <f>IFERROR(AD7+AD24,0)</f>
        <v/>
      </c>
      <c r="AE25" s="295">
        <f>IFERROR(AE7+AE24,0)</f>
        <v/>
      </c>
      <c r="AF25" s="295">
        <f>IFERROR(AF7+AF24,0)</f>
        <v/>
      </c>
      <c r="AG25" s="295">
        <f>IFERROR(AG7+AG24,0)</f>
        <v/>
      </c>
      <c r="AH25" s="295">
        <f>IFERROR(AH7+AH24,0)</f>
        <v/>
      </c>
      <c r="AI25" s="295">
        <f>IFERROR(AI7+AI24,0)</f>
        <v/>
      </c>
      <c r="AJ25" s="295">
        <f>IFERROR(AJ7+AJ24,0)</f>
        <v/>
      </c>
      <c r="AK25" s="295">
        <f>IFERROR(AK7+AK24,0)</f>
        <v/>
      </c>
      <c r="AL25" s="295">
        <f>IFERROR(AL7+AL24,0)</f>
        <v/>
      </c>
      <c r="AM25" s="295">
        <f>IFERROR(AM7+AM24,0)</f>
        <v/>
      </c>
      <c r="AN25" s="295">
        <f>SUM(AB25:AM25)</f>
        <v/>
      </c>
      <c r="AO25" s="295">
        <f>IFERROR(AO7+AO24,0)</f>
        <v/>
      </c>
      <c r="AP25" s="295">
        <f>IFERROR(AP7+AP24,0)</f>
        <v/>
      </c>
      <c r="AQ25" s="295">
        <f>IFERROR(AQ7+AQ24,0)</f>
        <v/>
      </c>
      <c r="AR25" s="295">
        <f>IFERROR(AR7+AR24,0)</f>
        <v/>
      </c>
      <c r="AS25" s="295">
        <f>IFERROR(AS7+AS24,0)</f>
        <v/>
      </c>
      <c r="AT25" s="295">
        <f>IFERROR(AT7+AT24,0)</f>
        <v/>
      </c>
      <c r="AU25" s="295">
        <f>IFERROR(AU7+AU24,0)</f>
        <v/>
      </c>
      <c r="AV25" s="295">
        <f>IFERROR(AV7+AV24,0)</f>
        <v/>
      </c>
      <c r="AW25" s="295">
        <f>IFERROR(AW7+AW24,0)</f>
        <v/>
      </c>
      <c r="AX25" s="295">
        <f>IFERROR(AX7+AX24,0)</f>
        <v/>
      </c>
      <c r="AY25" s="295">
        <f>IFERROR(AY7+AY24,0)</f>
        <v/>
      </c>
      <c r="AZ25" s="295">
        <f>IFERROR(AZ7+AZ24,0)</f>
        <v/>
      </c>
      <c r="BA25" s="296">
        <f>SUM(AO25:AZ25)</f>
        <v/>
      </c>
      <c r="BB25" s="295">
        <f>IFERROR(BB7+BB24,0)</f>
        <v/>
      </c>
      <c r="BC25" s="295">
        <f>IFERROR(BC7+BC24,0)</f>
        <v/>
      </c>
      <c r="BD25" s="295">
        <f>IFERROR(BD7+BD24,0)</f>
        <v/>
      </c>
      <c r="BE25" s="295">
        <f>IFERROR(BE7+BE24,0)</f>
        <v/>
      </c>
      <c r="BF25" s="295">
        <f>IFERROR(BF7+BF24,0)</f>
        <v/>
      </c>
      <c r="BG25" s="295">
        <f>IFERROR(BG7+BG24,0)</f>
        <v/>
      </c>
      <c r="BH25" s="295">
        <f>IFERROR(BH7+BH24,0)</f>
        <v/>
      </c>
      <c r="BI25" s="295">
        <f>IFERROR(BI7+BI24,0)</f>
        <v/>
      </c>
      <c r="BJ25" s="295">
        <f>IFERROR(BJ7+BJ24,0)</f>
        <v/>
      </c>
      <c r="BK25" s="295">
        <f>IFERROR(BK7+BK24,0)</f>
        <v/>
      </c>
      <c r="BL25" s="295">
        <f>IFERROR(BL7+BL24,0)</f>
        <v/>
      </c>
      <c r="BM25" s="295">
        <f>IFERROR(BM7+BM24,0)</f>
        <v/>
      </c>
      <c r="BN25" s="296">
        <f>SUM(BB25:BM25)</f>
        <v/>
      </c>
    </row>
    <row r="26" ht="6" customHeight="1" s="218">
      <c r="A26" s="297" t="n"/>
      <c r="B26" s="297" t="n"/>
      <c r="C26" s="297" t="n"/>
      <c r="D26" s="297" t="n"/>
      <c r="E26" s="297" t="n"/>
      <c r="F26" s="297" t="n"/>
      <c r="G26" s="297" t="n"/>
      <c r="H26" s="297" t="n"/>
      <c r="I26" s="297" t="n"/>
      <c r="J26" s="297" t="n"/>
      <c r="K26" s="297" t="n"/>
      <c r="L26" s="297" t="n"/>
      <c r="M26" s="297" t="n"/>
      <c r="N26" s="297" t="n"/>
      <c r="O26" s="297" t="n"/>
      <c r="P26" s="297" t="n"/>
      <c r="Q26" s="297" t="n"/>
      <c r="R26" s="297" t="n"/>
      <c r="S26" s="297" t="n"/>
      <c r="T26" s="297" t="n"/>
      <c r="U26" s="297" t="n"/>
      <c r="V26" s="297" t="n"/>
      <c r="W26" s="297" t="n"/>
      <c r="X26" s="297" t="n"/>
      <c r="Y26" s="297" t="n"/>
      <c r="Z26" s="297" t="n"/>
      <c r="AA26" s="297" t="n"/>
      <c r="AB26" s="297" t="n"/>
      <c r="AC26" s="297" t="n"/>
      <c r="AD26" s="297" t="n"/>
      <c r="AE26" s="297" t="n"/>
      <c r="AF26" s="297" t="n"/>
      <c r="AG26" s="297" t="n"/>
      <c r="AH26" s="297" t="n"/>
      <c r="AI26" s="297" t="n"/>
      <c r="AJ26" s="297" t="n"/>
      <c r="AK26" s="297" t="n"/>
      <c r="AL26" s="297" t="n"/>
      <c r="AM26" s="297" t="n"/>
      <c r="AN26" s="297" t="n"/>
      <c r="AO26" s="297" t="n"/>
      <c r="AP26" s="297" t="n"/>
      <c r="AQ26" s="297" t="n"/>
      <c r="AR26" s="297" t="n"/>
      <c r="AS26" s="297" t="n"/>
      <c r="AT26" s="297" t="n"/>
      <c r="AU26" s="297" t="n"/>
      <c r="AV26" s="297" t="n"/>
      <c r="AW26" s="297" t="n"/>
      <c r="AX26" s="297" t="n"/>
      <c r="AY26" s="297" t="n"/>
      <c r="AZ26" s="297" t="n"/>
      <c r="BA26" s="298" t="n"/>
      <c r="BB26" s="297" t="n"/>
      <c r="BC26" s="297" t="n"/>
      <c r="BD26" s="297" t="n"/>
      <c r="BE26" s="297" t="n"/>
      <c r="BF26" s="297" t="n"/>
      <c r="BG26" s="297" t="n"/>
      <c r="BH26" s="297" t="n"/>
      <c r="BI26" s="297" t="n"/>
      <c r="BJ26" s="297" t="n"/>
      <c r="BK26" s="297" t="n"/>
      <c r="BL26" s="297" t="n"/>
      <c r="BM26" s="297" t="n"/>
      <c r="BN26" s="298" t="n"/>
    </row>
    <row r="27" ht="18" customHeight="1" s="218">
      <c r="A27" s="291" t="inlineStr">
        <is>
          <t xml:space="preserve">  Monthly Cash Burn (£)</t>
        </is>
      </c>
      <c r="B27" s="300">
        <f>IFERROR(MIN(0,B13+B17),0)</f>
        <v/>
      </c>
      <c r="C27" s="300">
        <f>IFERROR(MIN(0,C13+C17),0)</f>
        <v/>
      </c>
      <c r="D27" s="300">
        <f>IFERROR(MIN(0,D13+D17),0)</f>
        <v/>
      </c>
      <c r="E27" s="300">
        <f>IFERROR(MIN(0,E13+E17),0)</f>
        <v/>
      </c>
      <c r="F27" s="300">
        <f>IFERROR(MIN(0,F13+F17),0)</f>
        <v/>
      </c>
      <c r="G27" s="300">
        <f>IFERROR(MIN(0,G13+G17),0)</f>
        <v/>
      </c>
      <c r="H27" s="300">
        <f>IFERROR(MIN(0,H13+H17),0)</f>
        <v/>
      </c>
      <c r="I27" s="300">
        <f>IFERROR(MIN(0,I13+I17),0)</f>
        <v/>
      </c>
      <c r="J27" s="300">
        <f>IFERROR(MIN(0,J13+J17),0)</f>
        <v/>
      </c>
      <c r="K27" s="300">
        <f>IFERROR(MIN(0,K13+K17),0)</f>
        <v/>
      </c>
      <c r="L27" s="300">
        <f>IFERROR(MIN(0,L13+L17),0)</f>
        <v/>
      </c>
      <c r="M27" s="300">
        <f>IFERROR(MIN(0,M13+M17),0)</f>
        <v/>
      </c>
      <c r="N27" s="301">
        <f>M27</f>
        <v/>
      </c>
      <c r="O27" s="300">
        <f>IFERROR(MIN(0,O13+O17),0)</f>
        <v/>
      </c>
      <c r="P27" s="300">
        <f>IFERROR(MIN(0,P13+P17),0)</f>
        <v/>
      </c>
      <c r="Q27" s="300">
        <f>IFERROR(MIN(0,Q13+Q17),0)</f>
        <v/>
      </c>
      <c r="R27" s="300">
        <f>IFERROR(MIN(0,R13+R17),0)</f>
        <v/>
      </c>
      <c r="S27" s="300">
        <f>IFERROR(MIN(0,S13+S17),0)</f>
        <v/>
      </c>
      <c r="T27" s="300">
        <f>IFERROR(MIN(0,T13+T17),0)</f>
        <v/>
      </c>
      <c r="U27" s="300">
        <f>IFERROR(MIN(0,U13+U17),0)</f>
        <v/>
      </c>
      <c r="V27" s="300">
        <f>IFERROR(MIN(0,V13+V17),0)</f>
        <v/>
      </c>
      <c r="W27" s="300">
        <f>IFERROR(MIN(0,W13+W17),0)</f>
        <v/>
      </c>
      <c r="X27" s="300">
        <f>IFERROR(MIN(0,X13+X17),0)</f>
        <v/>
      </c>
      <c r="Y27" s="300">
        <f>IFERROR(MIN(0,Y13+Y17),0)</f>
        <v/>
      </c>
      <c r="Z27" s="300">
        <f>IFERROR(MIN(0,Z13+Z17),0)</f>
        <v/>
      </c>
      <c r="AA27" s="301">
        <f>Z27</f>
        <v/>
      </c>
      <c r="AB27" s="300">
        <f>IFERROR(MIN(0,AB13+AB17),0)</f>
        <v/>
      </c>
      <c r="AC27" s="300">
        <f>IFERROR(MIN(0,AC13+AC17),0)</f>
        <v/>
      </c>
      <c r="AD27" s="300">
        <f>IFERROR(MIN(0,AD13+AD17),0)</f>
        <v/>
      </c>
      <c r="AE27" s="300">
        <f>IFERROR(MIN(0,AE13+AE17),0)</f>
        <v/>
      </c>
      <c r="AF27" s="300">
        <f>IFERROR(MIN(0,AF13+AF17),0)</f>
        <v/>
      </c>
      <c r="AG27" s="300">
        <f>IFERROR(MIN(0,AG13+AG17),0)</f>
        <v/>
      </c>
      <c r="AH27" s="300">
        <f>IFERROR(MIN(0,AH13+AH17),0)</f>
        <v/>
      </c>
      <c r="AI27" s="300">
        <f>IFERROR(MIN(0,AI13+AI17),0)</f>
        <v/>
      </c>
      <c r="AJ27" s="300">
        <f>IFERROR(MIN(0,AJ13+AJ17),0)</f>
        <v/>
      </c>
      <c r="AK27" s="300">
        <f>IFERROR(MIN(0,AK13+AK17),0)</f>
        <v/>
      </c>
      <c r="AL27" s="300">
        <f>IFERROR(MIN(0,AL13+AL17),0)</f>
        <v/>
      </c>
      <c r="AM27" s="300">
        <f>IFERROR(MIN(0,AM13+AM17),0)</f>
        <v/>
      </c>
      <c r="AN27" s="301">
        <f>AM27</f>
        <v/>
      </c>
      <c r="AO27" s="300">
        <f>IFERROR(MIN(0,AO13+AO17),0)</f>
        <v/>
      </c>
      <c r="AP27" s="300">
        <f>IFERROR(MIN(0,AP13+AP17),0)</f>
        <v/>
      </c>
      <c r="AQ27" s="300">
        <f>IFERROR(MIN(0,AQ13+AQ17),0)</f>
        <v/>
      </c>
      <c r="AR27" s="300">
        <f>IFERROR(MIN(0,AR13+AR17),0)</f>
        <v/>
      </c>
      <c r="AS27" s="300">
        <f>IFERROR(MIN(0,AS13+AS17),0)</f>
        <v/>
      </c>
      <c r="AT27" s="300">
        <f>IFERROR(MIN(0,AT13+AT17),0)</f>
        <v/>
      </c>
      <c r="AU27" s="300">
        <f>IFERROR(MIN(0,AU13+AU17),0)</f>
        <v/>
      </c>
      <c r="AV27" s="300">
        <f>IFERROR(MIN(0,AV13+AV17),0)</f>
        <v/>
      </c>
      <c r="AW27" s="300">
        <f>IFERROR(MIN(0,AW13+AW17),0)</f>
        <v/>
      </c>
      <c r="AX27" s="300">
        <f>IFERROR(MIN(0,AX13+AX17),0)</f>
        <v/>
      </c>
      <c r="AY27" s="300">
        <f>IFERROR(MIN(0,AY13+AY17),0)</f>
        <v/>
      </c>
      <c r="AZ27" s="300">
        <f>IFERROR(MIN(0,AZ13+AZ17),0)</f>
        <v/>
      </c>
      <c r="BA27" s="290">
        <f>AZ27</f>
        <v/>
      </c>
      <c r="BB27" s="300">
        <f>IFERROR(MIN(0,BB13+BB17),0)</f>
        <v/>
      </c>
      <c r="BC27" s="300">
        <f>IFERROR(MIN(0,BC13+BC17),0)</f>
        <v/>
      </c>
      <c r="BD27" s="300">
        <f>IFERROR(MIN(0,BD13+BD17),0)</f>
        <v/>
      </c>
      <c r="BE27" s="300">
        <f>IFERROR(MIN(0,BE13+BE17),0)</f>
        <v/>
      </c>
      <c r="BF27" s="300">
        <f>IFERROR(MIN(0,BF13+BF17),0)</f>
        <v/>
      </c>
      <c r="BG27" s="300">
        <f>IFERROR(MIN(0,BG13+BG17),0)</f>
        <v/>
      </c>
      <c r="BH27" s="300">
        <f>IFERROR(MIN(0,BH13+BH17),0)</f>
        <v/>
      </c>
      <c r="BI27" s="300">
        <f>IFERROR(MIN(0,BI13+BI17),0)</f>
        <v/>
      </c>
      <c r="BJ27" s="300">
        <f>IFERROR(MIN(0,BJ13+BJ17),0)</f>
        <v/>
      </c>
      <c r="BK27" s="300">
        <f>IFERROR(MIN(0,BK13+BK17),0)</f>
        <v/>
      </c>
      <c r="BL27" s="300">
        <f>IFERROR(MIN(0,BL13+BL17),0)</f>
        <v/>
      </c>
      <c r="BM27" s="300">
        <f>IFERROR(MIN(0,BM13+BM17),0)</f>
        <v/>
      </c>
      <c r="BN27" s="290">
        <f>BM27</f>
        <v/>
      </c>
    </row>
    <row r="28" ht="18" customHeight="1" s="218">
      <c r="A28" s="262" t="inlineStr">
        <is>
          <t xml:space="preserve">  Runway — Months Remaining</t>
        </is>
      </c>
      <c r="B28" s="334">
        <f>IFERROR(IF(B27&lt;0,-B25/B27,999),0)</f>
        <v/>
      </c>
      <c r="C28" s="334">
        <f>IFERROR(IF(C27&lt;0,-C25/C27,999),0)</f>
        <v/>
      </c>
      <c r="D28" s="334">
        <f>IFERROR(IF(D27&lt;0,-D25/D27,999),0)</f>
        <v/>
      </c>
      <c r="E28" s="334">
        <f>IFERROR(IF(E27&lt;0,-E25/E27,999),0)</f>
        <v/>
      </c>
      <c r="F28" s="334">
        <f>IFERROR(IF(F27&lt;0,-F25/F27,999),0)</f>
        <v/>
      </c>
      <c r="G28" s="334">
        <f>IFERROR(IF(G27&lt;0,-G25/G27,999),0)</f>
        <v/>
      </c>
      <c r="H28" s="334">
        <f>IFERROR(IF(H27&lt;0,-H25/H27,999),0)</f>
        <v/>
      </c>
      <c r="I28" s="334">
        <f>IFERROR(IF(I27&lt;0,-I25/I27,999),0)</f>
        <v/>
      </c>
      <c r="J28" s="334">
        <f>IFERROR(IF(J27&lt;0,-J25/J27,999),0)</f>
        <v/>
      </c>
      <c r="K28" s="334">
        <f>IFERROR(IF(K27&lt;0,-K25/K27,999),0)</f>
        <v/>
      </c>
      <c r="L28" s="334">
        <f>IFERROR(IF(L27&lt;0,-L25/L27,999),0)</f>
        <v/>
      </c>
      <c r="M28" s="334">
        <f>IFERROR(IF(M27&lt;0,-M25/M27,999),0)</f>
        <v/>
      </c>
      <c r="N28" s="334">
        <f>M28</f>
        <v/>
      </c>
      <c r="O28" s="334">
        <f>IFERROR(IF(O27&lt;0,-O25/O27,999),0)</f>
        <v/>
      </c>
      <c r="P28" s="334">
        <f>IFERROR(IF(P27&lt;0,-P25/P27,999),0)</f>
        <v/>
      </c>
      <c r="Q28" s="334">
        <f>IFERROR(IF(Q27&lt;0,-Q25/Q27,999),0)</f>
        <v/>
      </c>
      <c r="R28" s="334">
        <f>IFERROR(IF(R27&lt;0,-R25/R27,999),0)</f>
        <v/>
      </c>
      <c r="S28" s="334">
        <f>IFERROR(IF(S27&lt;0,-S25/S27,999),0)</f>
        <v/>
      </c>
      <c r="T28" s="334">
        <f>IFERROR(IF(T27&lt;0,-T25/T27,999),0)</f>
        <v/>
      </c>
      <c r="U28" s="334">
        <f>IFERROR(IF(U27&lt;0,-U25/U27,999),0)</f>
        <v/>
      </c>
      <c r="V28" s="334">
        <f>IFERROR(IF(V27&lt;0,-V25/V27,999),0)</f>
        <v/>
      </c>
      <c r="W28" s="334">
        <f>IFERROR(IF(W27&lt;0,-W25/W27,999),0)</f>
        <v/>
      </c>
      <c r="X28" s="334">
        <f>IFERROR(IF(X27&lt;0,-X25/X27,999),0)</f>
        <v/>
      </c>
      <c r="Y28" s="334">
        <f>IFERROR(IF(Y27&lt;0,-Y25/Y27,999),0)</f>
        <v/>
      </c>
      <c r="Z28" s="334">
        <f>IFERROR(IF(Z27&lt;0,-Z25/Z27,999),0)</f>
        <v/>
      </c>
      <c r="AA28" s="334">
        <f>Z28</f>
        <v/>
      </c>
      <c r="AB28" s="334">
        <f>IFERROR(IF(AB27&lt;0,-AB25/AB27,999),0)</f>
        <v/>
      </c>
      <c r="AC28" s="334">
        <f>IFERROR(IF(AC27&lt;0,-AC25/AC27,999),0)</f>
        <v/>
      </c>
      <c r="AD28" s="334">
        <f>IFERROR(IF(AD27&lt;0,-AD25/AD27,999),0)</f>
        <v/>
      </c>
      <c r="AE28" s="334">
        <f>IFERROR(IF(AE27&lt;0,-AE25/AE27,999),0)</f>
        <v/>
      </c>
      <c r="AF28" s="334">
        <f>IFERROR(IF(AF27&lt;0,-AF25/AF27,999),0)</f>
        <v/>
      </c>
      <c r="AG28" s="334">
        <f>IFERROR(IF(AG27&lt;0,-AG25/AG27,999),0)</f>
        <v/>
      </c>
      <c r="AH28" s="334">
        <f>IFERROR(IF(AH27&lt;0,-AH25/AH27,999),0)</f>
        <v/>
      </c>
      <c r="AI28" s="334">
        <f>IFERROR(IF(AI27&lt;0,-AI25/AI27,999),0)</f>
        <v/>
      </c>
      <c r="AJ28" s="334">
        <f>IFERROR(IF(AJ27&lt;0,-AJ25/AJ27,999),0)</f>
        <v/>
      </c>
      <c r="AK28" s="334">
        <f>IFERROR(IF(AK27&lt;0,-AK25/AK27,999),0)</f>
        <v/>
      </c>
      <c r="AL28" s="334">
        <f>IFERROR(IF(AL27&lt;0,-AL25/AL27,999),0)</f>
        <v/>
      </c>
      <c r="AM28" s="334">
        <f>IFERROR(IF(AM27&lt;0,-AM25/AM27,999),0)</f>
        <v/>
      </c>
      <c r="AN28" s="334">
        <f>AM28</f>
        <v/>
      </c>
      <c r="AO28" s="334">
        <f>IFERROR(IF(AO27&lt;0,-AO25/AO27,999),0)</f>
        <v/>
      </c>
      <c r="AP28" s="334">
        <f>IFERROR(IF(AP27&lt;0,-AP25/AP27,999),0)</f>
        <v/>
      </c>
      <c r="AQ28" s="334">
        <f>IFERROR(IF(AQ27&lt;0,-AQ25/AQ27,999),0)</f>
        <v/>
      </c>
      <c r="AR28" s="334">
        <f>IFERROR(IF(AR27&lt;0,-AR25/AR27,999),0)</f>
        <v/>
      </c>
      <c r="AS28" s="334">
        <f>IFERROR(IF(AS27&lt;0,-AS25/AS27,999),0)</f>
        <v/>
      </c>
      <c r="AT28" s="334">
        <f>IFERROR(IF(AT27&lt;0,-AT25/AT27,999),0)</f>
        <v/>
      </c>
      <c r="AU28" s="334">
        <f>IFERROR(IF(AU27&lt;0,-AU25/AU27,999),0)</f>
        <v/>
      </c>
      <c r="AV28" s="334">
        <f>IFERROR(IF(AV27&lt;0,-AV25/AV27,999),0)</f>
        <v/>
      </c>
      <c r="AW28" s="334">
        <f>IFERROR(IF(AW27&lt;0,-AW25/AW27,999),0)</f>
        <v/>
      </c>
      <c r="AX28" s="334">
        <f>IFERROR(IF(AX27&lt;0,-AX25/AX27,999),0)</f>
        <v/>
      </c>
      <c r="AY28" s="334">
        <f>IFERROR(IF(AY27&lt;0,-AY25/AY27,999),0)</f>
        <v/>
      </c>
      <c r="AZ28" s="334">
        <f>IFERROR(IF(AZ27&lt;0,-AZ25/AZ27,999),0)</f>
        <v/>
      </c>
      <c r="BA28" s="335">
        <f>AZ28</f>
        <v/>
      </c>
      <c r="BB28" s="334">
        <f>IFERROR(IF(BB27&lt;0,-BB25/BB27,999),0)</f>
        <v/>
      </c>
      <c r="BC28" s="334">
        <f>IFERROR(IF(BC27&lt;0,-BC25/BC27,999),0)</f>
        <v/>
      </c>
      <c r="BD28" s="334">
        <f>IFERROR(IF(BD27&lt;0,-BD25/BD27,999),0)</f>
        <v/>
      </c>
      <c r="BE28" s="334">
        <f>IFERROR(IF(BE27&lt;0,-BE25/BE27,999),0)</f>
        <v/>
      </c>
      <c r="BF28" s="334">
        <f>IFERROR(IF(BF27&lt;0,-BF25/BF27,999),0)</f>
        <v/>
      </c>
      <c r="BG28" s="334">
        <f>IFERROR(IF(BG27&lt;0,-BG25/BG27,999),0)</f>
        <v/>
      </c>
      <c r="BH28" s="334">
        <f>IFERROR(IF(BH27&lt;0,-BH25/BH27,999),0)</f>
        <v/>
      </c>
      <c r="BI28" s="334">
        <f>IFERROR(IF(BI27&lt;0,-BI25/BI27,999),0)</f>
        <v/>
      </c>
      <c r="BJ28" s="334">
        <f>IFERROR(IF(BJ27&lt;0,-BJ25/BJ27,999),0)</f>
        <v/>
      </c>
      <c r="BK28" s="334">
        <f>IFERROR(IF(BK27&lt;0,-BK25/BK27,999),0)</f>
        <v/>
      </c>
      <c r="BL28" s="334">
        <f>IFERROR(IF(BL27&lt;0,-BL25/BL27,999),0)</f>
        <v/>
      </c>
      <c r="BM28" s="334">
        <f>IFERROR(IF(BM27&lt;0,-BM25/BM27,999),0)</f>
        <v/>
      </c>
      <c r="BN28" s="335">
        <f>BM28</f>
        <v/>
      </c>
    </row>
    <row r="29" ht="15.75" customHeight="1" s="218"/>
    <row r="30" ht="15.75" customHeight="1" s="218"/>
    <row r="31" ht="15.75" customHeight="1" s="218"/>
    <row r="32" ht="15.75" customHeight="1" s="218"/>
    <row r="33" ht="15.75" customHeight="1" s="218"/>
    <row r="34" ht="15.75" customHeight="1" s="218"/>
    <row r="35" ht="15.75" customHeight="1" s="218"/>
    <row r="36" ht="15.75" customHeight="1" s="218"/>
    <row r="37" ht="15.75" customHeight="1" s="218"/>
    <row r="38" ht="15.75" customHeight="1" s="218"/>
    <row r="39" ht="15.75" customHeight="1" s="218"/>
    <row r="40" ht="15.75" customHeight="1" s="218"/>
    <row r="41" ht="15.75" customHeight="1" s="218"/>
    <row r="42" ht="15.75" customHeight="1" s="218"/>
    <row r="43" ht="15.75" customHeight="1" s="218"/>
    <row r="44" ht="15.75" customHeight="1" s="218"/>
    <row r="45" ht="15.75" customHeight="1" s="218"/>
    <row r="46" ht="15.75" customHeight="1" s="218"/>
    <row r="47" ht="15.75" customHeight="1" s="218"/>
    <row r="48" ht="15.75" customHeight="1" s="218"/>
    <row r="49" ht="15.75" customHeight="1" s="218"/>
    <row r="50" ht="15.75" customHeight="1" s="218"/>
    <row r="51" ht="15.75" customHeight="1" s="218"/>
    <row r="52" ht="15.75" customHeight="1" s="218"/>
    <row r="53" ht="15.75" customHeight="1" s="218"/>
    <row r="54" ht="15.75" customHeight="1" s="218"/>
    <row r="55" ht="15.75" customHeight="1" s="218"/>
    <row r="56" ht="15.75" customHeight="1" s="218"/>
    <row r="57" ht="15.75" customHeight="1" s="218"/>
    <row r="58" ht="15.75" customHeight="1" s="218"/>
    <row r="59" ht="15.75" customHeight="1" s="218"/>
    <row r="60" ht="15.75" customHeight="1" s="218"/>
    <row r="61" ht="15.75" customHeight="1" s="218"/>
    <row r="62" ht="15.75" customHeight="1" s="218"/>
    <row r="63" ht="15.75" customHeight="1" s="218"/>
    <row r="64" ht="15.75" customHeight="1" s="218"/>
    <row r="65" ht="15.75" customHeight="1" s="218"/>
    <row r="66" ht="15.75" customHeight="1" s="218"/>
    <row r="67" ht="15.75" customHeight="1" s="218"/>
    <row r="68" ht="15.75" customHeight="1" s="218"/>
    <row r="69" ht="15.75" customHeight="1" s="218"/>
    <row r="70" ht="15.75" customHeight="1" s="218"/>
    <row r="71" ht="15.75" customHeight="1" s="218"/>
    <row r="72" ht="15.75" customHeight="1" s="218"/>
    <row r="73" ht="15.75" customHeight="1" s="218"/>
    <row r="74" ht="15.75" customHeight="1" s="218"/>
    <row r="75" ht="15.75" customHeight="1" s="218"/>
    <row r="76" ht="15.75" customHeight="1" s="218"/>
    <row r="77" ht="15.75" customHeight="1" s="218"/>
    <row r="78" ht="15.75" customHeight="1" s="218"/>
    <row r="79" ht="15.75" customHeight="1" s="218"/>
    <row r="80" ht="15.75" customHeight="1" s="218"/>
    <row r="81" ht="15.75" customHeight="1" s="218"/>
    <row r="82" ht="15.75" customHeight="1" s="218"/>
    <row r="83" ht="15.75" customHeight="1" s="218"/>
    <row r="84" ht="15.75" customHeight="1" s="218"/>
    <row r="85" ht="15.75" customHeight="1" s="218"/>
    <row r="86" ht="15.75" customHeight="1" s="218"/>
    <row r="87" ht="15.75" customHeight="1" s="218"/>
    <row r="88" ht="15.75" customHeight="1" s="218"/>
    <row r="89" ht="15.75" customHeight="1" s="218"/>
    <row r="90" ht="15.75" customHeight="1" s="218"/>
    <row r="91" ht="15.75" customHeight="1" s="218"/>
    <row r="92" ht="15.75" customHeight="1" s="218"/>
    <row r="93" ht="15.75" customHeight="1" s="218"/>
    <row r="94" ht="15.75" customHeight="1" s="218"/>
    <row r="95" ht="15.75" customHeight="1" s="218"/>
    <row r="96" ht="15.75" customHeight="1" s="218"/>
    <row r="97" ht="15.75" customHeight="1" s="218"/>
    <row r="98" ht="15.75" customHeight="1" s="218"/>
    <row r="99" ht="15.75" customHeight="1" s="218"/>
    <row r="100" ht="15.75" customHeight="1" s="218"/>
    <row r="101" ht="15.75" customHeight="1" s="218"/>
    <row r="102" ht="15.75" customHeight="1" s="218"/>
    <row r="103" ht="15.75" customHeight="1" s="218"/>
    <row r="104" ht="15.75" customHeight="1" s="218"/>
    <row r="105" ht="15.75" customHeight="1" s="218"/>
    <row r="106" ht="15.75" customHeight="1" s="218"/>
    <row r="107" ht="15.75" customHeight="1" s="218"/>
    <row r="108" ht="15.75" customHeight="1" s="218"/>
    <row r="109" ht="15.75" customHeight="1" s="218"/>
    <row r="110" ht="15.75" customHeight="1" s="218"/>
    <row r="111" ht="15.75" customHeight="1" s="218"/>
    <row r="112" ht="15.75" customHeight="1" s="218"/>
    <row r="113" ht="15.75" customHeight="1" s="218"/>
    <row r="114" ht="15.75" customHeight="1" s="218"/>
    <row r="115" ht="15.75" customHeight="1" s="218"/>
    <row r="116" ht="15.75" customHeight="1" s="218"/>
    <row r="117" ht="15.75" customHeight="1" s="218"/>
    <row r="118" ht="15.75" customHeight="1" s="218"/>
    <row r="119" ht="15.75" customHeight="1" s="218"/>
    <row r="120" ht="15.75" customHeight="1" s="218"/>
    <row r="121" ht="15.75" customHeight="1" s="218"/>
    <row r="122" ht="15.75" customHeight="1" s="218"/>
    <row r="123" ht="15.75" customHeight="1" s="218"/>
    <row r="124" ht="15.75" customHeight="1" s="218"/>
    <row r="125" ht="15.75" customHeight="1" s="218"/>
    <row r="126" ht="15.75" customHeight="1" s="218"/>
    <row r="127" ht="15.75" customHeight="1" s="218"/>
    <row r="128" ht="15.75" customHeight="1" s="218"/>
    <row r="129" ht="15.75" customHeight="1" s="218"/>
    <row r="130" ht="15.75" customHeight="1" s="218"/>
    <row r="131" ht="15.75" customHeight="1" s="218"/>
    <row r="132" ht="15.75" customHeight="1" s="218"/>
    <row r="133" ht="15.75" customHeight="1" s="218"/>
    <row r="134" ht="15.75" customHeight="1" s="218"/>
    <row r="135" ht="15.75" customHeight="1" s="218"/>
    <row r="136" ht="15.75" customHeight="1" s="218"/>
    <row r="137" ht="15.75" customHeight="1" s="218"/>
    <row r="138" ht="15.75" customHeight="1" s="218"/>
    <row r="139" ht="15.75" customHeight="1" s="218"/>
    <row r="140" ht="15.75" customHeight="1" s="218"/>
    <row r="141" ht="15.75" customHeight="1" s="218"/>
    <row r="142" ht="15.75" customHeight="1" s="218"/>
    <row r="143" ht="15.75" customHeight="1" s="218"/>
    <row r="144" ht="15.75" customHeight="1" s="218"/>
    <row r="145" ht="15.75" customHeight="1" s="218"/>
    <row r="146" ht="15.75" customHeight="1" s="218"/>
    <row r="147" ht="15.75" customHeight="1" s="218"/>
    <row r="148" ht="15.75" customHeight="1" s="218"/>
    <row r="149" ht="15.75" customHeight="1" s="218"/>
    <row r="150" ht="15.75" customHeight="1" s="218"/>
    <row r="151" ht="15.75" customHeight="1" s="218"/>
    <row r="152" ht="15.75" customHeight="1" s="218"/>
    <row r="153" ht="15.75" customHeight="1" s="218"/>
    <row r="154" ht="15.75" customHeight="1" s="218"/>
    <row r="155" ht="15.75" customHeight="1" s="218"/>
    <row r="156" ht="15.75" customHeight="1" s="218"/>
    <row r="157" ht="15.75" customHeight="1" s="218"/>
    <row r="158" ht="15.75" customHeight="1" s="218"/>
    <row r="159" ht="15.75" customHeight="1" s="218"/>
    <row r="160" ht="15.75" customHeight="1" s="218"/>
    <row r="161" ht="15.75" customHeight="1" s="218"/>
    <row r="162" ht="15.75" customHeight="1" s="218"/>
    <row r="163" ht="15.75" customHeight="1" s="218"/>
    <row r="164" ht="15.75" customHeight="1" s="218"/>
    <row r="165" ht="15.75" customHeight="1" s="218"/>
    <row r="166" ht="15.75" customHeight="1" s="218"/>
    <row r="167" ht="15.75" customHeight="1" s="218"/>
    <row r="168" ht="15.75" customHeight="1" s="218"/>
    <row r="169" ht="15.75" customHeight="1" s="218"/>
    <row r="170" ht="15.75" customHeight="1" s="218"/>
    <row r="171" ht="15.75" customHeight="1" s="218"/>
    <row r="172" ht="15.75" customHeight="1" s="218"/>
    <row r="173" ht="15.75" customHeight="1" s="218"/>
    <row r="174" ht="15.75" customHeight="1" s="218"/>
    <row r="175" ht="15.75" customHeight="1" s="218"/>
    <row r="176" ht="15.75" customHeight="1" s="218"/>
    <row r="177" ht="15.75" customHeight="1" s="218"/>
    <row r="178" ht="15.75" customHeight="1" s="218"/>
    <row r="179" ht="15.75" customHeight="1" s="218"/>
    <row r="180" ht="15.75" customHeight="1" s="218"/>
    <row r="181" ht="15.75" customHeight="1" s="218"/>
    <row r="182" ht="15.75" customHeight="1" s="218"/>
    <row r="183" ht="15.75" customHeight="1" s="218"/>
    <row r="184" ht="15.75" customHeight="1" s="218"/>
    <row r="185" ht="15.75" customHeight="1" s="218"/>
    <row r="186" ht="15.75" customHeight="1" s="218"/>
    <row r="187" ht="15.75" customHeight="1" s="218"/>
    <row r="188" ht="15.75" customHeight="1" s="218"/>
    <row r="189" ht="15.75" customHeight="1" s="218"/>
    <row r="190" ht="15.75" customHeight="1" s="218"/>
    <row r="191" ht="15.75" customHeight="1" s="218"/>
    <row r="192" ht="15.75" customHeight="1" s="218"/>
    <row r="193" ht="15.75" customHeight="1" s="218"/>
    <row r="194" ht="15.75" customHeight="1" s="218"/>
    <row r="195" ht="15.75" customHeight="1" s="218"/>
    <row r="196" ht="15.75" customHeight="1" s="218"/>
    <row r="197" ht="15.75" customHeight="1" s="218"/>
    <row r="198" ht="15.75" customHeight="1" s="218"/>
    <row r="199" ht="15.75" customHeight="1" s="218"/>
    <row r="200" ht="15.75" customHeight="1" s="218"/>
    <row r="201" ht="15.75" customHeight="1" s="218"/>
    <row r="202" ht="15.75" customHeight="1" s="218"/>
    <row r="203" ht="15.75" customHeight="1" s="218"/>
    <row r="204" ht="15.75" customHeight="1" s="218"/>
    <row r="205" ht="15.75" customHeight="1" s="218"/>
    <row r="206" ht="15.75" customHeight="1" s="218"/>
    <row r="207" ht="15.75" customHeight="1" s="218"/>
    <row r="208" ht="15.75" customHeight="1" s="218"/>
    <row r="209" ht="15.75" customHeight="1" s="218"/>
    <row r="210" ht="15.75" customHeight="1" s="218"/>
    <row r="211" ht="15.75" customHeight="1" s="218"/>
    <row r="212" ht="15.75" customHeight="1" s="218"/>
    <row r="213" ht="15.75" customHeight="1" s="218"/>
    <row r="214" ht="15.75" customHeight="1" s="218"/>
    <row r="215" ht="15.75" customHeight="1" s="218"/>
    <row r="216" ht="15.75" customHeight="1" s="218"/>
    <row r="217" ht="15.75" customHeight="1" s="218"/>
    <row r="218" ht="15.75" customHeight="1" s="218"/>
    <row r="219" ht="15.75" customHeight="1" s="218"/>
    <row r="220" ht="15.75" customHeight="1" s="218"/>
    <row r="221" ht="15.75" customHeight="1" s="218"/>
    <row r="222" ht="15.75" customHeight="1" s="218"/>
    <row r="223" ht="15.75" customHeight="1" s="218"/>
    <row r="224" ht="15.75" customHeight="1" s="218"/>
    <row r="225" ht="15.75" customHeight="1" s="218"/>
    <row r="226" ht="15.75" customHeight="1" s="218"/>
    <row r="227" ht="15.75" customHeight="1" s="218"/>
    <row r="228" ht="15.75" customHeight="1" s="218"/>
    <row r="229" ht="15.75" customHeight="1" s="218"/>
    <row r="230" ht="15.75" customHeight="1" s="218"/>
    <row r="231" ht="15.75" customHeight="1" s="218"/>
    <row r="232" ht="15.75" customHeight="1" s="218"/>
    <row r="233" ht="15.75" customHeight="1" s="218"/>
    <row r="234" ht="15.75" customHeight="1" s="218"/>
    <row r="235" ht="15.75" customHeight="1" s="218"/>
    <row r="236" ht="15.75" customHeight="1" s="218"/>
    <row r="237" ht="15.75" customHeight="1" s="218"/>
    <row r="238" ht="15.75" customHeight="1" s="218"/>
    <row r="239" ht="15.75" customHeight="1" s="218"/>
    <row r="240" ht="15.75" customHeight="1" s="218"/>
    <row r="241" ht="15.75" customHeight="1" s="218"/>
    <row r="242" ht="15.75" customHeight="1" s="218"/>
    <row r="243" ht="15.75" customHeight="1" s="218"/>
    <row r="244" ht="15.75" customHeight="1" s="218"/>
    <row r="245" ht="15.75" customHeight="1" s="218"/>
    <row r="246" ht="15.75" customHeight="1" s="218"/>
    <row r="247" ht="15.75" customHeight="1" s="218"/>
    <row r="248" ht="15.75" customHeight="1" s="218"/>
    <row r="249" ht="15.75" customHeight="1" s="218"/>
    <row r="250" ht="15.75" customHeight="1" s="218"/>
    <row r="251" ht="15.75" customHeight="1" s="218"/>
    <row r="252" ht="15.75" customHeight="1" s="218"/>
    <row r="253" ht="15.75" customHeight="1" s="218"/>
    <row r="254" ht="15.75" customHeight="1" s="218"/>
    <row r="255" ht="15.75" customHeight="1" s="218"/>
    <row r="256" ht="15.75" customHeight="1" s="218"/>
    <row r="257" ht="15.75" customHeight="1" s="218"/>
    <row r="258" ht="15.75" customHeight="1" s="218"/>
    <row r="259" ht="15.75" customHeight="1" s="218"/>
    <row r="260" ht="15.75" customHeight="1" s="218"/>
    <row r="261" ht="15.75" customHeight="1" s="218"/>
    <row r="262" ht="15.75" customHeight="1" s="218"/>
    <row r="263" ht="15.75" customHeight="1" s="218"/>
    <row r="264" ht="15.75" customHeight="1" s="218"/>
    <row r="265" ht="15.75" customHeight="1" s="218"/>
    <row r="266" ht="15.75" customHeight="1" s="218"/>
    <row r="267" ht="15.75" customHeight="1" s="218"/>
    <row r="268" ht="15.75" customHeight="1" s="218"/>
    <row r="269" ht="15.75" customHeight="1" s="218"/>
    <row r="270" ht="15.75" customHeight="1" s="218"/>
    <row r="271" ht="15.75" customHeight="1" s="218"/>
    <row r="272" ht="15.75" customHeight="1" s="218"/>
    <row r="273" ht="15.75" customHeight="1" s="218"/>
    <row r="274" ht="15.75" customHeight="1" s="218"/>
    <row r="275" ht="15.75" customHeight="1" s="218"/>
    <row r="276" ht="15.75" customHeight="1" s="218"/>
    <row r="277" ht="15.75" customHeight="1" s="218"/>
    <row r="278" ht="15.75" customHeight="1" s="218"/>
    <row r="279" ht="15.75" customHeight="1" s="218"/>
    <row r="280" ht="15.75" customHeight="1" s="218"/>
    <row r="281" ht="15.75" customHeight="1" s="218"/>
    <row r="282" ht="15.75" customHeight="1" s="218"/>
    <row r="283" ht="15.75" customHeight="1" s="218"/>
    <row r="284" ht="15.75" customHeight="1" s="218"/>
    <row r="285" ht="15.75" customHeight="1" s="218"/>
    <row r="286" ht="15.75" customHeight="1" s="218"/>
    <row r="287" ht="15.75" customHeight="1" s="218"/>
    <row r="288" ht="15.75" customHeight="1" s="218"/>
    <row r="289" ht="15.75" customHeight="1" s="218"/>
    <row r="290" ht="15.75" customHeight="1" s="218"/>
    <row r="291" ht="15.75" customHeight="1" s="218"/>
    <row r="292" ht="15.75" customHeight="1" s="218"/>
    <row r="293" ht="15.75" customHeight="1" s="218"/>
    <row r="294" ht="15.75" customHeight="1" s="218"/>
    <row r="295" ht="15.75" customHeight="1" s="218"/>
    <row r="296" ht="15.75" customHeight="1" s="218"/>
    <row r="297" ht="15.75" customHeight="1" s="218"/>
    <row r="298" ht="15.75" customHeight="1" s="218"/>
    <row r="299" ht="15.75" customHeight="1" s="218"/>
    <row r="300" ht="15.75" customHeight="1" s="218"/>
    <row r="301" ht="15.75" customHeight="1" s="218"/>
    <row r="302" ht="15.75" customHeight="1" s="218"/>
    <row r="303" ht="15.75" customHeight="1" s="218"/>
    <row r="304" ht="15.75" customHeight="1" s="218"/>
    <row r="305" ht="15.75" customHeight="1" s="218"/>
    <row r="306" ht="15.75" customHeight="1" s="218"/>
    <row r="307" ht="15.75" customHeight="1" s="218"/>
    <row r="308" ht="15.75" customHeight="1" s="218"/>
    <row r="309" ht="15.75" customHeight="1" s="218"/>
    <row r="310" ht="15.75" customHeight="1" s="218"/>
    <row r="311" ht="15.75" customHeight="1" s="218"/>
    <row r="312" ht="15.75" customHeight="1" s="218"/>
    <row r="313" ht="15.75" customHeight="1" s="218"/>
    <row r="314" ht="15.75" customHeight="1" s="218"/>
    <row r="315" ht="15.75" customHeight="1" s="218"/>
    <row r="316" ht="15.75" customHeight="1" s="218"/>
    <row r="317" ht="15.75" customHeight="1" s="218"/>
    <row r="318" ht="15.75" customHeight="1" s="218"/>
    <row r="319" ht="15.75" customHeight="1" s="218"/>
    <row r="320" ht="15.75" customHeight="1" s="218"/>
    <row r="321" ht="15.75" customHeight="1" s="218"/>
    <row r="322" ht="15.75" customHeight="1" s="218"/>
    <row r="323" ht="15.75" customHeight="1" s="218"/>
    <row r="324" ht="15.75" customHeight="1" s="218"/>
    <row r="325" ht="15.75" customHeight="1" s="218"/>
    <row r="326" ht="15.75" customHeight="1" s="218"/>
    <row r="327" ht="15.75" customHeight="1" s="218"/>
    <row r="328" ht="15.75" customHeight="1" s="218"/>
    <row r="329" ht="15.75" customHeight="1" s="218"/>
    <row r="330" ht="15.75" customHeight="1" s="218"/>
    <row r="331" ht="15.75" customHeight="1" s="218"/>
    <row r="332" ht="15.75" customHeight="1" s="218"/>
    <row r="333" ht="15.75" customHeight="1" s="218"/>
    <row r="334" ht="15.75" customHeight="1" s="218"/>
    <row r="335" ht="15.75" customHeight="1" s="218"/>
    <row r="336" ht="15.75" customHeight="1" s="218"/>
    <row r="337" ht="15.75" customHeight="1" s="218"/>
    <row r="338" ht="15.75" customHeight="1" s="218"/>
    <row r="339" ht="15.75" customHeight="1" s="218"/>
    <row r="340" ht="15.75" customHeight="1" s="218"/>
    <row r="341" ht="15.75" customHeight="1" s="218"/>
    <row r="342" ht="15.75" customHeight="1" s="218"/>
    <row r="343" ht="15.75" customHeight="1" s="218"/>
    <row r="344" ht="15.75" customHeight="1" s="218"/>
    <row r="345" ht="15.75" customHeight="1" s="218"/>
    <row r="346" ht="15.75" customHeight="1" s="218"/>
    <row r="347" ht="15.75" customHeight="1" s="218"/>
    <row r="348" ht="15.75" customHeight="1" s="218"/>
    <row r="349" ht="15.75" customHeight="1" s="218"/>
    <row r="350" ht="15.75" customHeight="1" s="218"/>
    <row r="351" ht="15.75" customHeight="1" s="218"/>
    <row r="352" ht="15.75" customHeight="1" s="218"/>
    <row r="353" ht="15.75" customHeight="1" s="218"/>
    <row r="354" ht="15.75" customHeight="1" s="218"/>
    <row r="355" ht="15.75" customHeight="1" s="218"/>
    <row r="356" ht="15.75" customHeight="1" s="218"/>
    <row r="357" ht="15.75" customHeight="1" s="218"/>
    <row r="358" ht="15.75" customHeight="1" s="218"/>
    <row r="359" ht="15.75" customHeight="1" s="218"/>
    <row r="360" ht="15.75" customHeight="1" s="218"/>
    <row r="361" ht="15.75" customHeight="1" s="218"/>
    <row r="362" ht="15.75" customHeight="1" s="218"/>
    <row r="363" ht="15.75" customHeight="1" s="218"/>
    <row r="364" ht="15.75" customHeight="1" s="218"/>
    <row r="365" ht="15.75" customHeight="1" s="218"/>
    <row r="366" ht="15.75" customHeight="1" s="218"/>
    <row r="367" ht="15.75" customHeight="1" s="218"/>
    <row r="368" ht="15.75" customHeight="1" s="218"/>
    <row r="369" ht="15.75" customHeight="1" s="218"/>
    <row r="370" ht="15.75" customHeight="1" s="218"/>
    <row r="371" ht="15.75" customHeight="1" s="218"/>
    <row r="372" ht="15.75" customHeight="1" s="218"/>
    <row r="373" ht="15.75" customHeight="1" s="218"/>
    <row r="374" ht="15.75" customHeight="1" s="218"/>
    <row r="375" ht="15.75" customHeight="1" s="218"/>
    <row r="376" ht="15.75" customHeight="1" s="218"/>
    <row r="377" ht="15.75" customHeight="1" s="218"/>
    <row r="378" ht="15.75" customHeight="1" s="218"/>
    <row r="379" ht="15.75" customHeight="1" s="218"/>
    <row r="380" ht="15.75" customHeight="1" s="218"/>
    <row r="381" ht="15.75" customHeight="1" s="218"/>
    <row r="382" ht="15.75" customHeight="1" s="218"/>
    <row r="383" ht="15.75" customHeight="1" s="218"/>
    <row r="384" ht="15.75" customHeight="1" s="218"/>
    <row r="385" ht="15.75" customHeight="1" s="218"/>
    <row r="386" ht="15.75" customHeight="1" s="218"/>
    <row r="387" ht="15.75" customHeight="1" s="218"/>
    <row r="388" ht="15.75" customHeight="1" s="218"/>
    <row r="389" ht="15.75" customHeight="1" s="218"/>
    <row r="390" ht="15.75" customHeight="1" s="218"/>
    <row r="391" ht="15.75" customHeight="1" s="218"/>
    <row r="392" ht="15.75" customHeight="1" s="218"/>
    <row r="393" ht="15.75" customHeight="1" s="218"/>
    <row r="394" ht="15.75" customHeight="1" s="218"/>
    <row r="395" ht="15.75" customHeight="1" s="218"/>
    <row r="396" ht="15.75" customHeight="1" s="218"/>
    <row r="397" ht="15.75" customHeight="1" s="218"/>
    <row r="398" ht="15.75" customHeight="1" s="218"/>
    <row r="399" ht="15.75" customHeight="1" s="218"/>
    <row r="400" ht="15.75" customHeight="1" s="218"/>
    <row r="401" ht="15.75" customHeight="1" s="218"/>
    <row r="402" ht="15.75" customHeight="1" s="218"/>
    <row r="403" ht="15.75" customHeight="1" s="218"/>
    <row r="404" ht="15.75" customHeight="1" s="218"/>
    <row r="405" ht="15.75" customHeight="1" s="218"/>
    <row r="406" ht="15.75" customHeight="1" s="218"/>
    <row r="407" ht="15.75" customHeight="1" s="218"/>
    <row r="408" ht="15.75" customHeight="1" s="218"/>
    <row r="409" ht="15.75" customHeight="1" s="218"/>
    <row r="410" ht="15.75" customHeight="1" s="218"/>
    <row r="411" ht="15.75" customHeight="1" s="218"/>
    <row r="412" ht="15.75" customHeight="1" s="218"/>
    <row r="413" ht="15.75" customHeight="1" s="218"/>
    <row r="414" ht="15.75" customHeight="1" s="218"/>
    <row r="415" ht="15.75" customHeight="1" s="218"/>
    <row r="416" ht="15.75" customHeight="1" s="218"/>
    <row r="417" ht="15.75" customHeight="1" s="218"/>
    <row r="418" ht="15.75" customHeight="1" s="218"/>
    <row r="419" ht="15.75" customHeight="1" s="218"/>
    <row r="420" ht="15.75" customHeight="1" s="218"/>
    <row r="421" ht="15.75" customHeight="1" s="218"/>
    <row r="422" ht="15.75" customHeight="1" s="218"/>
    <row r="423" ht="15.75" customHeight="1" s="218"/>
    <row r="424" ht="15.75" customHeight="1" s="218"/>
    <row r="425" ht="15.75" customHeight="1" s="218"/>
    <row r="426" ht="15.75" customHeight="1" s="218"/>
    <row r="427" ht="15.75" customHeight="1" s="218"/>
    <row r="428" ht="15.75" customHeight="1" s="218"/>
    <row r="429" ht="15.75" customHeight="1" s="218"/>
    <row r="430" ht="15.75" customHeight="1" s="218"/>
    <row r="431" ht="15.75" customHeight="1" s="218"/>
    <row r="432" ht="15.75" customHeight="1" s="218"/>
    <row r="433" ht="15.75" customHeight="1" s="218"/>
    <row r="434" ht="15.75" customHeight="1" s="218"/>
    <row r="435" ht="15.75" customHeight="1" s="218"/>
    <row r="436" ht="15.75" customHeight="1" s="218"/>
    <row r="437" ht="15.75" customHeight="1" s="218"/>
    <row r="438" ht="15.75" customHeight="1" s="218"/>
    <row r="439" ht="15.75" customHeight="1" s="218"/>
    <row r="440" ht="15.75" customHeight="1" s="218"/>
    <row r="441" ht="15.75" customHeight="1" s="218"/>
    <row r="442" ht="15.75" customHeight="1" s="218"/>
    <row r="443" ht="15.75" customHeight="1" s="218"/>
    <row r="444" ht="15.75" customHeight="1" s="218"/>
    <row r="445" ht="15.75" customHeight="1" s="218"/>
    <row r="446" ht="15.75" customHeight="1" s="218"/>
    <row r="447" ht="15.75" customHeight="1" s="218"/>
    <row r="448" ht="15.75" customHeight="1" s="218"/>
    <row r="449" ht="15.75" customHeight="1" s="218"/>
    <row r="450" ht="15.75" customHeight="1" s="218"/>
    <row r="451" ht="15.75" customHeight="1" s="218"/>
    <row r="452" ht="15.75" customHeight="1" s="218"/>
    <row r="453" ht="15.75" customHeight="1" s="218"/>
    <row r="454" ht="15.75" customHeight="1" s="218"/>
    <row r="455" ht="15.75" customHeight="1" s="218"/>
    <row r="456" ht="15.75" customHeight="1" s="218"/>
    <row r="457" ht="15.75" customHeight="1" s="218"/>
    <row r="458" ht="15.75" customHeight="1" s="218"/>
    <row r="459" ht="15.75" customHeight="1" s="218"/>
    <row r="460" ht="15.75" customHeight="1" s="218"/>
    <row r="461" ht="15.75" customHeight="1" s="218"/>
    <row r="462" ht="15.75" customHeight="1" s="218"/>
    <row r="463" ht="15.75" customHeight="1" s="218"/>
    <row r="464" ht="15.75" customHeight="1" s="218"/>
    <row r="465" ht="15.75" customHeight="1" s="218"/>
    <row r="466" ht="15.75" customHeight="1" s="218"/>
    <row r="467" ht="15.75" customHeight="1" s="218"/>
    <row r="468" ht="15.75" customHeight="1" s="218"/>
    <row r="469" ht="15.75" customHeight="1" s="218"/>
    <row r="470" ht="15.75" customHeight="1" s="218"/>
    <row r="471" ht="15.75" customHeight="1" s="218"/>
    <row r="472" ht="15.75" customHeight="1" s="218"/>
    <row r="473" ht="15.75" customHeight="1" s="218"/>
    <row r="474" ht="15.75" customHeight="1" s="218"/>
    <row r="475" ht="15.75" customHeight="1" s="218"/>
    <row r="476" ht="15.75" customHeight="1" s="218"/>
    <row r="477" ht="15.75" customHeight="1" s="218"/>
    <row r="478" ht="15.75" customHeight="1" s="218"/>
    <row r="479" ht="15.75" customHeight="1" s="218"/>
    <row r="480" ht="15.75" customHeight="1" s="218"/>
    <row r="481" ht="15.75" customHeight="1" s="218"/>
    <row r="482" ht="15.75" customHeight="1" s="218"/>
    <row r="483" ht="15.75" customHeight="1" s="218"/>
    <row r="484" ht="15.75" customHeight="1" s="218"/>
    <row r="485" ht="15.75" customHeight="1" s="218"/>
    <row r="486" ht="15.75" customHeight="1" s="218"/>
    <row r="487" ht="15.75" customHeight="1" s="218"/>
    <row r="488" ht="15.75" customHeight="1" s="218"/>
    <row r="489" ht="15.75" customHeight="1" s="218"/>
    <row r="490" ht="15.75" customHeight="1" s="218"/>
    <row r="491" ht="15.75" customHeight="1" s="218"/>
    <row r="492" ht="15.75" customHeight="1" s="218"/>
    <row r="493" ht="15.75" customHeight="1" s="218"/>
    <row r="494" ht="15.75" customHeight="1" s="218"/>
    <row r="495" ht="15.75" customHeight="1" s="218"/>
    <row r="496" ht="15.75" customHeight="1" s="218"/>
    <row r="497" ht="15.75" customHeight="1" s="218"/>
    <row r="498" ht="15.75" customHeight="1" s="218"/>
    <row r="499" ht="15.75" customHeight="1" s="218"/>
    <row r="500" ht="15.75" customHeight="1" s="218"/>
    <row r="501" ht="15.75" customHeight="1" s="218"/>
    <row r="502" ht="15.75" customHeight="1" s="218"/>
    <row r="503" ht="15.75" customHeight="1" s="218"/>
    <row r="504" ht="15.75" customHeight="1" s="218"/>
    <row r="505" ht="15.75" customHeight="1" s="218"/>
    <row r="506" ht="15.75" customHeight="1" s="218"/>
    <row r="507" ht="15.75" customHeight="1" s="218"/>
    <row r="508" ht="15.75" customHeight="1" s="218"/>
    <row r="509" ht="15.75" customHeight="1" s="218"/>
    <row r="510" ht="15.75" customHeight="1" s="218"/>
    <row r="511" ht="15.75" customHeight="1" s="218"/>
    <row r="512" ht="15.75" customHeight="1" s="218"/>
    <row r="513" ht="15.75" customHeight="1" s="218"/>
    <row r="514" ht="15.75" customHeight="1" s="218"/>
    <row r="515" ht="15.75" customHeight="1" s="218"/>
    <row r="516" ht="15.75" customHeight="1" s="218"/>
    <row r="517" ht="15.75" customHeight="1" s="218"/>
    <row r="518" ht="15.75" customHeight="1" s="218"/>
    <row r="519" ht="15.75" customHeight="1" s="218"/>
    <row r="520" ht="15.75" customHeight="1" s="218"/>
    <row r="521" ht="15.75" customHeight="1" s="218"/>
    <row r="522" ht="15.75" customHeight="1" s="218"/>
    <row r="523" ht="15.75" customHeight="1" s="218"/>
    <row r="524" ht="15.75" customHeight="1" s="218"/>
    <row r="525" ht="15.75" customHeight="1" s="218"/>
    <row r="526" ht="15.75" customHeight="1" s="218"/>
    <row r="527" ht="15.75" customHeight="1" s="218"/>
    <row r="528" ht="15.75" customHeight="1" s="218"/>
    <row r="529" ht="15.75" customHeight="1" s="218"/>
    <row r="530" ht="15.75" customHeight="1" s="218"/>
    <row r="531" ht="15.75" customHeight="1" s="218"/>
    <row r="532" ht="15.75" customHeight="1" s="218"/>
    <row r="533" ht="15.75" customHeight="1" s="218"/>
    <row r="534" ht="15.75" customHeight="1" s="218"/>
    <row r="535" ht="15.75" customHeight="1" s="218"/>
    <row r="536" ht="15.75" customHeight="1" s="218"/>
    <row r="537" ht="15.75" customHeight="1" s="218"/>
    <row r="538" ht="15.75" customHeight="1" s="218"/>
    <row r="539" ht="15.75" customHeight="1" s="218"/>
    <row r="540" ht="15.75" customHeight="1" s="218"/>
    <row r="541" ht="15.75" customHeight="1" s="218"/>
    <row r="542" ht="15.75" customHeight="1" s="218"/>
    <row r="543" ht="15.75" customHeight="1" s="218"/>
    <row r="544" ht="15.75" customHeight="1" s="218"/>
    <row r="545" ht="15.75" customHeight="1" s="218"/>
    <row r="546" ht="15.75" customHeight="1" s="218"/>
    <row r="547" ht="15.75" customHeight="1" s="218"/>
    <row r="548" ht="15.75" customHeight="1" s="218"/>
    <row r="549" ht="15.75" customHeight="1" s="218"/>
    <row r="550" ht="15.75" customHeight="1" s="218"/>
    <row r="551" ht="15.75" customHeight="1" s="218"/>
    <row r="552" ht="15.75" customHeight="1" s="218"/>
    <row r="553" ht="15.75" customHeight="1" s="218"/>
    <row r="554" ht="15.75" customHeight="1" s="218"/>
    <row r="555" ht="15.75" customHeight="1" s="218"/>
    <row r="556" ht="15.75" customHeight="1" s="218"/>
    <row r="557" ht="15.75" customHeight="1" s="218"/>
    <row r="558" ht="15.75" customHeight="1" s="218"/>
    <row r="559" ht="15.75" customHeight="1" s="218"/>
    <row r="560" ht="15.75" customHeight="1" s="218"/>
    <row r="561" ht="15.75" customHeight="1" s="218"/>
    <row r="562" ht="15.75" customHeight="1" s="218"/>
    <row r="563" ht="15.75" customHeight="1" s="218"/>
    <row r="564" ht="15.75" customHeight="1" s="218"/>
    <row r="565" ht="15.75" customHeight="1" s="218"/>
    <row r="566" ht="15.75" customHeight="1" s="218"/>
    <row r="567" ht="15.75" customHeight="1" s="218"/>
    <row r="568" ht="15.75" customHeight="1" s="218"/>
    <row r="569" ht="15.75" customHeight="1" s="218"/>
    <row r="570" ht="15.75" customHeight="1" s="218"/>
    <row r="571" ht="15.75" customHeight="1" s="218"/>
    <row r="572" ht="15.75" customHeight="1" s="218"/>
    <row r="573" ht="15.75" customHeight="1" s="218"/>
    <row r="574" ht="15.75" customHeight="1" s="218"/>
    <row r="575" ht="15.75" customHeight="1" s="218"/>
    <row r="576" ht="15.75" customHeight="1" s="218"/>
    <row r="577" ht="15.75" customHeight="1" s="218"/>
    <row r="578" ht="15.75" customHeight="1" s="218"/>
    <row r="579" ht="15.75" customHeight="1" s="218"/>
    <row r="580" ht="15.75" customHeight="1" s="218"/>
    <row r="581" ht="15.75" customHeight="1" s="218"/>
    <row r="582" ht="15.75" customHeight="1" s="218"/>
    <row r="583" ht="15.75" customHeight="1" s="218"/>
    <row r="584" ht="15.75" customHeight="1" s="218"/>
    <row r="585" ht="15.75" customHeight="1" s="218"/>
    <row r="586" ht="15.75" customHeight="1" s="218"/>
    <row r="587" ht="15.75" customHeight="1" s="218"/>
    <row r="588" ht="15.75" customHeight="1" s="218"/>
    <row r="589" ht="15.75" customHeight="1" s="218"/>
    <row r="590" ht="15.75" customHeight="1" s="218"/>
    <row r="591" ht="15.75" customHeight="1" s="218"/>
    <row r="592" ht="15.75" customHeight="1" s="218"/>
    <row r="593" ht="15.75" customHeight="1" s="218"/>
    <row r="594" ht="15.75" customHeight="1" s="218"/>
    <row r="595" ht="15.75" customHeight="1" s="218"/>
    <row r="596" ht="15.75" customHeight="1" s="218"/>
    <row r="597" ht="15.75" customHeight="1" s="218"/>
    <row r="598" ht="15.75" customHeight="1" s="218"/>
    <row r="599" ht="15.75" customHeight="1" s="218"/>
    <row r="600" ht="15.75" customHeight="1" s="218"/>
    <row r="601" ht="15.75" customHeight="1" s="218"/>
    <row r="602" ht="15.75" customHeight="1" s="218"/>
    <row r="603" ht="15.75" customHeight="1" s="218"/>
    <row r="604" ht="15.75" customHeight="1" s="218"/>
    <row r="605" ht="15.75" customHeight="1" s="218"/>
    <row r="606" ht="15.75" customHeight="1" s="218"/>
    <row r="607" ht="15.75" customHeight="1" s="218"/>
    <row r="608" ht="15.75" customHeight="1" s="218"/>
    <row r="609" ht="15.75" customHeight="1" s="218"/>
    <row r="610" ht="15.75" customHeight="1" s="218"/>
    <row r="611" ht="15.75" customHeight="1" s="218"/>
    <row r="612" ht="15.75" customHeight="1" s="218"/>
    <row r="613" ht="15.75" customHeight="1" s="218"/>
    <row r="614" ht="15.75" customHeight="1" s="218"/>
    <row r="615" ht="15.75" customHeight="1" s="218"/>
    <row r="616" ht="15.75" customHeight="1" s="218"/>
    <row r="617" ht="15.75" customHeight="1" s="218"/>
    <row r="618" ht="15.75" customHeight="1" s="218"/>
    <row r="619" ht="15.75" customHeight="1" s="218"/>
    <row r="620" ht="15.75" customHeight="1" s="218"/>
    <row r="621" ht="15.75" customHeight="1" s="218"/>
    <row r="622" ht="15.75" customHeight="1" s="218"/>
    <row r="623" ht="15.75" customHeight="1" s="218"/>
    <row r="624" ht="15.75" customHeight="1" s="218"/>
    <row r="625" ht="15.75" customHeight="1" s="218"/>
    <row r="626" ht="15.75" customHeight="1" s="218"/>
    <row r="627" ht="15.75" customHeight="1" s="218"/>
    <row r="628" ht="15.75" customHeight="1" s="218"/>
    <row r="629" ht="15.75" customHeight="1" s="218"/>
    <row r="630" ht="15.75" customHeight="1" s="218"/>
    <row r="631" ht="15.75" customHeight="1" s="218"/>
    <row r="632" ht="15.75" customHeight="1" s="218"/>
    <row r="633" ht="15.75" customHeight="1" s="218"/>
    <row r="634" ht="15.75" customHeight="1" s="218"/>
    <row r="635" ht="15.75" customHeight="1" s="218"/>
    <row r="636" ht="15.75" customHeight="1" s="218"/>
    <row r="637" ht="15.75" customHeight="1" s="218"/>
    <row r="638" ht="15.75" customHeight="1" s="218"/>
    <row r="639" ht="15.75" customHeight="1" s="218"/>
    <row r="640" ht="15.75" customHeight="1" s="218"/>
    <row r="641" ht="15.75" customHeight="1" s="218"/>
    <row r="642" ht="15.75" customHeight="1" s="218"/>
    <row r="643" ht="15.75" customHeight="1" s="218"/>
    <row r="644" ht="15.75" customHeight="1" s="218"/>
    <row r="645" ht="15.75" customHeight="1" s="218"/>
    <row r="646" ht="15.75" customHeight="1" s="218"/>
    <row r="647" ht="15.75" customHeight="1" s="218"/>
    <row r="648" ht="15.75" customHeight="1" s="218"/>
    <row r="649" ht="15.75" customHeight="1" s="218"/>
    <row r="650" ht="15.75" customHeight="1" s="218"/>
    <row r="651" ht="15.75" customHeight="1" s="218"/>
    <row r="652" ht="15.75" customHeight="1" s="218"/>
    <row r="653" ht="15.75" customHeight="1" s="218"/>
    <row r="654" ht="15.75" customHeight="1" s="218"/>
    <row r="655" ht="15.75" customHeight="1" s="218"/>
    <row r="656" ht="15.75" customHeight="1" s="218"/>
    <row r="657" ht="15.75" customHeight="1" s="218"/>
    <row r="658" ht="15.75" customHeight="1" s="218"/>
    <row r="659" ht="15.75" customHeight="1" s="218"/>
    <row r="660" ht="15.75" customHeight="1" s="218"/>
    <row r="661" ht="15.75" customHeight="1" s="218"/>
    <row r="662" ht="15.75" customHeight="1" s="218"/>
    <row r="663" ht="15.75" customHeight="1" s="218"/>
    <row r="664" ht="15.75" customHeight="1" s="218"/>
    <row r="665" ht="15.75" customHeight="1" s="218"/>
    <row r="666" ht="15.75" customHeight="1" s="218"/>
    <row r="667" ht="15.75" customHeight="1" s="218"/>
    <row r="668" ht="15.75" customHeight="1" s="218"/>
    <row r="669" ht="15.75" customHeight="1" s="218"/>
    <row r="670" ht="15.75" customHeight="1" s="218"/>
    <row r="671" ht="15.75" customHeight="1" s="218"/>
    <row r="672" ht="15.75" customHeight="1" s="218"/>
    <row r="673" ht="15.75" customHeight="1" s="218"/>
    <row r="674" ht="15.75" customHeight="1" s="218"/>
    <row r="675" ht="15.75" customHeight="1" s="218"/>
    <row r="676" ht="15.75" customHeight="1" s="218"/>
    <row r="677" ht="15.75" customHeight="1" s="218"/>
    <row r="678" ht="15.75" customHeight="1" s="218"/>
    <row r="679" ht="15.75" customHeight="1" s="218"/>
    <row r="680" ht="15.75" customHeight="1" s="218"/>
    <row r="681" ht="15.75" customHeight="1" s="218"/>
    <row r="682" ht="15.75" customHeight="1" s="218"/>
    <row r="683" ht="15.75" customHeight="1" s="218"/>
    <row r="684" ht="15.75" customHeight="1" s="218"/>
    <row r="685" ht="15.75" customHeight="1" s="218"/>
    <row r="686" ht="15.75" customHeight="1" s="218"/>
    <row r="687" ht="15.75" customHeight="1" s="218"/>
    <row r="688" ht="15.75" customHeight="1" s="218"/>
    <row r="689" ht="15.75" customHeight="1" s="218"/>
    <row r="690" ht="15.75" customHeight="1" s="218"/>
    <row r="691" ht="15.75" customHeight="1" s="218"/>
    <row r="692" ht="15.75" customHeight="1" s="218"/>
    <row r="693" ht="15.75" customHeight="1" s="218"/>
    <row r="694" ht="15.75" customHeight="1" s="218"/>
    <row r="695" ht="15.75" customHeight="1" s="218"/>
    <row r="696" ht="15.75" customHeight="1" s="218"/>
    <row r="697" ht="15.75" customHeight="1" s="218"/>
    <row r="698" ht="15.75" customHeight="1" s="218"/>
    <row r="699" ht="15.75" customHeight="1" s="218"/>
    <row r="700" ht="15.75" customHeight="1" s="218"/>
    <row r="701" ht="15.75" customHeight="1" s="218"/>
    <row r="702" ht="15.75" customHeight="1" s="218"/>
    <row r="703" ht="15.75" customHeight="1" s="218"/>
    <row r="704" ht="15.75" customHeight="1" s="218"/>
    <row r="705" ht="15.75" customHeight="1" s="218"/>
    <row r="706" ht="15.75" customHeight="1" s="218"/>
    <row r="707" ht="15.75" customHeight="1" s="218"/>
    <row r="708" ht="15.75" customHeight="1" s="218"/>
    <row r="709" ht="15.75" customHeight="1" s="218"/>
    <row r="710" ht="15.75" customHeight="1" s="218"/>
    <row r="711" ht="15.75" customHeight="1" s="218"/>
    <row r="712" ht="15.75" customHeight="1" s="218"/>
    <row r="713" ht="15.75" customHeight="1" s="218"/>
    <row r="714" ht="15.75" customHeight="1" s="218"/>
    <row r="715" ht="15.75" customHeight="1" s="218"/>
    <row r="716" ht="15.75" customHeight="1" s="218"/>
    <row r="717" ht="15.75" customHeight="1" s="218"/>
    <row r="718" ht="15.75" customHeight="1" s="218"/>
    <row r="719" ht="15.75" customHeight="1" s="218"/>
    <row r="720" ht="15.75" customHeight="1" s="218"/>
    <row r="721" ht="15.75" customHeight="1" s="218"/>
    <row r="722" ht="15.75" customHeight="1" s="218"/>
    <row r="723" ht="15.75" customHeight="1" s="218"/>
    <row r="724" ht="15.75" customHeight="1" s="218"/>
    <row r="725" ht="15.75" customHeight="1" s="218"/>
    <row r="726" ht="15.75" customHeight="1" s="218"/>
    <row r="727" ht="15.75" customHeight="1" s="218"/>
    <row r="728" ht="15.75" customHeight="1" s="218"/>
    <row r="729" ht="15.75" customHeight="1" s="218"/>
    <row r="730" ht="15.75" customHeight="1" s="218"/>
    <row r="731" ht="15.75" customHeight="1" s="218"/>
    <row r="732" ht="15.75" customHeight="1" s="218"/>
    <row r="733" ht="15.75" customHeight="1" s="218"/>
    <row r="734" ht="15.75" customHeight="1" s="218"/>
    <row r="735" ht="15.75" customHeight="1" s="218"/>
    <row r="736" ht="15.75" customHeight="1" s="218"/>
    <row r="737" ht="15.75" customHeight="1" s="218"/>
    <row r="738" ht="15.75" customHeight="1" s="218"/>
    <row r="739" ht="15.75" customHeight="1" s="218"/>
    <row r="740" ht="15.75" customHeight="1" s="218"/>
    <row r="741" ht="15.75" customHeight="1" s="218"/>
    <row r="742" ht="15.75" customHeight="1" s="218"/>
    <row r="743" ht="15.75" customHeight="1" s="218"/>
    <row r="744" ht="15.75" customHeight="1" s="218"/>
    <row r="745" ht="15.75" customHeight="1" s="218"/>
    <row r="746" ht="15.75" customHeight="1" s="218"/>
    <row r="747" ht="15.75" customHeight="1" s="218"/>
    <row r="748" ht="15.75" customHeight="1" s="218"/>
    <row r="749" ht="15.75" customHeight="1" s="218"/>
    <row r="750" ht="15.75" customHeight="1" s="218"/>
    <row r="751" ht="15.75" customHeight="1" s="218"/>
    <row r="752" ht="15.75" customHeight="1" s="218"/>
    <row r="753" ht="15.75" customHeight="1" s="218"/>
    <row r="754" ht="15.75" customHeight="1" s="218"/>
    <row r="755" ht="15.75" customHeight="1" s="218"/>
    <row r="756" ht="15.75" customHeight="1" s="218"/>
    <row r="757" ht="15.75" customHeight="1" s="218"/>
    <row r="758" ht="15.75" customHeight="1" s="218"/>
    <row r="759" ht="15.75" customHeight="1" s="218"/>
    <row r="760" ht="15.75" customHeight="1" s="218"/>
    <row r="761" ht="15.75" customHeight="1" s="218"/>
    <row r="762" ht="15.75" customHeight="1" s="218"/>
    <row r="763" ht="15.75" customHeight="1" s="218"/>
    <row r="764" ht="15.75" customHeight="1" s="218"/>
    <row r="765" ht="15.75" customHeight="1" s="218"/>
    <row r="766" ht="15.75" customHeight="1" s="218"/>
    <row r="767" ht="15.75" customHeight="1" s="218"/>
    <row r="768" ht="15.75" customHeight="1" s="218"/>
    <row r="769" ht="15.75" customHeight="1" s="218"/>
    <row r="770" ht="15.75" customHeight="1" s="218"/>
    <row r="771" ht="15.75" customHeight="1" s="218"/>
    <row r="772" ht="15.75" customHeight="1" s="218"/>
    <row r="773" ht="15.75" customHeight="1" s="218"/>
    <row r="774" ht="15.75" customHeight="1" s="218"/>
    <row r="775" ht="15.75" customHeight="1" s="218"/>
    <row r="776" ht="15.75" customHeight="1" s="218"/>
    <row r="777" ht="15.75" customHeight="1" s="218"/>
    <row r="778" ht="15.75" customHeight="1" s="218"/>
    <row r="779" ht="15.75" customHeight="1" s="218"/>
    <row r="780" ht="15.75" customHeight="1" s="218"/>
    <row r="781" ht="15.75" customHeight="1" s="218"/>
    <row r="782" ht="15.75" customHeight="1" s="218"/>
    <row r="783" ht="15.75" customHeight="1" s="218"/>
    <row r="784" ht="15.75" customHeight="1" s="218"/>
    <row r="785" ht="15.75" customHeight="1" s="218"/>
    <row r="786" ht="15.75" customHeight="1" s="218"/>
    <row r="787" ht="15.75" customHeight="1" s="218"/>
    <row r="788" ht="15.75" customHeight="1" s="218"/>
    <row r="789" ht="15.75" customHeight="1" s="218"/>
    <row r="790" ht="15.75" customHeight="1" s="218"/>
    <row r="791" ht="15.75" customHeight="1" s="218"/>
    <row r="792" ht="15.75" customHeight="1" s="218"/>
    <row r="793" ht="15.75" customHeight="1" s="218"/>
    <row r="794" ht="15.75" customHeight="1" s="218"/>
    <row r="795" ht="15.75" customHeight="1" s="218"/>
    <row r="796" ht="15.75" customHeight="1" s="218"/>
    <row r="797" ht="15.75" customHeight="1" s="218"/>
    <row r="798" ht="15.75" customHeight="1" s="218"/>
    <row r="799" ht="15.75" customHeight="1" s="218"/>
    <row r="800" ht="15.75" customHeight="1" s="218"/>
    <row r="801" ht="15.75" customHeight="1" s="218"/>
    <row r="802" ht="15.75" customHeight="1" s="218"/>
    <row r="803" ht="15.75" customHeight="1" s="218"/>
    <row r="804" ht="15.75" customHeight="1" s="218"/>
    <row r="805" ht="15.75" customHeight="1" s="218"/>
    <row r="806" ht="15.75" customHeight="1" s="218"/>
    <row r="807" ht="15.75" customHeight="1" s="218"/>
    <row r="808" ht="15.75" customHeight="1" s="218"/>
    <row r="809" ht="15.75" customHeight="1" s="218"/>
    <row r="810" ht="15.75" customHeight="1" s="218"/>
    <row r="811" ht="15.75" customHeight="1" s="218"/>
    <row r="812" ht="15.75" customHeight="1" s="218"/>
    <row r="813" ht="15.75" customHeight="1" s="218"/>
    <row r="814" ht="15.75" customHeight="1" s="218"/>
    <row r="815" ht="15.75" customHeight="1" s="218"/>
    <row r="816" ht="15.75" customHeight="1" s="218"/>
    <row r="817" ht="15.75" customHeight="1" s="218"/>
    <row r="818" ht="15.75" customHeight="1" s="218"/>
    <row r="819" ht="15.75" customHeight="1" s="218"/>
    <row r="820" ht="15.75" customHeight="1" s="218"/>
    <row r="821" ht="15.75" customHeight="1" s="218"/>
    <row r="822" ht="15.75" customHeight="1" s="218"/>
    <row r="823" ht="15.75" customHeight="1" s="218"/>
    <row r="824" ht="15.75" customHeight="1" s="218"/>
    <row r="825" ht="15.75" customHeight="1" s="218"/>
    <row r="826" ht="15.75" customHeight="1" s="218"/>
    <row r="827" ht="15.75" customHeight="1" s="218"/>
    <row r="828" ht="15.75" customHeight="1" s="218"/>
    <row r="829" ht="15.75" customHeight="1" s="218"/>
    <row r="830" ht="15.75" customHeight="1" s="218"/>
    <row r="831" ht="15.75" customHeight="1" s="218"/>
    <row r="832" ht="15.75" customHeight="1" s="218"/>
    <row r="833" ht="15.75" customHeight="1" s="218"/>
    <row r="834" ht="15.75" customHeight="1" s="218"/>
    <row r="835" ht="15.75" customHeight="1" s="218"/>
    <row r="836" ht="15.75" customHeight="1" s="218"/>
    <row r="837" ht="15.75" customHeight="1" s="218"/>
    <row r="838" ht="15.75" customHeight="1" s="218"/>
    <row r="839" ht="15.75" customHeight="1" s="218"/>
    <row r="840" ht="15.75" customHeight="1" s="218"/>
    <row r="841" ht="15.75" customHeight="1" s="218"/>
    <row r="842" ht="15.75" customHeight="1" s="218"/>
    <row r="843" ht="15.75" customHeight="1" s="218"/>
    <row r="844" ht="15.75" customHeight="1" s="218"/>
    <row r="845" ht="15.75" customHeight="1" s="218"/>
    <row r="846" ht="15.75" customHeight="1" s="218"/>
    <row r="847" ht="15.75" customHeight="1" s="218"/>
    <row r="848" ht="15.75" customHeight="1" s="218"/>
    <row r="849" ht="15.75" customHeight="1" s="218"/>
    <row r="850" ht="15.75" customHeight="1" s="218"/>
    <row r="851" ht="15.75" customHeight="1" s="218"/>
    <row r="852" ht="15.75" customHeight="1" s="218"/>
    <row r="853" ht="15.75" customHeight="1" s="218"/>
    <row r="854" ht="15.75" customHeight="1" s="218"/>
    <row r="855" ht="15.75" customHeight="1" s="218"/>
    <row r="856" ht="15.75" customHeight="1" s="218"/>
    <row r="857" ht="15.75" customHeight="1" s="218"/>
    <row r="858" ht="15.75" customHeight="1" s="218"/>
    <row r="859" ht="15.75" customHeight="1" s="218"/>
    <row r="860" ht="15.75" customHeight="1" s="218"/>
    <row r="861" ht="15.75" customHeight="1" s="218"/>
    <row r="862" ht="15.75" customHeight="1" s="218"/>
    <row r="863" ht="15.75" customHeight="1" s="218"/>
    <row r="864" ht="15.75" customHeight="1" s="218"/>
    <row r="865" ht="15.75" customHeight="1" s="218"/>
    <row r="866" ht="15.75" customHeight="1" s="218"/>
    <row r="867" ht="15.75" customHeight="1" s="218"/>
    <row r="868" ht="15.75" customHeight="1" s="218"/>
    <row r="869" ht="15.75" customHeight="1" s="218"/>
    <row r="870" ht="15.75" customHeight="1" s="218"/>
    <row r="871" ht="15.75" customHeight="1" s="218"/>
    <row r="872" ht="15.75" customHeight="1" s="218"/>
    <row r="873" ht="15.75" customHeight="1" s="218"/>
    <row r="874" ht="15.75" customHeight="1" s="218"/>
    <row r="875" ht="15.75" customHeight="1" s="218"/>
    <row r="876" ht="15.75" customHeight="1" s="218"/>
    <row r="877" ht="15.75" customHeight="1" s="218"/>
    <row r="878" ht="15.75" customHeight="1" s="218"/>
    <row r="879" ht="15.75" customHeight="1" s="218"/>
    <row r="880" ht="15.75" customHeight="1" s="218"/>
    <row r="881" ht="15.75" customHeight="1" s="218"/>
    <row r="882" ht="15.75" customHeight="1" s="218"/>
    <row r="883" ht="15.75" customHeight="1" s="218"/>
    <row r="884" ht="15.75" customHeight="1" s="218"/>
    <row r="885" ht="15.75" customHeight="1" s="218"/>
    <row r="886" ht="15.75" customHeight="1" s="218"/>
    <row r="887" ht="15.75" customHeight="1" s="218"/>
    <row r="888" ht="15.75" customHeight="1" s="218"/>
    <row r="889" ht="15.75" customHeight="1" s="218"/>
    <row r="890" ht="15.75" customHeight="1" s="218"/>
    <row r="891" ht="15.75" customHeight="1" s="218"/>
    <row r="892" ht="15.75" customHeight="1" s="218"/>
    <row r="893" ht="15.75" customHeight="1" s="218"/>
    <row r="894" ht="15.75" customHeight="1" s="218"/>
    <row r="895" ht="15.75" customHeight="1" s="218"/>
    <row r="896" ht="15.75" customHeight="1" s="218"/>
    <row r="897" ht="15.75" customHeight="1" s="218"/>
    <row r="898" ht="15.75" customHeight="1" s="218"/>
    <row r="899" ht="15.75" customHeight="1" s="218"/>
    <row r="900" ht="15.75" customHeight="1" s="218"/>
    <row r="901" ht="15.75" customHeight="1" s="218"/>
    <row r="902" ht="15.75" customHeight="1" s="218"/>
    <row r="903" ht="15.75" customHeight="1" s="218"/>
    <row r="904" ht="15.75" customHeight="1" s="218"/>
    <row r="905" ht="15.75" customHeight="1" s="218"/>
    <row r="906" ht="15.75" customHeight="1" s="218"/>
    <row r="907" ht="15.75" customHeight="1" s="218"/>
    <row r="908" ht="15.75" customHeight="1" s="218"/>
    <row r="909" ht="15.75" customHeight="1" s="218"/>
    <row r="910" ht="15.75" customHeight="1" s="218"/>
    <row r="911" ht="15.75" customHeight="1" s="218"/>
    <row r="912" ht="15.75" customHeight="1" s="218"/>
    <row r="913" ht="15.75" customHeight="1" s="218"/>
    <row r="914" ht="15.75" customHeight="1" s="218"/>
    <row r="915" ht="15.75" customHeight="1" s="218"/>
    <row r="916" ht="15.75" customHeight="1" s="218"/>
    <row r="917" ht="15.75" customHeight="1" s="218"/>
    <row r="918" ht="15.75" customHeight="1" s="218"/>
    <row r="919" ht="15.75" customHeight="1" s="218"/>
    <row r="920" ht="15.75" customHeight="1" s="218"/>
    <row r="921" ht="15.75" customHeight="1" s="218"/>
    <row r="922" ht="15.75" customHeight="1" s="218"/>
    <row r="923" ht="15.75" customHeight="1" s="218"/>
    <row r="924" ht="15.75" customHeight="1" s="218"/>
    <row r="925" ht="15.75" customHeight="1" s="218"/>
    <row r="926" ht="15.75" customHeight="1" s="218"/>
    <row r="927" ht="15.75" customHeight="1" s="218"/>
    <row r="928" ht="15.75" customHeight="1" s="218"/>
    <row r="929" ht="15.75" customHeight="1" s="218"/>
    <row r="930" ht="15.75" customHeight="1" s="218"/>
    <row r="931" ht="15.75" customHeight="1" s="218"/>
    <row r="932" ht="15.75" customHeight="1" s="218"/>
    <row r="933" ht="15.75" customHeight="1" s="218"/>
    <row r="934" ht="15.75" customHeight="1" s="218"/>
    <row r="935" ht="15.75" customHeight="1" s="218"/>
    <row r="936" ht="15.75" customHeight="1" s="218"/>
    <row r="937" ht="15.75" customHeight="1" s="218"/>
    <row r="938" ht="15.75" customHeight="1" s="218"/>
    <row r="939" ht="15.75" customHeight="1" s="218"/>
    <row r="940" ht="15.75" customHeight="1" s="218"/>
    <row r="941" ht="15.75" customHeight="1" s="218"/>
    <row r="942" ht="15.75" customHeight="1" s="218"/>
    <row r="943" ht="15.75" customHeight="1" s="218"/>
    <row r="944" ht="15.75" customHeight="1" s="218"/>
    <row r="945" ht="15.75" customHeight="1" s="218"/>
    <row r="946" ht="15.75" customHeight="1" s="218"/>
    <row r="947" ht="15.75" customHeight="1" s="218"/>
    <row r="948" ht="15.75" customHeight="1" s="218"/>
    <row r="949" ht="15.75" customHeight="1" s="218"/>
    <row r="950" ht="15.75" customHeight="1" s="218"/>
    <row r="951" ht="15.75" customHeight="1" s="218"/>
    <row r="952" ht="15.75" customHeight="1" s="218"/>
    <row r="953" ht="15.75" customHeight="1" s="218"/>
    <row r="954" ht="15.75" customHeight="1" s="218"/>
    <row r="955" ht="15.75" customHeight="1" s="218"/>
    <row r="956" ht="15.75" customHeight="1" s="218"/>
    <row r="957" ht="15.75" customHeight="1" s="218"/>
    <row r="958" ht="15.75" customHeight="1" s="218"/>
    <row r="959" ht="15.75" customHeight="1" s="218"/>
    <row r="960" ht="15.75" customHeight="1" s="218"/>
    <row r="961" ht="15.75" customHeight="1" s="218"/>
    <row r="962" ht="15.75" customHeight="1" s="218"/>
    <row r="963" ht="15.75" customHeight="1" s="218"/>
    <row r="964" ht="15.75" customHeight="1" s="218"/>
    <row r="965" ht="15.75" customHeight="1" s="218"/>
    <row r="966" ht="15.75" customHeight="1" s="218"/>
    <row r="967" ht="15.75" customHeight="1" s="218"/>
    <row r="968" ht="15.75" customHeight="1" s="218"/>
    <row r="969" ht="15.75" customHeight="1" s="218"/>
    <row r="970" ht="15.75" customHeight="1" s="218"/>
    <row r="971" ht="15.75" customHeight="1" s="218"/>
    <row r="972" ht="15.75" customHeight="1" s="218"/>
    <row r="973" ht="15.75" customHeight="1" s="218"/>
    <row r="974" ht="15.75" customHeight="1" s="218"/>
    <row r="975" ht="15.75" customHeight="1" s="218"/>
    <row r="976" ht="15.75" customHeight="1" s="218"/>
    <row r="977" ht="15.75" customHeight="1" s="218"/>
    <row r="978" ht="15.75" customHeight="1" s="218"/>
    <row r="979" ht="15.75" customHeight="1" s="218"/>
    <row r="980" ht="15.75" customHeight="1" s="218"/>
    <row r="981" ht="15.75" customHeight="1" s="218"/>
    <row r="982" ht="15.75" customHeight="1" s="218"/>
    <row r="983" ht="15.75" customHeight="1" s="218"/>
    <row r="984" ht="15.75" customHeight="1" s="218"/>
    <row r="985" ht="15.75" customHeight="1" s="218"/>
    <row r="986" ht="15.75" customHeight="1" s="218"/>
    <row r="987" ht="15.75" customHeight="1" s="218"/>
    <row r="988" ht="15.75" customHeight="1" s="218"/>
    <row r="989" ht="15.75" customHeight="1" s="218"/>
    <row r="990" ht="15.75" customHeight="1" s="218"/>
    <row r="991" ht="15.75" customHeight="1" s="218"/>
    <row r="992" ht="15.75" customHeight="1" s="218"/>
    <row r="993" ht="15.75" customHeight="1" s="218"/>
    <row r="994" ht="15.75" customHeight="1" s="218"/>
    <row r="995" ht="15.75" customHeight="1" s="218"/>
    <row r="996" ht="15.75" customHeight="1" s="218"/>
    <row r="997" ht="15.75" customHeight="1" s="218"/>
    <row r="998" ht="15.75" customHeight="1" s="218"/>
    <row r="999" ht="15.75" customHeight="1" s="218"/>
    <row r="1000" ht="15.75" customHeight="1" s="218"/>
  </sheetData>
  <mergeCells count="8">
    <mergeCell ref="BB4:BM4"/>
    <mergeCell ref="A2:BN2"/>
    <mergeCell ref="A15:BN15"/>
    <mergeCell ref="A19:BN19"/>
    <mergeCell ref="AO4:AZ4"/>
    <mergeCell ref="A1:BN1"/>
    <mergeCell ref="A9:BN9"/>
    <mergeCell ref="A6:BN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tabColor rgb="FF1B3A5C"/>
    <outlinePr summaryBelow="1" summaryRight="1"/>
    <pageSetUpPr fitToPage="0"/>
  </sheetPr>
  <dimension ref="A1:B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B6" activeCellId="0" sqref="B6"/>
    </sheetView>
  </sheetViews>
  <sheetFormatPr baseColWidth="8" defaultColWidth="14.43359375" defaultRowHeight="15" customHeight="1" zeroHeight="0" outlineLevelRow="0"/>
  <cols>
    <col width="34" customWidth="1" style="217" min="1" max="1"/>
    <col width="9.57" customWidth="1" style="217" min="2" max="13"/>
    <col width="11" customWidth="1" style="217" min="14" max="14"/>
    <col width="9.57" customWidth="1" style="217" min="15" max="26"/>
    <col width="11" customWidth="1" style="217" min="27" max="27"/>
    <col width="9.57" customWidth="1" style="217" min="28" max="39"/>
    <col width="11" customWidth="1" style="217" min="40" max="40"/>
    <col width="9.57" customWidth="1" style="217" min="41" max="41"/>
    <col width="13" customWidth="1" style="217" min="42" max="52"/>
    <col width="11" customWidth="1" style="217" min="53" max="53"/>
    <col width="9.57" customWidth="1" style="217" min="54" max="54"/>
    <col width="13" customWidth="1" style="217" min="55" max="65"/>
    <col width="11" customWidth="1" style="217" min="66" max="66"/>
  </cols>
  <sheetData>
    <row r="1" ht="39.75" customHeight="1" s="218">
      <c r="A1" s="264" t="inlineStr">
        <is>
          <t>BALANCE SHEET</t>
        </is>
      </c>
    </row>
    <row r="2" ht="18" customHeight="1" s="218">
      <c r="A2" s="265" t="inlineStr">
        <is>
          <t>Auto-populated from P&amp;L and Cash Flow. Balance check row must always show 0 (or close to 0). If not, check assumptions for data integrity.</t>
        </is>
      </c>
    </row>
    <row r="3" ht="6" customHeight="1" s="218">
      <c r="A3" s="221" t="n"/>
      <c r="B3" s="221" t="n"/>
      <c r="C3" s="221" t="n"/>
      <c r="D3" s="221" t="n"/>
      <c r="E3" s="221" t="n"/>
      <c r="F3" s="221" t="n"/>
      <c r="G3" s="221" t="n"/>
      <c r="H3" s="221" t="n"/>
      <c r="I3" s="221" t="n"/>
      <c r="J3" s="221" t="n"/>
      <c r="K3" s="221" t="n"/>
      <c r="L3" s="221" t="n"/>
      <c r="M3" s="221" t="n"/>
      <c r="N3" s="221" t="n"/>
      <c r="O3" s="221" t="n"/>
      <c r="P3" s="221" t="n"/>
      <c r="Q3" s="221" t="n"/>
      <c r="R3" s="221" t="n"/>
      <c r="S3" s="221" t="n"/>
      <c r="T3" s="221" t="n"/>
      <c r="U3" s="221" t="n"/>
      <c r="V3" s="221" t="n"/>
      <c r="W3" s="221" t="n"/>
      <c r="X3" s="221" t="n"/>
      <c r="Y3" s="221" t="n"/>
      <c r="Z3" s="221" t="n"/>
      <c r="AA3" s="221" t="n"/>
      <c r="AB3" s="221" t="n"/>
      <c r="AC3" s="221" t="n"/>
      <c r="AD3" s="221" t="n"/>
      <c r="AE3" s="221" t="n"/>
      <c r="AF3" s="221" t="n"/>
      <c r="AG3" s="221" t="n"/>
      <c r="AH3" s="221" t="n"/>
      <c r="AI3" s="221" t="n"/>
      <c r="AJ3" s="221" t="n"/>
      <c r="AK3" s="221" t="n"/>
      <c r="AL3" s="221" t="n"/>
      <c r="AM3" s="221" t="n"/>
      <c r="AN3" s="221" t="n"/>
    </row>
    <row r="4" ht="13.5" customHeight="1" s="218">
      <c r="A4" s="266" t="n"/>
      <c r="B4" s="233" t="inlineStr">
        <is>
          <t xml:space="preserve">  YEAR 1</t>
        </is>
      </c>
      <c r="N4" s="267" t="inlineStr">
        <is>
          <t>Y1</t>
        </is>
      </c>
      <c r="O4" s="268" t="inlineStr">
        <is>
          <t xml:space="preserve">  YEAR 2</t>
        </is>
      </c>
      <c r="AA4" s="269" t="inlineStr">
        <is>
          <t>Y2</t>
        </is>
      </c>
      <c r="AB4" s="270" t="inlineStr">
        <is>
          <t xml:space="preserve">  YEAR 3</t>
        </is>
      </c>
      <c r="AN4" s="271" t="inlineStr">
        <is>
          <t>Y3</t>
        </is>
      </c>
      <c r="AO4" s="272" t="inlineStr">
        <is>
          <t xml:space="preserve">  YEAR 4</t>
        </is>
      </c>
      <c r="BA4" s="273" t="inlineStr">
        <is>
          <t>Y4</t>
        </is>
      </c>
      <c r="BB4" s="272" t="inlineStr">
        <is>
          <t xml:space="preserve">  YEAR 5</t>
        </is>
      </c>
      <c r="BN4" s="273" t="inlineStr">
        <is>
          <t>Y5</t>
        </is>
      </c>
    </row>
    <row r="5" ht="21.75" customHeight="1" s="218">
      <c r="A5" s="266" t="n"/>
      <c r="B5" s="274" t="inlineStr">
        <is>
          <t>Jan</t>
        </is>
      </c>
      <c r="C5" s="274" t="inlineStr">
        <is>
          <t>Feb</t>
        </is>
      </c>
      <c r="D5" s="274" t="inlineStr">
        <is>
          <t>Mar</t>
        </is>
      </c>
      <c r="E5" s="274" t="inlineStr">
        <is>
          <t>Apr</t>
        </is>
      </c>
      <c r="F5" s="274" t="inlineStr">
        <is>
          <t>May</t>
        </is>
      </c>
      <c r="G5" s="274" t="inlineStr">
        <is>
          <t>Jun</t>
        </is>
      </c>
      <c r="H5" s="274" t="inlineStr">
        <is>
          <t>Jul</t>
        </is>
      </c>
      <c r="I5" s="274" t="inlineStr">
        <is>
          <t>Aug</t>
        </is>
      </c>
      <c r="J5" s="274" t="inlineStr">
        <is>
          <t>Sep</t>
        </is>
      </c>
      <c r="K5" s="274" t="inlineStr">
        <is>
          <t>Oct</t>
        </is>
      </c>
      <c r="L5" s="274" t="inlineStr">
        <is>
          <t>Nov</t>
        </is>
      </c>
      <c r="M5" s="274" t="inlineStr">
        <is>
          <t>Dec</t>
        </is>
      </c>
      <c r="N5" s="274" t="inlineStr">
        <is>
          <t>Y1 Total</t>
        </is>
      </c>
      <c r="O5" s="258" t="inlineStr">
        <is>
          <t>Jan</t>
        </is>
      </c>
      <c r="P5" s="258" t="inlineStr">
        <is>
          <t>Feb</t>
        </is>
      </c>
      <c r="Q5" s="258" t="inlineStr">
        <is>
          <t>Mar</t>
        </is>
      </c>
      <c r="R5" s="258" t="inlineStr">
        <is>
          <t>Apr</t>
        </is>
      </c>
      <c r="S5" s="258" t="inlineStr">
        <is>
          <t>May</t>
        </is>
      </c>
      <c r="T5" s="258" t="inlineStr">
        <is>
          <t>Jun</t>
        </is>
      </c>
      <c r="U5" s="258" t="inlineStr">
        <is>
          <t>Jul</t>
        </is>
      </c>
      <c r="V5" s="258" t="inlineStr">
        <is>
          <t>Aug</t>
        </is>
      </c>
      <c r="W5" s="258" t="inlineStr">
        <is>
          <t>Sep</t>
        </is>
      </c>
      <c r="X5" s="258" t="inlineStr">
        <is>
          <t>Oct</t>
        </is>
      </c>
      <c r="Y5" s="258" t="inlineStr">
        <is>
          <t>Nov</t>
        </is>
      </c>
      <c r="Z5" s="258" t="inlineStr">
        <is>
          <t>Dec</t>
        </is>
      </c>
      <c r="AA5" s="258" t="inlineStr">
        <is>
          <t>Y2 Total</t>
        </is>
      </c>
      <c r="AB5" s="275" t="inlineStr">
        <is>
          <t>Jan</t>
        </is>
      </c>
      <c r="AC5" s="275" t="inlineStr">
        <is>
          <t>Feb</t>
        </is>
      </c>
      <c r="AD5" s="275" t="inlineStr">
        <is>
          <t>Mar</t>
        </is>
      </c>
      <c r="AE5" s="275" t="inlineStr">
        <is>
          <t>Apr</t>
        </is>
      </c>
      <c r="AF5" s="275" t="inlineStr">
        <is>
          <t>May</t>
        </is>
      </c>
      <c r="AG5" s="275" t="inlineStr">
        <is>
          <t>Jun</t>
        </is>
      </c>
      <c r="AH5" s="275" t="inlineStr">
        <is>
          <t>Jul</t>
        </is>
      </c>
      <c r="AI5" s="275" t="inlineStr">
        <is>
          <t>Aug</t>
        </is>
      </c>
      <c r="AJ5" s="275" t="inlineStr">
        <is>
          <t>Sep</t>
        </is>
      </c>
      <c r="AK5" s="275" t="inlineStr">
        <is>
          <t>Oct</t>
        </is>
      </c>
      <c r="AL5" s="275" t="inlineStr">
        <is>
          <t>Nov</t>
        </is>
      </c>
      <c r="AM5" s="275" t="inlineStr">
        <is>
          <t>Dec</t>
        </is>
      </c>
      <c r="AN5" s="275" t="inlineStr">
        <is>
          <t>Y3 Total</t>
        </is>
      </c>
      <c r="AO5" s="275" t="inlineStr">
        <is>
          <t>Jan</t>
        </is>
      </c>
      <c r="AP5" s="275" t="inlineStr">
        <is>
          <t>Feb</t>
        </is>
      </c>
      <c r="AQ5" s="275" t="inlineStr">
        <is>
          <t>Mar</t>
        </is>
      </c>
      <c r="AR5" s="275" t="inlineStr">
        <is>
          <t>Apr</t>
        </is>
      </c>
      <c r="AS5" s="275" t="inlineStr">
        <is>
          <t>May</t>
        </is>
      </c>
      <c r="AT5" s="275" t="inlineStr">
        <is>
          <t>Jun</t>
        </is>
      </c>
      <c r="AU5" s="275" t="inlineStr">
        <is>
          <t>Jul</t>
        </is>
      </c>
      <c r="AV5" s="275" t="inlineStr">
        <is>
          <t>Aug</t>
        </is>
      </c>
      <c r="AW5" s="275" t="inlineStr">
        <is>
          <t>Sep</t>
        </is>
      </c>
      <c r="AX5" s="275" t="inlineStr">
        <is>
          <t>Oct</t>
        </is>
      </c>
      <c r="AY5" s="275" t="inlineStr">
        <is>
          <t>Nov</t>
        </is>
      </c>
      <c r="AZ5" s="275" t="inlineStr">
        <is>
          <t>Dec</t>
        </is>
      </c>
      <c r="BA5" s="275" t="inlineStr">
        <is>
          <t>Y4 Total</t>
        </is>
      </c>
      <c r="BB5" s="275" t="inlineStr">
        <is>
          <t>Jan</t>
        </is>
      </c>
      <c r="BC5" s="275" t="inlineStr">
        <is>
          <t>Feb</t>
        </is>
      </c>
      <c r="BD5" s="275" t="inlineStr">
        <is>
          <t>Mar</t>
        </is>
      </c>
      <c r="BE5" s="275" t="inlineStr">
        <is>
          <t>Apr</t>
        </is>
      </c>
      <c r="BF5" s="275" t="inlineStr">
        <is>
          <t>May</t>
        </is>
      </c>
      <c r="BG5" s="275" t="inlineStr">
        <is>
          <t>Jun</t>
        </is>
      </c>
      <c r="BH5" s="275" t="inlineStr">
        <is>
          <t>Jul</t>
        </is>
      </c>
      <c r="BI5" s="275" t="inlineStr">
        <is>
          <t>Aug</t>
        </is>
      </c>
      <c r="BJ5" s="275" t="inlineStr">
        <is>
          <t>Sep</t>
        </is>
      </c>
      <c r="BK5" s="275" t="inlineStr">
        <is>
          <t>Oct</t>
        </is>
      </c>
      <c r="BL5" s="275" t="inlineStr">
        <is>
          <t>Nov</t>
        </is>
      </c>
      <c r="BM5" s="275" t="inlineStr">
        <is>
          <t>Dec</t>
        </is>
      </c>
      <c r="BN5" s="275" t="inlineStr">
        <is>
          <t>Y5 Total</t>
        </is>
      </c>
    </row>
    <row r="6" ht="19.5" customHeight="1" s="218">
      <c r="A6" s="276" t="inlineStr">
        <is>
          <t>ASSETS</t>
        </is>
      </c>
    </row>
    <row r="7" ht="15.75" customHeight="1" s="218">
      <c r="A7" s="268" t="inlineStr">
        <is>
          <t xml:space="preserve">  Current Assets</t>
        </is>
      </c>
    </row>
    <row r="8" ht="18" customHeight="1" s="218">
      <c r="A8" s="293" t="inlineStr">
        <is>
          <t xml:space="preserve">  Cash &amp; Cash Equivalents (£)</t>
        </is>
      </c>
      <c r="B8" s="313">
        <f>IFERROR('CASH FLOW'!B25,0)</f>
        <v/>
      </c>
      <c r="C8" s="313">
        <f>IFERROR('CASH FLOW'!C25,0)</f>
        <v/>
      </c>
      <c r="D8" s="313">
        <f>IFERROR('CASH FLOW'!D25,0)</f>
        <v/>
      </c>
      <c r="E8" s="313">
        <f>IFERROR('CASH FLOW'!E25,0)</f>
        <v/>
      </c>
      <c r="F8" s="313">
        <f>IFERROR('CASH FLOW'!F25,0)</f>
        <v/>
      </c>
      <c r="G8" s="313">
        <f>IFERROR('CASH FLOW'!G25,0)</f>
        <v/>
      </c>
      <c r="H8" s="313">
        <f>IFERROR('CASH FLOW'!H25,0)</f>
        <v/>
      </c>
      <c r="I8" s="313">
        <f>IFERROR('CASH FLOW'!I25,0)</f>
        <v/>
      </c>
      <c r="J8" s="313">
        <f>IFERROR('CASH FLOW'!J25,0)</f>
        <v/>
      </c>
      <c r="K8" s="313">
        <f>IFERROR('CASH FLOW'!K25,0)</f>
        <v/>
      </c>
      <c r="L8" s="313">
        <f>IFERROR('CASH FLOW'!L25,0)</f>
        <v/>
      </c>
      <c r="M8" s="313">
        <f>IFERROR('CASH FLOW'!M25,0)</f>
        <v/>
      </c>
      <c r="N8" s="322">
        <f>M8</f>
        <v/>
      </c>
      <c r="O8" s="313">
        <f>IFERROR('CASH FLOW'!O25,0)</f>
        <v/>
      </c>
      <c r="P8" s="313">
        <f>IFERROR('CASH FLOW'!P25,0)</f>
        <v/>
      </c>
      <c r="Q8" s="313">
        <f>IFERROR('CASH FLOW'!Q25,0)</f>
        <v/>
      </c>
      <c r="R8" s="313">
        <f>IFERROR('CASH FLOW'!R25,0)</f>
        <v/>
      </c>
      <c r="S8" s="313">
        <f>IFERROR('CASH FLOW'!S25,0)</f>
        <v/>
      </c>
      <c r="T8" s="313">
        <f>IFERROR('CASH FLOW'!T25,0)</f>
        <v/>
      </c>
      <c r="U8" s="313">
        <f>IFERROR('CASH FLOW'!U25,0)</f>
        <v/>
      </c>
      <c r="V8" s="313">
        <f>IFERROR('CASH FLOW'!V25,0)</f>
        <v/>
      </c>
      <c r="W8" s="313">
        <f>IFERROR('CASH FLOW'!W25,0)</f>
        <v/>
      </c>
      <c r="X8" s="313">
        <f>IFERROR('CASH FLOW'!X25,0)</f>
        <v/>
      </c>
      <c r="Y8" s="313">
        <f>IFERROR('CASH FLOW'!Y25,0)</f>
        <v/>
      </c>
      <c r="Z8" s="313">
        <f>IFERROR('CASH FLOW'!Z25,0)</f>
        <v/>
      </c>
      <c r="AA8" s="322">
        <f>Z8</f>
        <v/>
      </c>
      <c r="AB8" s="313">
        <f>IFERROR('CASH FLOW'!AB25,0)</f>
        <v/>
      </c>
      <c r="AC8" s="313">
        <f>IFERROR('CASH FLOW'!AC25,0)</f>
        <v/>
      </c>
      <c r="AD8" s="313">
        <f>IFERROR('CASH FLOW'!AD25,0)</f>
        <v/>
      </c>
      <c r="AE8" s="313">
        <f>IFERROR('CASH FLOW'!AE25,0)</f>
        <v/>
      </c>
      <c r="AF8" s="313">
        <f>IFERROR('CASH FLOW'!AF25,0)</f>
        <v/>
      </c>
      <c r="AG8" s="313">
        <f>IFERROR('CASH FLOW'!AG25,0)</f>
        <v/>
      </c>
      <c r="AH8" s="313">
        <f>IFERROR('CASH FLOW'!AH25,0)</f>
        <v/>
      </c>
      <c r="AI8" s="313">
        <f>IFERROR('CASH FLOW'!AI25,0)</f>
        <v/>
      </c>
      <c r="AJ8" s="313">
        <f>IFERROR('CASH FLOW'!AJ25,0)</f>
        <v/>
      </c>
      <c r="AK8" s="313">
        <f>IFERROR('CASH FLOW'!AK25,0)</f>
        <v/>
      </c>
      <c r="AL8" s="313">
        <f>IFERROR('CASH FLOW'!AL25,0)</f>
        <v/>
      </c>
      <c r="AM8" s="313">
        <f>IFERROR('CASH FLOW'!AM25,0)</f>
        <v/>
      </c>
      <c r="AN8" s="322">
        <f>AM8</f>
        <v/>
      </c>
      <c r="AO8" s="313">
        <f>IFERROR('CASH FLOW'!AO25,0)</f>
        <v/>
      </c>
      <c r="AP8" s="313">
        <f>IFERROR('CASH FLOW'!AP25,0)</f>
        <v/>
      </c>
      <c r="AQ8" s="313">
        <f>IFERROR('CASH FLOW'!AQ25,0)</f>
        <v/>
      </c>
      <c r="AR8" s="313">
        <f>IFERROR('CASH FLOW'!AR25,0)</f>
        <v/>
      </c>
      <c r="AS8" s="313">
        <f>IFERROR('CASH FLOW'!AS25,0)</f>
        <v/>
      </c>
      <c r="AT8" s="313">
        <f>IFERROR('CASH FLOW'!AT25,0)</f>
        <v/>
      </c>
      <c r="AU8" s="313">
        <f>IFERROR('CASH FLOW'!AU25,0)</f>
        <v/>
      </c>
      <c r="AV8" s="313">
        <f>IFERROR('CASH FLOW'!AV25,0)</f>
        <v/>
      </c>
      <c r="AW8" s="313">
        <f>IFERROR('CASH FLOW'!AW25,0)</f>
        <v/>
      </c>
      <c r="AX8" s="313">
        <f>IFERROR('CASH FLOW'!AX25,0)</f>
        <v/>
      </c>
      <c r="AY8" s="313">
        <f>IFERROR('CASH FLOW'!AY25,0)</f>
        <v/>
      </c>
      <c r="AZ8" s="313">
        <f>IFERROR('CASH FLOW'!AZ25,0)</f>
        <v/>
      </c>
      <c r="BA8" s="290">
        <f>AZ8</f>
        <v/>
      </c>
      <c r="BB8" s="313">
        <f>IFERROR('CASH FLOW'!BB25,0)</f>
        <v/>
      </c>
      <c r="BC8" s="313">
        <f>IFERROR('CASH FLOW'!BC25,0)</f>
        <v/>
      </c>
      <c r="BD8" s="313">
        <f>IFERROR('CASH FLOW'!BD25,0)</f>
        <v/>
      </c>
      <c r="BE8" s="313">
        <f>IFERROR('CASH FLOW'!BE25,0)</f>
        <v/>
      </c>
      <c r="BF8" s="313">
        <f>IFERROR('CASH FLOW'!BF25,0)</f>
        <v/>
      </c>
      <c r="BG8" s="313">
        <f>IFERROR('CASH FLOW'!BG25,0)</f>
        <v/>
      </c>
      <c r="BH8" s="313">
        <f>IFERROR('CASH FLOW'!BH25,0)</f>
        <v/>
      </c>
      <c r="BI8" s="313">
        <f>IFERROR('CASH FLOW'!BI25,0)</f>
        <v/>
      </c>
      <c r="BJ8" s="313">
        <f>IFERROR('CASH FLOW'!BJ25,0)</f>
        <v/>
      </c>
      <c r="BK8" s="313">
        <f>IFERROR('CASH FLOW'!BK25,0)</f>
        <v/>
      </c>
      <c r="BL8" s="313">
        <f>IFERROR('CASH FLOW'!BL25,0)</f>
        <v/>
      </c>
      <c r="BM8" s="313">
        <f>IFERROR('CASH FLOW'!BM25,0)</f>
        <v/>
      </c>
      <c r="BN8" s="290">
        <f>BM8</f>
        <v/>
      </c>
    </row>
    <row r="9" ht="18" customHeight="1" s="218">
      <c r="A9" s="291" t="inlineStr">
        <is>
          <t xml:space="preserve">  Accounts Receivable / Debtors (£)</t>
        </is>
      </c>
      <c r="B9" s="292">
        <f>IFERROR('P&amp;L'!B10*ASSUMPTIONS!$B$84/30,0)</f>
        <v/>
      </c>
      <c r="C9" s="292">
        <f>IFERROR('P&amp;L'!C10*ASSUMPTIONS!$B$84/30,0)</f>
        <v/>
      </c>
      <c r="D9" s="292">
        <f>IFERROR('P&amp;L'!D10*ASSUMPTIONS!$B$84/30,0)</f>
        <v/>
      </c>
      <c r="E9" s="292">
        <f>IFERROR('P&amp;L'!E10*ASSUMPTIONS!$B$84/30,0)</f>
        <v/>
      </c>
      <c r="F9" s="292">
        <f>IFERROR('P&amp;L'!F10*ASSUMPTIONS!$B$84/30,0)</f>
        <v/>
      </c>
      <c r="G9" s="292">
        <f>IFERROR('P&amp;L'!G10*ASSUMPTIONS!$B$84/30,0)</f>
        <v/>
      </c>
      <c r="H9" s="292">
        <f>IFERROR('P&amp;L'!H10*ASSUMPTIONS!$B$84/30,0)</f>
        <v/>
      </c>
      <c r="I9" s="292">
        <f>IFERROR('P&amp;L'!I10*ASSUMPTIONS!$B$84/30,0)</f>
        <v/>
      </c>
      <c r="J9" s="292">
        <f>IFERROR('P&amp;L'!J10*ASSUMPTIONS!$B$84/30,0)</f>
        <v/>
      </c>
      <c r="K9" s="292">
        <f>IFERROR('P&amp;L'!K10*ASSUMPTIONS!$B$84/30,0)</f>
        <v/>
      </c>
      <c r="L9" s="292">
        <f>IFERROR('P&amp;L'!L10*ASSUMPTIONS!$B$84/30,0)</f>
        <v/>
      </c>
      <c r="M9" s="292">
        <f>IFERROR('P&amp;L'!M10*ASSUMPTIONS!$B$84/30,0)</f>
        <v/>
      </c>
      <c r="N9" s="289">
        <f>M9</f>
        <v/>
      </c>
      <c r="O9" s="292">
        <f>IFERROR('P&amp;L'!O10*ASSUMPTIONS!$B$84/30,0)</f>
        <v/>
      </c>
      <c r="P9" s="292">
        <f>IFERROR('P&amp;L'!P10*ASSUMPTIONS!$B$84/30,0)</f>
        <v/>
      </c>
      <c r="Q9" s="292">
        <f>IFERROR('P&amp;L'!Q10*ASSUMPTIONS!$B$84/30,0)</f>
        <v/>
      </c>
      <c r="R9" s="292">
        <f>IFERROR('P&amp;L'!R10*ASSUMPTIONS!$B$84/30,0)</f>
        <v/>
      </c>
      <c r="S9" s="292">
        <f>IFERROR('P&amp;L'!S10*ASSUMPTIONS!$B$84/30,0)</f>
        <v/>
      </c>
      <c r="T9" s="292">
        <f>IFERROR('P&amp;L'!T10*ASSUMPTIONS!$B$84/30,0)</f>
        <v/>
      </c>
      <c r="U9" s="292">
        <f>IFERROR('P&amp;L'!U10*ASSUMPTIONS!$B$84/30,0)</f>
        <v/>
      </c>
      <c r="V9" s="292">
        <f>IFERROR('P&amp;L'!V10*ASSUMPTIONS!$B$84/30,0)</f>
        <v/>
      </c>
      <c r="W9" s="292">
        <f>IFERROR('P&amp;L'!W10*ASSUMPTIONS!$B$84/30,0)</f>
        <v/>
      </c>
      <c r="X9" s="292">
        <f>IFERROR('P&amp;L'!X10*ASSUMPTIONS!$B$84/30,0)</f>
        <v/>
      </c>
      <c r="Y9" s="292">
        <f>IFERROR('P&amp;L'!Y10*ASSUMPTIONS!$B$84/30,0)</f>
        <v/>
      </c>
      <c r="Z9" s="292">
        <f>IFERROR('P&amp;L'!Z10*ASSUMPTIONS!$B$84/30,0)</f>
        <v/>
      </c>
      <c r="AA9" s="289">
        <f>Z9</f>
        <v/>
      </c>
      <c r="AB9" s="292">
        <f>IFERROR('P&amp;L'!AB10*ASSUMPTIONS!$B$84/30,0)</f>
        <v/>
      </c>
      <c r="AC9" s="292">
        <f>IFERROR('P&amp;L'!AC10*ASSUMPTIONS!$B$84/30,0)</f>
        <v/>
      </c>
      <c r="AD9" s="292">
        <f>IFERROR('P&amp;L'!AD10*ASSUMPTIONS!$B$84/30,0)</f>
        <v/>
      </c>
      <c r="AE9" s="292">
        <f>IFERROR('P&amp;L'!AE10*ASSUMPTIONS!$B$84/30,0)</f>
        <v/>
      </c>
      <c r="AF9" s="292">
        <f>IFERROR('P&amp;L'!AF10*ASSUMPTIONS!$B$84/30,0)</f>
        <v/>
      </c>
      <c r="AG9" s="292">
        <f>IFERROR('P&amp;L'!AG10*ASSUMPTIONS!$B$84/30,0)</f>
        <v/>
      </c>
      <c r="AH9" s="292">
        <f>IFERROR('P&amp;L'!AH10*ASSUMPTIONS!$B$84/30,0)</f>
        <v/>
      </c>
      <c r="AI9" s="292">
        <f>IFERROR('P&amp;L'!AI10*ASSUMPTIONS!$B$84/30,0)</f>
        <v/>
      </c>
      <c r="AJ9" s="292">
        <f>IFERROR('P&amp;L'!AJ10*ASSUMPTIONS!$B$84/30,0)</f>
        <v/>
      </c>
      <c r="AK9" s="292">
        <f>IFERROR('P&amp;L'!AK10*ASSUMPTIONS!$B$84/30,0)</f>
        <v/>
      </c>
      <c r="AL9" s="292">
        <f>IFERROR('P&amp;L'!AL10*ASSUMPTIONS!$B$84/30,0)</f>
        <v/>
      </c>
      <c r="AM9" s="292">
        <f>IFERROR('P&amp;L'!AM10*ASSUMPTIONS!$B$84/30,0)</f>
        <v/>
      </c>
      <c r="AN9" s="289">
        <f>AM9</f>
        <v/>
      </c>
      <c r="AO9" s="292">
        <f>IFERROR('P&amp;L'!AO10*ASSUMPTIONS!$B$84/30,0)</f>
        <v/>
      </c>
      <c r="AP9" s="292">
        <f>IFERROR('P&amp;L'!AP10*ASSUMPTIONS!$B$84/30,0)</f>
        <v/>
      </c>
      <c r="AQ9" s="292">
        <f>IFERROR('P&amp;L'!AQ10*ASSUMPTIONS!$B$84/30,0)</f>
        <v/>
      </c>
      <c r="AR9" s="292">
        <f>IFERROR('P&amp;L'!AR10*ASSUMPTIONS!$B$84/30,0)</f>
        <v/>
      </c>
      <c r="AS9" s="292">
        <f>IFERROR('P&amp;L'!AS10*ASSUMPTIONS!$B$84/30,0)</f>
        <v/>
      </c>
      <c r="AT9" s="292">
        <f>IFERROR('P&amp;L'!AT10*ASSUMPTIONS!$B$84/30,0)</f>
        <v/>
      </c>
      <c r="AU9" s="292">
        <f>IFERROR('P&amp;L'!AU10*ASSUMPTIONS!$B$84/30,0)</f>
        <v/>
      </c>
      <c r="AV9" s="292">
        <f>IFERROR('P&amp;L'!AV10*ASSUMPTIONS!$B$84/30,0)</f>
        <v/>
      </c>
      <c r="AW9" s="292">
        <f>IFERROR('P&amp;L'!AW10*ASSUMPTIONS!$B$84/30,0)</f>
        <v/>
      </c>
      <c r="AX9" s="292">
        <f>IFERROR('P&amp;L'!AX10*ASSUMPTIONS!$B$84/30,0)</f>
        <v/>
      </c>
      <c r="AY9" s="292">
        <f>IFERROR('P&amp;L'!AY10*ASSUMPTIONS!$B$84/30,0)</f>
        <v/>
      </c>
      <c r="AZ9" s="292">
        <f>IFERROR('P&amp;L'!AZ10*ASSUMPTIONS!$B$84/30,0)</f>
        <v/>
      </c>
      <c r="BA9" s="290">
        <f>AZ9</f>
        <v/>
      </c>
      <c r="BB9" s="292">
        <f>IFERROR('P&amp;L'!BB10*ASSUMPTIONS!$B$84/30,0)</f>
        <v/>
      </c>
      <c r="BC9" s="292">
        <f>IFERROR('P&amp;L'!BC10*ASSUMPTIONS!$B$84/30,0)</f>
        <v/>
      </c>
      <c r="BD9" s="292">
        <f>IFERROR('P&amp;L'!BD10*ASSUMPTIONS!$B$84/30,0)</f>
        <v/>
      </c>
      <c r="BE9" s="292">
        <f>IFERROR('P&amp;L'!BE10*ASSUMPTIONS!$B$84/30,0)</f>
        <v/>
      </c>
      <c r="BF9" s="292">
        <f>IFERROR('P&amp;L'!BF10*ASSUMPTIONS!$B$84/30,0)</f>
        <v/>
      </c>
      <c r="BG9" s="292">
        <f>IFERROR('P&amp;L'!BG10*ASSUMPTIONS!$B$84/30,0)</f>
        <v/>
      </c>
      <c r="BH9" s="292">
        <f>IFERROR('P&amp;L'!BH10*ASSUMPTIONS!$B$84/30,0)</f>
        <v/>
      </c>
      <c r="BI9" s="292">
        <f>IFERROR('P&amp;L'!BI10*ASSUMPTIONS!$B$84/30,0)</f>
        <v/>
      </c>
      <c r="BJ9" s="292">
        <f>IFERROR('P&amp;L'!BJ10*ASSUMPTIONS!$B$84/30,0)</f>
        <v/>
      </c>
      <c r="BK9" s="292">
        <f>IFERROR('P&amp;L'!BK10*ASSUMPTIONS!$B$84/30,0)</f>
        <v/>
      </c>
      <c r="BL9" s="292">
        <f>IFERROR('P&amp;L'!BL10*ASSUMPTIONS!$B$84/30,0)</f>
        <v/>
      </c>
      <c r="BM9" s="292">
        <f>IFERROR('P&amp;L'!BM10*ASSUMPTIONS!$B$84/30,0)</f>
        <v/>
      </c>
      <c r="BN9" s="290">
        <f>BM9</f>
        <v/>
      </c>
    </row>
    <row r="10" ht="18" customHeight="1" s="218">
      <c r="A10" s="294" t="inlineStr">
        <is>
          <t xml:space="preserve">  Total Current Assets (£)</t>
        </is>
      </c>
      <c r="B10" s="295">
        <f>IFERROR(B8+B9,0)</f>
        <v/>
      </c>
      <c r="C10" s="295">
        <f>IFERROR(C8+C9,0)</f>
        <v/>
      </c>
      <c r="D10" s="295">
        <f>IFERROR(D8+D9,0)</f>
        <v/>
      </c>
      <c r="E10" s="295">
        <f>IFERROR(E8+E9,0)</f>
        <v/>
      </c>
      <c r="F10" s="295">
        <f>IFERROR(F8+F9,0)</f>
        <v/>
      </c>
      <c r="G10" s="295">
        <f>IFERROR(G8+G9,0)</f>
        <v/>
      </c>
      <c r="H10" s="295">
        <f>IFERROR(H8+H9,0)</f>
        <v/>
      </c>
      <c r="I10" s="295">
        <f>IFERROR(I8+I9,0)</f>
        <v/>
      </c>
      <c r="J10" s="295">
        <f>IFERROR(J8+J9,0)</f>
        <v/>
      </c>
      <c r="K10" s="295">
        <f>IFERROR(K8+K9,0)</f>
        <v/>
      </c>
      <c r="L10" s="295">
        <f>IFERROR(L8+L9,0)</f>
        <v/>
      </c>
      <c r="M10" s="295">
        <f>IFERROR(M8+M9,0)</f>
        <v/>
      </c>
      <c r="N10" s="295">
        <f>M10</f>
        <v/>
      </c>
      <c r="O10" s="295">
        <f>IFERROR(O8+O9,0)</f>
        <v/>
      </c>
      <c r="P10" s="295">
        <f>IFERROR(P8+P9,0)</f>
        <v/>
      </c>
      <c r="Q10" s="295">
        <f>IFERROR(Q8+Q9,0)</f>
        <v/>
      </c>
      <c r="R10" s="295">
        <f>IFERROR(R8+R9,0)</f>
        <v/>
      </c>
      <c r="S10" s="295">
        <f>IFERROR(S8+S9,0)</f>
        <v/>
      </c>
      <c r="T10" s="295">
        <f>IFERROR(T8+T9,0)</f>
        <v/>
      </c>
      <c r="U10" s="295">
        <f>IFERROR(U8+U9,0)</f>
        <v/>
      </c>
      <c r="V10" s="295">
        <f>IFERROR(V8+V9,0)</f>
        <v/>
      </c>
      <c r="W10" s="295">
        <f>IFERROR(W8+W9,0)</f>
        <v/>
      </c>
      <c r="X10" s="295">
        <f>IFERROR(X8+X9,0)</f>
        <v/>
      </c>
      <c r="Y10" s="295">
        <f>IFERROR(Y8+Y9,0)</f>
        <v/>
      </c>
      <c r="Z10" s="295">
        <f>IFERROR(Z8+Z9,0)</f>
        <v/>
      </c>
      <c r="AA10" s="295">
        <f>Z10</f>
        <v/>
      </c>
      <c r="AB10" s="295">
        <f>IFERROR(AB8+AB9,0)</f>
        <v/>
      </c>
      <c r="AC10" s="295">
        <f>IFERROR(AC8+AC9,0)</f>
        <v/>
      </c>
      <c r="AD10" s="295">
        <f>IFERROR(AD8+AD9,0)</f>
        <v/>
      </c>
      <c r="AE10" s="295">
        <f>IFERROR(AE8+AE9,0)</f>
        <v/>
      </c>
      <c r="AF10" s="295">
        <f>IFERROR(AF8+AF9,0)</f>
        <v/>
      </c>
      <c r="AG10" s="295">
        <f>IFERROR(AG8+AG9,0)</f>
        <v/>
      </c>
      <c r="AH10" s="295">
        <f>IFERROR(AH8+AH9,0)</f>
        <v/>
      </c>
      <c r="AI10" s="295">
        <f>IFERROR(AI8+AI9,0)</f>
        <v/>
      </c>
      <c r="AJ10" s="295">
        <f>IFERROR(AJ8+AJ9,0)</f>
        <v/>
      </c>
      <c r="AK10" s="295">
        <f>IFERROR(AK8+AK9,0)</f>
        <v/>
      </c>
      <c r="AL10" s="295">
        <f>IFERROR(AL8+AL9,0)</f>
        <v/>
      </c>
      <c r="AM10" s="295">
        <f>IFERROR(AM8+AM9,0)</f>
        <v/>
      </c>
      <c r="AN10" s="295">
        <f>AM10</f>
        <v/>
      </c>
      <c r="AO10" s="295">
        <f>IFERROR(AO8+AO9,0)</f>
        <v/>
      </c>
      <c r="AP10" s="295">
        <f>IFERROR(AP8+AP9,0)</f>
        <v/>
      </c>
      <c r="AQ10" s="295">
        <f>IFERROR(AQ8+AQ9,0)</f>
        <v/>
      </c>
      <c r="AR10" s="295">
        <f>IFERROR(AR8+AR9,0)</f>
        <v/>
      </c>
      <c r="AS10" s="295">
        <f>IFERROR(AS8+AS9,0)</f>
        <v/>
      </c>
      <c r="AT10" s="295">
        <f>IFERROR(AT8+AT9,0)</f>
        <v/>
      </c>
      <c r="AU10" s="295">
        <f>IFERROR(AU8+AU9,0)</f>
        <v/>
      </c>
      <c r="AV10" s="295">
        <f>IFERROR(AV8+AV9,0)</f>
        <v/>
      </c>
      <c r="AW10" s="295">
        <f>IFERROR(AW8+AW9,0)</f>
        <v/>
      </c>
      <c r="AX10" s="295">
        <f>IFERROR(AX8+AX9,0)</f>
        <v/>
      </c>
      <c r="AY10" s="295">
        <f>IFERROR(AY8+AY9,0)</f>
        <v/>
      </c>
      <c r="AZ10" s="295">
        <f>IFERROR(AZ8+AZ9,0)</f>
        <v/>
      </c>
      <c r="BA10" s="296">
        <f>AZ10</f>
        <v/>
      </c>
      <c r="BB10" s="295">
        <f>IFERROR(BB8+BB9,0)</f>
        <v/>
      </c>
      <c r="BC10" s="295">
        <f>IFERROR(BC8+BC9,0)</f>
        <v/>
      </c>
      <c r="BD10" s="295">
        <f>IFERROR(BD8+BD9,0)</f>
        <v/>
      </c>
      <c r="BE10" s="295">
        <f>IFERROR(BE8+BE9,0)</f>
        <v/>
      </c>
      <c r="BF10" s="295">
        <f>IFERROR(BF8+BF9,0)</f>
        <v/>
      </c>
      <c r="BG10" s="295">
        <f>IFERROR(BG8+BG9,0)</f>
        <v/>
      </c>
      <c r="BH10" s="295">
        <f>IFERROR(BH8+BH9,0)</f>
        <v/>
      </c>
      <c r="BI10" s="295">
        <f>IFERROR(BI8+BI9,0)</f>
        <v/>
      </c>
      <c r="BJ10" s="295">
        <f>IFERROR(BJ8+BJ9,0)</f>
        <v/>
      </c>
      <c r="BK10" s="295">
        <f>IFERROR(BK8+BK9,0)</f>
        <v/>
      </c>
      <c r="BL10" s="295">
        <f>IFERROR(BL8+BL9,0)</f>
        <v/>
      </c>
      <c r="BM10" s="295">
        <f>IFERROR(BM8+BM9,0)</f>
        <v/>
      </c>
      <c r="BN10" s="296">
        <f>BM10</f>
        <v/>
      </c>
    </row>
    <row r="11" ht="15.75" customHeight="1" s="218">
      <c r="A11" s="268" t="inlineStr">
        <is>
          <t xml:space="preserve">  Non-Current Assets</t>
        </is>
      </c>
    </row>
    <row r="12" ht="18" customHeight="1" s="218">
      <c r="A12" s="238" t="inlineStr">
        <is>
          <t xml:space="preserve">  Intangible / Fixed Assets (£) — enter if applicable</t>
        </is>
      </c>
      <c r="B12" s="249" t="n"/>
      <c r="C12" s="249" t="n"/>
      <c r="D12" s="249" t="n"/>
      <c r="E12" s="249" t="n"/>
      <c r="F12" s="249" t="n"/>
      <c r="G12" s="249" t="n"/>
      <c r="H12" s="249" t="n"/>
      <c r="I12" s="249" t="n"/>
      <c r="J12" s="249" t="n"/>
      <c r="K12" s="249" t="n"/>
      <c r="L12" s="249" t="n"/>
      <c r="M12" s="249" t="n"/>
      <c r="N12" s="336">
        <f>M12</f>
        <v/>
      </c>
      <c r="O12" s="249" t="n"/>
      <c r="P12" s="249" t="n"/>
      <c r="Q12" s="249" t="n"/>
      <c r="R12" s="249" t="n"/>
      <c r="S12" s="249" t="n"/>
      <c r="T12" s="249" t="n"/>
      <c r="U12" s="249" t="n"/>
      <c r="V12" s="249" t="n"/>
      <c r="W12" s="249" t="n"/>
      <c r="X12" s="249" t="n"/>
      <c r="Y12" s="249" t="n"/>
      <c r="Z12" s="249" t="n"/>
      <c r="AA12" s="336">
        <f>Z12</f>
        <v/>
      </c>
      <c r="AB12" s="249" t="n"/>
      <c r="AC12" s="249" t="n"/>
      <c r="AD12" s="249" t="n"/>
      <c r="AE12" s="249" t="n"/>
      <c r="AF12" s="249" t="n"/>
      <c r="AG12" s="249" t="n"/>
      <c r="AH12" s="249" t="n"/>
      <c r="AI12" s="249" t="n"/>
      <c r="AJ12" s="249" t="n"/>
      <c r="AK12" s="249" t="n"/>
      <c r="AL12" s="249" t="n"/>
      <c r="AM12" s="249" t="n"/>
      <c r="AN12" s="336">
        <f>AM12</f>
        <v/>
      </c>
      <c r="AO12" s="249" t="n"/>
      <c r="AP12" s="249" t="n"/>
      <c r="AQ12" s="249" t="n"/>
      <c r="AR12" s="249" t="n"/>
      <c r="AS12" s="249" t="n"/>
      <c r="AT12" s="249" t="n"/>
      <c r="AU12" s="249" t="n"/>
      <c r="AV12" s="249" t="n"/>
      <c r="AW12" s="249" t="n"/>
      <c r="AX12" s="249" t="n"/>
      <c r="AY12" s="249" t="n"/>
      <c r="AZ12" s="249" t="n"/>
      <c r="BA12" s="330">
        <f>AZ12</f>
        <v/>
      </c>
      <c r="BB12" s="249" t="n"/>
      <c r="BC12" s="249" t="n"/>
      <c r="BD12" s="249" t="n"/>
      <c r="BE12" s="249" t="n"/>
      <c r="BF12" s="249" t="n"/>
      <c r="BG12" s="249" t="n"/>
      <c r="BH12" s="249" t="n"/>
      <c r="BI12" s="249" t="n"/>
      <c r="BJ12" s="249" t="n"/>
      <c r="BK12" s="249" t="n"/>
      <c r="BL12" s="249" t="n"/>
      <c r="BM12" s="249" t="n"/>
      <c r="BN12" s="330">
        <f>BM12</f>
        <v/>
      </c>
    </row>
    <row r="13" ht="18" customHeight="1" s="218">
      <c r="A13" s="294" t="inlineStr">
        <is>
          <t>TOTAL ASSETS (£)</t>
        </is>
      </c>
      <c r="B13" s="295">
        <f>IFERROR(B10+B12,0)</f>
        <v/>
      </c>
      <c r="C13" s="295">
        <f>IFERROR(C10+C12,0)</f>
        <v/>
      </c>
      <c r="D13" s="295">
        <f>IFERROR(D10+D12,0)</f>
        <v/>
      </c>
      <c r="E13" s="295">
        <f>IFERROR(E10+E12,0)</f>
        <v/>
      </c>
      <c r="F13" s="295">
        <f>IFERROR(F10+F12,0)</f>
        <v/>
      </c>
      <c r="G13" s="295">
        <f>IFERROR(G10+G12,0)</f>
        <v/>
      </c>
      <c r="H13" s="295">
        <f>IFERROR(H10+H12,0)</f>
        <v/>
      </c>
      <c r="I13" s="295">
        <f>IFERROR(I10+I12,0)</f>
        <v/>
      </c>
      <c r="J13" s="295">
        <f>IFERROR(J10+J12,0)</f>
        <v/>
      </c>
      <c r="K13" s="295">
        <f>IFERROR(K10+K12,0)</f>
        <v/>
      </c>
      <c r="L13" s="295">
        <f>IFERROR(L10+L12,0)</f>
        <v/>
      </c>
      <c r="M13" s="295">
        <f>IFERROR(M10+M12,0)</f>
        <v/>
      </c>
      <c r="N13" s="295">
        <f>M13</f>
        <v/>
      </c>
      <c r="O13" s="295">
        <f>IFERROR(O10+O12,0)</f>
        <v/>
      </c>
      <c r="P13" s="295">
        <f>IFERROR(P10+P12,0)</f>
        <v/>
      </c>
      <c r="Q13" s="295">
        <f>IFERROR(Q10+Q12,0)</f>
        <v/>
      </c>
      <c r="R13" s="295">
        <f>IFERROR(R10+R12,0)</f>
        <v/>
      </c>
      <c r="S13" s="295">
        <f>IFERROR(S10+S12,0)</f>
        <v/>
      </c>
      <c r="T13" s="295">
        <f>IFERROR(T10+T12,0)</f>
        <v/>
      </c>
      <c r="U13" s="295">
        <f>IFERROR(U10+U12,0)</f>
        <v/>
      </c>
      <c r="V13" s="295">
        <f>IFERROR(V10+V12,0)</f>
        <v/>
      </c>
      <c r="W13" s="295">
        <f>IFERROR(W10+W12,0)</f>
        <v/>
      </c>
      <c r="X13" s="295">
        <f>IFERROR(X10+X12,0)</f>
        <v/>
      </c>
      <c r="Y13" s="295">
        <f>IFERROR(Y10+Y12,0)</f>
        <v/>
      </c>
      <c r="Z13" s="295">
        <f>IFERROR(Z10+Z12,0)</f>
        <v/>
      </c>
      <c r="AA13" s="295">
        <f>Z13</f>
        <v/>
      </c>
      <c r="AB13" s="295">
        <f>IFERROR(AB10+AB12,0)</f>
        <v/>
      </c>
      <c r="AC13" s="295">
        <f>IFERROR(AC10+AC12,0)</f>
        <v/>
      </c>
      <c r="AD13" s="295">
        <f>IFERROR(AD10+AD12,0)</f>
        <v/>
      </c>
      <c r="AE13" s="295">
        <f>IFERROR(AE10+AE12,0)</f>
        <v/>
      </c>
      <c r="AF13" s="295">
        <f>IFERROR(AF10+AF12,0)</f>
        <v/>
      </c>
      <c r="AG13" s="295">
        <f>IFERROR(AG10+AG12,0)</f>
        <v/>
      </c>
      <c r="AH13" s="295">
        <f>IFERROR(AH10+AH12,0)</f>
        <v/>
      </c>
      <c r="AI13" s="295">
        <f>IFERROR(AI10+AI12,0)</f>
        <v/>
      </c>
      <c r="AJ13" s="295">
        <f>IFERROR(AJ10+AJ12,0)</f>
        <v/>
      </c>
      <c r="AK13" s="295">
        <f>IFERROR(AK10+AK12,0)</f>
        <v/>
      </c>
      <c r="AL13" s="295">
        <f>IFERROR(AL10+AL12,0)</f>
        <v/>
      </c>
      <c r="AM13" s="295">
        <f>IFERROR(AM10+AM12,0)</f>
        <v/>
      </c>
      <c r="AN13" s="295">
        <f>AM13</f>
        <v/>
      </c>
      <c r="AO13" s="295">
        <f>IFERROR(AO10+AO12,0)</f>
        <v/>
      </c>
      <c r="AP13" s="295">
        <f>IFERROR(AP10+AP12,0)</f>
        <v/>
      </c>
      <c r="AQ13" s="295">
        <f>IFERROR(AQ10+AQ12,0)</f>
        <v/>
      </c>
      <c r="AR13" s="295">
        <f>IFERROR(AR10+AR12,0)</f>
        <v/>
      </c>
      <c r="AS13" s="295">
        <f>IFERROR(AS10+AS12,0)</f>
        <v/>
      </c>
      <c r="AT13" s="295">
        <f>IFERROR(AT10+AT12,0)</f>
        <v/>
      </c>
      <c r="AU13" s="295">
        <f>IFERROR(AU10+AU12,0)</f>
        <v/>
      </c>
      <c r="AV13" s="295">
        <f>IFERROR(AV10+AV12,0)</f>
        <v/>
      </c>
      <c r="AW13" s="295">
        <f>IFERROR(AW10+AW12,0)</f>
        <v/>
      </c>
      <c r="AX13" s="295">
        <f>IFERROR(AX10+AX12,0)</f>
        <v/>
      </c>
      <c r="AY13" s="295">
        <f>IFERROR(AY10+AY12,0)</f>
        <v/>
      </c>
      <c r="AZ13" s="295">
        <f>IFERROR(AZ10+AZ12,0)</f>
        <v/>
      </c>
      <c r="BA13" s="296">
        <f>AZ13</f>
        <v/>
      </c>
      <c r="BB13" s="295">
        <f>IFERROR(BB10+BB12,0)</f>
        <v/>
      </c>
      <c r="BC13" s="295">
        <f>IFERROR(BC10+BC12,0)</f>
        <v/>
      </c>
      <c r="BD13" s="295">
        <f>IFERROR(BD10+BD12,0)</f>
        <v/>
      </c>
      <c r="BE13" s="295">
        <f>IFERROR(BE10+BE12,0)</f>
        <v/>
      </c>
      <c r="BF13" s="295">
        <f>IFERROR(BF10+BF12,0)</f>
        <v/>
      </c>
      <c r="BG13" s="295">
        <f>IFERROR(BG10+BG12,0)</f>
        <v/>
      </c>
      <c r="BH13" s="295">
        <f>IFERROR(BH10+BH12,0)</f>
        <v/>
      </c>
      <c r="BI13" s="295">
        <f>IFERROR(BI10+BI12,0)</f>
        <v/>
      </c>
      <c r="BJ13" s="295">
        <f>IFERROR(BJ10+BJ12,0)</f>
        <v/>
      </c>
      <c r="BK13" s="295">
        <f>IFERROR(BK10+BK12,0)</f>
        <v/>
      </c>
      <c r="BL13" s="295">
        <f>IFERROR(BL10+BL12,0)</f>
        <v/>
      </c>
      <c r="BM13" s="295">
        <f>IFERROR(BM10+BM12,0)</f>
        <v/>
      </c>
      <c r="BN13" s="296">
        <f>BM13</f>
        <v/>
      </c>
    </row>
    <row r="14" ht="6" customHeight="1" s="218">
      <c r="A14" s="221" t="n"/>
      <c r="B14" s="221" t="n"/>
      <c r="C14" s="221" t="n"/>
      <c r="D14" s="221" t="n"/>
      <c r="E14" s="221" t="n"/>
      <c r="F14" s="221" t="n"/>
      <c r="G14" s="221" t="n"/>
      <c r="H14" s="221" t="n"/>
      <c r="I14" s="221" t="n"/>
      <c r="J14" s="221" t="n"/>
      <c r="K14" s="221" t="n"/>
      <c r="L14" s="221" t="n"/>
      <c r="M14" s="221" t="n"/>
      <c r="N14" s="221" t="n"/>
      <c r="O14" s="221" t="n"/>
      <c r="P14" s="221" t="n"/>
      <c r="Q14" s="221" t="n"/>
      <c r="R14" s="221" t="n"/>
      <c r="S14" s="221" t="n"/>
      <c r="T14" s="221" t="n"/>
      <c r="U14" s="221" t="n"/>
      <c r="V14" s="221" t="n"/>
      <c r="W14" s="221" t="n"/>
      <c r="X14" s="221" t="n"/>
      <c r="Y14" s="221" t="n"/>
      <c r="Z14" s="221" t="n"/>
      <c r="AA14" s="221" t="n"/>
      <c r="AB14" s="221" t="n"/>
      <c r="AC14" s="221" t="n"/>
      <c r="AD14" s="221" t="n"/>
      <c r="AE14" s="221" t="n"/>
      <c r="AF14" s="221" t="n"/>
      <c r="AG14" s="221" t="n"/>
      <c r="AH14" s="221" t="n"/>
      <c r="AI14" s="221" t="n"/>
      <c r="AJ14" s="221" t="n"/>
      <c r="AK14" s="221" t="n"/>
      <c r="AL14" s="221" t="n"/>
      <c r="AM14" s="221" t="n"/>
      <c r="AN14" s="221" t="n"/>
      <c r="AO14" s="221" t="n"/>
      <c r="AP14" s="221" t="n"/>
      <c r="AQ14" s="221" t="n"/>
      <c r="AR14" s="221" t="n"/>
      <c r="AS14" s="221" t="n"/>
      <c r="AT14" s="221" t="n"/>
      <c r="AU14" s="221" t="n"/>
      <c r="AV14" s="221" t="n"/>
      <c r="AW14" s="221" t="n"/>
      <c r="AX14" s="221" t="n"/>
      <c r="AY14" s="221" t="n"/>
      <c r="AZ14" s="221" t="n"/>
      <c r="BA14" s="285" t="n"/>
      <c r="BB14" s="221" t="n"/>
      <c r="BC14" s="221" t="n"/>
      <c r="BD14" s="221" t="n"/>
      <c r="BE14" s="221" t="n"/>
      <c r="BF14" s="221" t="n"/>
      <c r="BG14" s="221" t="n"/>
      <c r="BH14" s="221" t="n"/>
      <c r="BI14" s="221" t="n"/>
      <c r="BJ14" s="221" t="n"/>
      <c r="BK14" s="221" t="n"/>
      <c r="BL14" s="221" t="n"/>
      <c r="BM14" s="221" t="n"/>
      <c r="BN14" s="285" t="n"/>
    </row>
    <row r="15" ht="19.5" customHeight="1" s="218">
      <c r="A15" s="308" t="inlineStr">
        <is>
          <t>LIABILITIES</t>
        </is>
      </c>
    </row>
    <row r="16" ht="18" customHeight="1" s="218">
      <c r="A16" s="293" t="inlineStr">
        <is>
          <t xml:space="preserve">  Accounts Payable / Creditors (£)</t>
        </is>
      </c>
      <c r="B16" s="292">
        <f>IFERROR(('P&amp;L'!B13+'P&amp;L'!B31)*ASSUMPTIONS!$B$85/30,0)</f>
        <v/>
      </c>
      <c r="C16" s="292">
        <f>IFERROR(('P&amp;L'!C13+'P&amp;L'!C31)*ASSUMPTIONS!$B$85/30,0)</f>
        <v/>
      </c>
      <c r="D16" s="292">
        <f>IFERROR(('P&amp;L'!D13+'P&amp;L'!D31)*ASSUMPTIONS!$B$85/30,0)</f>
        <v/>
      </c>
      <c r="E16" s="292">
        <f>IFERROR(('P&amp;L'!E13+'P&amp;L'!E31)*ASSUMPTIONS!$B$85/30,0)</f>
        <v/>
      </c>
      <c r="F16" s="292">
        <f>IFERROR(('P&amp;L'!F13+'P&amp;L'!F31)*ASSUMPTIONS!$B$85/30,0)</f>
        <v/>
      </c>
      <c r="G16" s="292">
        <f>IFERROR(('P&amp;L'!G13+'P&amp;L'!G31)*ASSUMPTIONS!$B$85/30,0)</f>
        <v/>
      </c>
      <c r="H16" s="292">
        <f>IFERROR(('P&amp;L'!H13+'P&amp;L'!H31)*ASSUMPTIONS!$B$85/30,0)</f>
        <v/>
      </c>
      <c r="I16" s="292">
        <f>IFERROR(('P&amp;L'!I13+'P&amp;L'!I31)*ASSUMPTIONS!$B$85/30,0)</f>
        <v/>
      </c>
      <c r="J16" s="292">
        <f>IFERROR(('P&amp;L'!J13+'P&amp;L'!J31)*ASSUMPTIONS!$B$85/30,0)</f>
        <v/>
      </c>
      <c r="K16" s="292">
        <f>IFERROR(('P&amp;L'!K13+'P&amp;L'!K31)*ASSUMPTIONS!$B$85/30,0)</f>
        <v/>
      </c>
      <c r="L16" s="292">
        <f>IFERROR(('P&amp;L'!L13+'P&amp;L'!L31)*ASSUMPTIONS!$B$85/30,0)</f>
        <v/>
      </c>
      <c r="M16" s="292">
        <f>IFERROR(('P&amp;L'!M13+'P&amp;L'!M31)*ASSUMPTIONS!$B$85/30,0)</f>
        <v/>
      </c>
      <c r="N16" s="289">
        <f>M16</f>
        <v/>
      </c>
      <c r="O16" s="292">
        <f>IFERROR(('P&amp;L'!O13+'P&amp;L'!O31)*ASSUMPTIONS!$B$85/30,0)</f>
        <v/>
      </c>
      <c r="P16" s="292">
        <f>IFERROR(('P&amp;L'!P13+'P&amp;L'!P31)*ASSUMPTIONS!$B$85/30,0)</f>
        <v/>
      </c>
      <c r="Q16" s="292">
        <f>IFERROR(('P&amp;L'!Q13+'P&amp;L'!Q31)*ASSUMPTIONS!$B$85/30,0)</f>
        <v/>
      </c>
      <c r="R16" s="292">
        <f>IFERROR(('P&amp;L'!R13+'P&amp;L'!R31)*ASSUMPTIONS!$B$85/30,0)</f>
        <v/>
      </c>
      <c r="S16" s="292">
        <f>IFERROR(('P&amp;L'!S13+'P&amp;L'!S31)*ASSUMPTIONS!$B$85/30,0)</f>
        <v/>
      </c>
      <c r="T16" s="292">
        <f>IFERROR(('P&amp;L'!T13+'P&amp;L'!T31)*ASSUMPTIONS!$B$85/30,0)</f>
        <v/>
      </c>
      <c r="U16" s="292">
        <f>IFERROR(('P&amp;L'!U13+'P&amp;L'!U31)*ASSUMPTIONS!$B$85/30,0)</f>
        <v/>
      </c>
      <c r="V16" s="292">
        <f>IFERROR(('P&amp;L'!V13+'P&amp;L'!V31)*ASSUMPTIONS!$B$85/30,0)</f>
        <v/>
      </c>
      <c r="W16" s="292">
        <f>IFERROR(('P&amp;L'!W13+'P&amp;L'!W31)*ASSUMPTIONS!$B$85/30,0)</f>
        <v/>
      </c>
      <c r="X16" s="292">
        <f>IFERROR(('P&amp;L'!X13+'P&amp;L'!X31)*ASSUMPTIONS!$B$85/30,0)</f>
        <v/>
      </c>
      <c r="Y16" s="292">
        <f>IFERROR(('P&amp;L'!Y13+'P&amp;L'!Y31)*ASSUMPTIONS!$B$85/30,0)</f>
        <v/>
      </c>
      <c r="Z16" s="292">
        <f>IFERROR(('P&amp;L'!Z13+'P&amp;L'!Z31)*ASSUMPTIONS!$B$85/30,0)</f>
        <v/>
      </c>
      <c r="AA16" s="289">
        <f>Z16</f>
        <v/>
      </c>
      <c r="AB16" s="292">
        <f>IFERROR(('P&amp;L'!AB13+'P&amp;L'!AB31)*ASSUMPTIONS!$B$85/30,0)</f>
        <v/>
      </c>
      <c r="AC16" s="292">
        <f>IFERROR(('P&amp;L'!AC13+'P&amp;L'!AC31)*ASSUMPTIONS!$B$85/30,0)</f>
        <v/>
      </c>
      <c r="AD16" s="292">
        <f>IFERROR(('P&amp;L'!AD13+'P&amp;L'!AD31)*ASSUMPTIONS!$B$85/30,0)</f>
        <v/>
      </c>
      <c r="AE16" s="292">
        <f>IFERROR(('P&amp;L'!AE13+'P&amp;L'!AE31)*ASSUMPTIONS!$B$85/30,0)</f>
        <v/>
      </c>
      <c r="AF16" s="292">
        <f>IFERROR(('P&amp;L'!AF13+'P&amp;L'!AF31)*ASSUMPTIONS!$B$85/30,0)</f>
        <v/>
      </c>
      <c r="AG16" s="292">
        <f>IFERROR(('P&amp;L'!AG13+'P&amp;L'!AG31)*ASSUMPTIONS!$B$85/30,0)</f>
        <v/>
      </c>
      <c r="AH16" s="292">
        <f>IFERROR(('P&amp;L'!AH13+'P&amp;L'!AH31)*ASSUMPTIONS!$B$85/30,0)</f>
        <v/>
      </c>
      <c r="AI16" s="292">
        <f>IFERROR(('P&amp;L'!AI13+'P&amp;L'!AI31)*ASSUMPTIONS!$B$85/30,0)</f>
        <v/>
      </c>
      <c r="AJ16" s="292">
        <f>IFERROR(('P&amp;L'!AJ13+'P&amp;L'!AJ31)*ASSUMPTIONS!$B$85/30,0)</f>
        <v/>
      </c>
      <c r="AK16" s="292">
        <f>IFERROR(('P&amp;L'!AK13+'P&amp;L'!AK31)*ASSUMPTIONS!$B$85/30,0)</f>
        <v/>
      </c>
      <c r="AL16" s="292">
        <f>IFERROR(('P&amp;L'!AL13+'P&amp;L'!AL31)*ASSUMPTIONS!$B$85/30,0)</f>
        <v/>
      </c>
      <c r="AM16" s="292">
        <f>IFERROR(('P&amp;L'!AM13+'P&amp;L'!AM31)*ASSUMPTIONS!$B$85/30,0)</f>
        <v/>
      </c>
      <c r="AN16" s="289">
        <f>AM16</f>
        <v/>
      </c>
      <c r="AO16" s="292">
        <f>IFERROR(('P&amp;L'!AO13+'P&amp;L'!AO31)*ASSUMPTIONS!$B$85/30,0)</f>
        <v/>
      </c>
      <c r="AP16" s="292">
        <f>IFERROR(('P&amp;L'!AP13+'P&amp;L'!AP31)*ASSUMPTIONS!$B$85/30,0)</f>
        <v/>
      </c>
      <c r="AQ16" s="292">
        <f>IFERROR(('P&amp;L'!AQ13+'P&amp;L'!AQ31)*ASSUMPTIONS!$B$85/30,0)</f>
        <v/>
      </c>
      <c r="AR16" s="292">
        <f>IFERROR(('P&amp;L'!AR13+'P&amp;L'!AR31)*ASSUMPTIONS!$B$85/30,0)</f>
        <v/>
      </c>
      <c r="AS16" s="292">
        <f>IFERROR(('P&amp;L'!AS13+'P&amp;L'!AS31)*ASSUMPTIONS!$B$85/30,0)</f>
        <v/>
      </c>
      <c r="AT16" s="292">
        <f>IFERROR(('P&amp;L'!AT13+'P&amp;L'!AT31)*ASSUMPTIONS!$B$85/30,0)</f>
        <v/>
      </c>
      <c r="AU16" s="292">
        <f>IFERROR(('P&amp;L'!AU13+'P&amp;L'!AU31)*ASSUMPTIONS!$B$85/30,0)</f>
        <v/>
      </c>
      <c r="AV16" s="292">
        <f>IFERROR(('P&amp;L'!AV13+'P&amp;L'!AV31)*ASSUMPTIONS!$B$85/30,0)</f>
        <v/>
      </c>
      <c r="AW16" s="292">
        <f>IFERROR(('P&amp;L'!AW13+'P&amp;L'!AW31)*ASSUMPTIONS!$B$85/30,0)</f>
        <v/>
      </c>
      <c r="AX16" s="292">
        <f>IFERROR(('P&amp;L'!AX13+'P&amp;L'!AX31)*ASSUMPTIONS!$B$85/30,0)</f>
        <v/>
      </c>
      <c r="AY16" s="292">
        <f>IFERROR(('P&amp;L'!AY13+'P&amp;L'!AY31)*ASSUMPTIONS!$B$85/30,0)</f>
        <v/>
      </c>
      <c r="AZ16" s="292">
        <f>IFERROR(('P&amp;L'!AZ13+'P&amp;L'!AZ31)*ASSUMPTIONS!$B$85/30,0)</f>
        <v/>
      </c>
      <c r="BA16" s="290">
        <f>AZ16</f>
        <v/>
      </c>
      <c r="BB16" s="292">
        <f>IFERROR(('P&amp;L'!BB13+'P&amp;L'!BB31)*ASSUMPTIONS!$B$85/30,0)</f>
        <v/>
      </c>
      <c r="BC16" s="292">
        <f>IFERROR(('P&amp;L'!BC13+'P&amp;L'!BC31)*ASSUMPTIONS!$B$85/30,0)</f>
        <v/>
      </c>
      <c r="BD16" s="292">
        <f>IFERROR(('P&amp;L'!BD13+'P&amp;L'!BD31)*ASSUMPTIONS!$B$85/30,0)</f>
        <v/>
      </c>
      <c r="BE16" s="292">
        <f>IFERROR(('P&amp;L'!BE13+'P&amp;L'!BE31)*ASSUMPTIONS!$B$85/30,0)</f>
        <v/>
      </c>
      <c r="BF16" s="292">
        <f>IFERROR(('P&amp;L'!BF13+'P&amp;L'!BF31)*ASSUMPTIONS!$B$85/30,0)</f>
        <v/>
      </c>
      <c r="BG16" s="292">
        <f>IFERROR(('P&amp;L'!BG13+'P&amp;L'!BG31)*ASSUMPTIONS!$B$85/30,0)</f>
        <v/>
      </c>
      <c r="BH16" s="292">
        <f>IFERROR(('P&amp;L'!BH13+'P&amp;L'!BH31)*ASSUMPTIONS!$B$85/30,0)</f>
        <v/>
      </c>
      <c r="BI16" s="292">
        <f>IFERROR(('P&amp;L'!BI13+'P&amp;L'!BI31)*ASSUMPTIONS!$B$85/30,0)</f>
        <v/>
      </c>
      <c r="BJ16" s="292">
        <f>IFERROR(('P&amp;L'!BJ13+'P&amp;L'!BJ31)*ASSUMPTIONS!$B$85/30,0)</f>
        <v/>
      </c>
      <c r="BK16" s="292">
        <f>IFERROR(('P&amp;L'!BK13+'P&amp;L'!BK31)*ASSUMPTIONS!$B$85/30,0)</f>
        <v/>
      </c>
      <c r="BL16" s="292">
        <f>IFERROR(('P&amp;L'!BL13+'P&amp;L'!BL31)*ASSUMPTIONS!$B$85/30,0)</f>
        <v/>
      </c>
      <c r="BM16" s="292">
        <f>IFERROR(('P&amp;L'!BM13+'P&amp;L'!BM31)*ASSUMPTIONS!$B$85/30,0)</f>
        <v/>
      </c>
      <c r="BN16" s="290">
        <f>BM16</f>
        <v/>
      </c>
    </row>
    <row r="17" ht="18" customHeight="1" s="218">
      <c r="A17" s="291" t="inlineStr">
        <is>
          <t xml:space="preserve">  Deferred Revenue (£) — enter if applicable</t>
        </is>
      </c>
      <c r="B17" s="333" t="n"/>
      <c r="C17" s="333" t="n"/>
      <c r="D17" s="333" t="n"/>
      <c r="E17" s="333" t="n"/>
      <c r="F17" s="333" t="n"/>
      <c r="G17" s="333" t="n"/>
      <c r="H17" s="333" t="n"/>
      <c r="I17" s="333" t="n"/>
      <c r="J17" s="333" t="n"/>
      <c r="K17" s="333" t="n"/>
      <c r="L17" s="333" t="n"/>
      <c r="M17" s="333" t="n"/>
      <c r="N17" s="289">
        <f>M17</f>
        <v/>
      </c>
      <c r="O17" s="333" t="n"/>
      <c r="P17" s="333" t="n"/>
      <c r="Q17" s="333" t="n"/>
      <c r="R17" s="333" t="n"/>
      <c r="S17" s="333" t="n"/>
      <c r="T17" s="333" t="n"/>
      <c r="U17" s="333" t="n"/>
      <c r="V17" s="333" t="n"/>
      <c r="W17" s="333" t="n"/>
      <c r="X17" s="333" t="n"/>
      <c r="Y17" s="333" t="n"/>
      <c r="Z17" s="333" t="n"/>
      <c r="AA17" s="289">
        <f>Z17</f>
        <v/>
      </c>
      <c r="AB17" s="333" t="n"/>
      <c r="AC17" s="333" t="n"/>
      <c r="AD17" s="333" t="n"/>
      <c r="AE17" s="333" t="n"/>
      <c r="AF17" s="333" t="n"/>
      <c r="AG17" s="333" t="n"/>
      <c r="AH17" s="333" t="n"/>
      <c r="AI17" s="333" t="n"/>
      <c r="AJ17" s="333" t="n"/>
      <c r="AK17" s="333" t="n"/>
      <c r="AL17" s="333" t="n"/>
      <c r="AM17" s="333" t="n"/>
      <c r="AN17" s="289">
        <f>AM17</f>
        <v/>
      </c>
      <c r="AO17" s="333" t="n"/>
      <c r="AP17" s="333" t="n"/>
      <c r="AQ17" s="333" t="n"/>
      <c r="AR17" s="333" t="n"/>
      <c r="AS17" s="333" t="n"/>
      <c r="AT17" s="333" t="n"/>
      <c r="AU17" s="333" t="n"/>
      <c r="AV17" s="333" t="n"/>
      <c r="AW17" s="333" t="n"/>
      <c r="AX17" s="333" t="n"/>
      <c r="AY17" s="333" t="n"/>
      <c r="AZ17" s="333" t="n"/>
      <c r="BA17" s="290">
        <f>AZ17</f>
        <v/>
      </c>
      <c r="BB17" s="333" t="n"/>
      <c r="BC17" s="333" t="n"/>
      <c r="BD17" s="333" t="n"/>
      <c r="BE17" s="333" t="n"/>
      <c r="BF17" s="333" t="n"/>
      <c r="BG17" s="333" t="n"/>
      <c r="BH17" s="333" t="n"/>
      <c r="BI17" s="333" t="n"/>
      <c r="BJ17" s="333" t="n"/>
      <c r="BK17" s="333" t="n"/>
      <c r="BL17" s="333" t="n"/>
      <c r="BM17" s="333" t="n"/>
      <c r="BN17" s="290">
        <f>BM17</f>
        <v/>
      </c>
    </row>
    <row r="18" ht="18" customHeight="1" s="218">
      <c r="A18" s="294" t="inlineStr">
        <is>
          <t xml:space="preserve">  Total Liabilities (£)</t>
        </is>
      </c>
      <c r="B18" s="295">
        <f>IFERROR(B16+B17,0)</f>
        <v/>
      </c>
      <c r="C18" s="295">
        <f>IFERROR(C16+C17,0)</f>
        <v/>
      </c>
      <c r="D18" s="295">
        <f>IFERROR(D16+D17,0)</f>
        <v/>
      </c>
      <c r="E18" s="295">
        <f>IFERROR(E16+E17,0)</f>
        <v/>
      </c>
      <c r="F18" s="295">
        <f>IFERROR(F16+F17,0)</f>
        <v/>
      </c>
      <c r="G18" s="295">
        <f>IFERROR(G16+G17,0)</f>
        <v/>
      </c>
      <c r="H18" s="295">
        <f>IFERROR(H16+H17,0)</f>
        <v/>
      </c>
      <c r="I18" s="295">
        <f>IFERROR(I16+I17,0)</f>
        <v/>
      </c>
      <c r="J18" s="295">
        <f>IFERROR(J16+J17,0)</f>
        <v/>
      </c>
      <c r="K18" s="295">
        <f>IFERROR(K16+K17,0)</f>
        <v/>
      </c>
      <c r="L18" s="295">
        <f>IFERROR(L16+L17,0)</f>
        <v/>
      </c>
      <c r="M18" s="295">
        <f>IFERROR(M16+M17,0)</f>
        <v/>
      </c>
      <c r="N18" s="295">
        <f>M18</f>
        <v/>
      </c>
      <c r="O18" s="295">
        <f>IFERROR(O16+O17,0)</f>
        <v/>
      </c>
      <c r="P18" s="295">
        <f>IFERROR(P16+P17,0)</f>
        <v/>
      </c>
      <c r="Q18" s="295">
        <f>IFERROR(Q16+Q17,0)</f>
        <v/>
      </c>
      <c r="R18" s="295">
        <f>IFERROR(R16+R17,0)</f>
        <v/>
      </c>
      <c r="S18" s="295">
        <f>IFERROR(S16+S17,0)</f>
        <v/>
      </c>
      <c r="T18" s="295">
        <f>IFERROR(T16+T17,0)</f>
        <v/>
      </c>
      <c r="U18" s="295">
        <f>IFERROR(U16+U17,0)</f>
        <v/>
      </c>
      <c r="V18" s="295">
        <f>IFERROR(V16+V17,0)</f>
        <v/>
      </c>
      <c r="W18" s="295">
        <f>IFERROR(W16+W17,0)</f>
        <v/>
      </c>
      <c r="X18" s="295">
        <f>IFERROR(X16+X17,0)</f>
        <v/>
      </c>
      <c r="Y18" s="295">
        <f>IFERROR(Y16+Y17,0)</f>
        <v/>
      </c>
      <c r="Z18" s="295">
        <f>IFERROR(Z16+Z17,0)</f>
        <v/>
      </c>
      <c r="AA18" s="295">
        <f>Z18</f>
        <v/>
      </c>
      <c r="AB18" s="295">
        <f>IFERROR(AB16+AB17,0)</f>
        <v/>
      </c>
      <c r="AC18" s="295">
        <f>IFERROR(AC16+AC17,0)</f>
        <v/>
      </c>
      <c r="AD18" s="295">
        <f>IFERROR(AD16+AD17,0)</f>
        <v/>
      </c>
      <c r="AE18" s="295">
        <f>IFERROR(AE16+AE17,0)</f>
        <v/>
      </c>
      <c r="AF18" s="295">
        <f>IFERROR(AF16+AF17,0)</f>
        <v/>
      </c>
      <c r="AG18" s="295">
        <f>IFERROR(AG16+AG17,0)</f>
        <v/>
      </c>
      <c r="AH18" s="295">
        <f>IFERROR(AH16+AH17,0)</f>
        <v/>
      </c>
      <c r="AI18" s="295">
        <f>IFERROR(AI16+AI17,0)</f>
        <v/>
      </c>
      <c r="AJ18" s="295">
        <f>IFERROR(AJ16+AJ17,0)</f>
        <v/>
      </c>
      <c r="AK18" s="295">
        <f>IFERROR(AK16+AK17,0)</f>
        <v/>
      </c>
      <c r="AL18" s="295">
        <f>IFERROR(AL16+AL17,0)</f>
        <v/>
      </c>
      <c r="AM18" s="295">
        <f>IFERROR(AM16+AM17,0)</f>
        <v/>
      </c>
      <c r="AN18" s="295">
        <f>AM18</f>
        <v/>
      </c>
      <c r="AO18" s="295">
        <f>IFERROR(AO16+AO17,0)</f>
        <v/>
      </c>
      <c r="AP18" s="295">
        <f>IFERROR(AP16+AP17,0)</f>
        <v/>
      </c>
      <c r="AQ18" s="295">
        <f>IFERROR(AQ16+AQ17,0)</f>
        <v/>
      </c>
      <c r="AR18" s="295">
        <f>IFERROR(AR16+AR17,0)</f>
        <v/>
      </c>
      <c r="AS18" s="295">
        <f>IFERROR(AS16+AS17,0)</f>
        <v/>
      </c>
      <c r="AT18" s="295">
        <f>IFERROR(AT16+AT17,0)</f>
        <v/>
      </c>
      <c r="AU18" s="295">
        <f>IFERROR(AU16+AU17,0)</f>
        <v/>
      </c>
      <c r="AV18" s="295">
        <f>IFERROR(AV16+AV17,0)</f>
        <v/>
      </c>
      <c r="AW18" s="295">
        <f>IFERROR(AW16+AW17,0)</f>
        <v/>
      </c>
      <c r="AX18" s="295">
        <f>IFERROR(AX16+AX17,0)</f>
        <v/>
      </c>
      <c r="AY18" s="295">
        <f>IFERROR(AY16+AY17,0)</f>
        <v/>
      </c>
      <c r="AZ18" s="295">
        <f>IFERROR(AZ16+AZ17,0)</f>
        <v/>
      </c>
      <c r="BA18" s="296">
        <f>AZ18</f>
        <v/>
      </c>
      <c r="BB18" s="295">
        <f>IFERROR(BB16+BB17,0)</f>
        <v/>
      </c>
      <c r="BC18" s="295">
        <f>IFERROR(BC16+BC17,0)</f>
        <v/>
      </c>
      <c r="BD18" s="295">
        <f>IFERROR(BD16+BD17,0)</f>
        <v/>
      </c>
      <c r="BE18" s="295">
        <f>IFERROR(BE16+BE17,0)</f>
        <v/>
      </c>
      <c r="BF18" s="295">
        <f>IFERROR(BF16+BF17,0)</f>
        <v/>
      </c>
      <c r="BG18" s="295">
        <f>IFERROR(BG16+BG17,0)</f>
        <v/>
      </c>
      <c r="BH18" s="295">
        <f>IFERROR(BH16+BH17,0)</f>
        <v/>
      </c>
      <c r="BI18" s="295">
        <f>IFERROR(BI16+BI17,0)</f>
        <v/>
      </c>
      <c r="BJ18" s="295">
        <f>IFERROR(BJ16+BJ17,0)</f>
        <v/>
      </c>
      <c r="BK18" s="295">
        <f>IFERROR(BK16+BK17,0)</f>
        <v/>
      </c>
      <c r="BL18" s="295">
        <f>IFERROR(BL16+BL17,0)</f>
        <v/>
      </c>
      <c r="BM18" s="295">
        <f>IFERROR(BM16+BM17,0)</f>
        <v/>
      </c>
      <c r="BN18" s="296">
        <f>BM18</f>
        <v/>
      </c>
    </row>
    <row r="19" ht="6" customHeight="1" s="218">
      <c r="A19" s="221" t="n"/>
      <c r="B19" s="221" t="n"/>
      <c r="C19" s="221" t="n"/>
      <c r="D19" s="221" t="n"/>
      <c r="E19" s="221" t="n"/>
      <c r="F19" s="221" t="n"/>
      <c r="G19" s="221" t="n"/>
      <c r="H19" s="221" t="n"/>
      <c r="I19" s="221" t="n"/>
      <c r="J19" s="221" t="n"/>
      <c r="K19" s="221" t="n"/>
      <c r="L19" s="221" t="n"/>
      <c r="M19" s="221" t="n"/>
      <c r="N19" s="221" t="n"/>
      <c r="O19" s="221" t="n"/>
      <c r="P19" s="221" t="n"/>
      <c r="Q19" s="221" t="n"/>
      <c r="R19" s="221" t="n"/>
      <c r="S19" s="221" t="n"/>
      <c r="T19" s="221" t="n"/>
      <c r="U19" s="221" t="n"/>
      <c r="V19" s="221" t="n"/>
      <c r="W19" s="221" t="n"/>
      <c r="X19" s="221" t="n"/>
      <c r="Y19" s="221" t="n"/>
      <c r="Z19" s="221" t="n"/>
      <c r="AA19" s="221" t="n"/>
      <c r="AB19" s="221" t="n"/>
      <c r="AC19" s="221" t="n"/>
      <c r="AD19" s="221" t="n"/>
      <c r="AE19" s="221" t="n"/>
      <c r="AF19" s="221" t="n"/>
      <c r="AG19" s="221" t="n"/>
      <c r="AH19" s="221" t="n"/>
      <c r="AI19" s="221" t="n"/>
      <c r="AJ19" s="221" t="n"/>
      <c r="AK19" s="221" t="n"/>
      <c r="AL19" s="221" t="n"/>
      <c r="AM19" s="221" t="n"/>
      <c r="AN19" s="221" t="n"/>
      <c r="AO19" s="221" t="n"/>
      <c r="AP19" s="221" t="n"/>
      <c r="AQ19" s="221" t="n"/>
      <c r="AR19" s="221" t="n"/>
      <c r="AS19" s="221" t="n"/>
      <c r="AT19" s="221" t="n"/>
      <c r="AU19" s="221" t="n"/>
      <c r="AV19" s="221" t="n"/>
      <c r="AW19" s="221" t="n"/>
      <c r="AX19" s="221" t="n"/>
      <c r="AY19" s="221" t="n"/>
      <c r="AZ19" s="221" t="n"/>
      <c r="BA19" s="285" t="n"/>
      <c r="BB19" s="221" t="n"/>
      <c r="BC19" s="221" t="n"/>
      <c r="BD19" s="221" t="n"/>
      <c r="BE19" s="221" t="n"/>
      <c r="BF19" s="221" t="n"/>
      <c r="BG19" s="221" t="n"/>
      <c r="BH19" s="221" t="n"/>
      <c r="BI19" s="221" t="n"/>
      <c r="BJ19" s="221" t="n"/>
      <c r="BK19" s="221" t="n"/>
      <c r="BL19" s="221" t="n"/>
      <c r="BM19" s="221" t="n"/>
      <c r="BN19" s="285" t="n"/>
    </row>
    <row r="20" ht="19.5" customHeight="1" s="218">
      <c r="A20" s="332" t="inlineStr">
        <is>
          <t>EQUITY</t>
        </is>
      </c>
    </row>
    <row r="21" ht="18" customHeight="1" s="218">
      <c r="A21" s="291" t="inlineStr">
        <is>
          <t xml:space="preserve">  Share Capital — Paid In (£)</t>
        </is>
      </c>
      <c r="B21" s="337">
        <f>IFERROR(ASSUMPTIONS!$B$79+IF(1&gt;=ASSUMPTIONS!$B$81,ASSUMPTIONS!$B$80,0)+IF(1&gt;=ASSUMPTIONS!$B$83,ASSUMPTIONS!$B$82,0),0)</f>
        <v/>
      </c>
      <c r="C21" s="337">
        <f>IFERROR(ASSUMPTIONS!$B$79+IF(2&gt;=ASSUMPTIONS!$B$81,ASSUMPTIONS!$B$80,0)+IF(2&gt;=ASSUMPTIONS!$B$83,ASSUMPTIONS!$B$82,0),0)</f>
        <v/>
      </c>
      <c r="D21" s="337">
        <f>IFERROR(ASSUMPTIONS!$B$79+IF(3&gt;=ASSUMPTIONS!$B$81,ASSUMPTIONS!$B$80,0)+IF(3&gt;=ASSUMPTIONS!$B$83,ASSUMPTIONS!$B$82,0),0)</f>
        <v/>
      </c>
      <c r="E21" s="337">
        <f>IFERROR(ASSUMPTIONS!$B$79+IF(4&gt;=ASSUMPTIONS!$B$81,ASSUMPTIONS!$B$80,0)+IF(4&gt;=ASSUMPTIONS!$B$83,ASSUMPTIONS!$B$82,0),0)</f>
        <v/>
      </c>
      <c r="F21" s="337">
        <f>IFERROR(ASSUMPTIONS!$B$79+IF(5&gt;=ASSUMPTIONS!$B$81,ASSUMPTIONS!$B$80,0)+IF(5&gt;=ASSUMPTIONS!$B$83,ASSUMPTIONS!$B$82,0),0)</f>
        <v/>
      </c>
      <c r="G21" s="337">
        <f>IFERROR(ASSUMPTIONS!$B$79+IF(6&gt;=ASSUMPTIONS!$B$81,ASSUMPTIONS!$B$80,0)+IF(6&gt;=ASSUMPTIONS!$B$83,ASSUMPTIONS!$B$82,0),0)</f>
        <v/>
      </c>
      <c r="H21" s="337">
        <f>IFERROR(ASSUMPTIONS!$B$79+IF(7&gt;=ASSUMPTIONS!$B$81,ASSUMPTIONS!$B$80,0)+IF(7&gt;=ASSUMPTIONS!$B$83,ASSUMPTIONS!$B$82,0),0)</f>
        <v/>
      </c>
      <c r="I21" s="337">
        <f>IFERROR(ASSUMPTIONS!$B$79+IF(8&gt;=ASSUMPTIONS!$B$81,ASSUMPTIONS!$B$80,0)+IF(8&gt;=ASSUMPTIONS!$B$83,ASSUMPTIONS!$B$82,0),0)</f>
        <v/>
      </c>
      <c r="J21" s="337">
        <f>IFERROR(ASSUMPTIONS!$B$79+IF(9&gt;=ASSUMPTIONS!$B$81,ASSUMPTIONS!$B$80,0)+IF(9&gt;=ASSUMPTIONS!$B$83,ASSUMPTIONS!$B$82,0),0)</f>
        <v/>
      </c>
      <c r="K21" s="337">
        <f>IFERROR(ASSUMPTIONS!$B$79+IF(10&gt;=ASSUMPTIONS!$B$81,ASSUMPTIONS!$B$80,0)+IF(10&gt;=ASSUMPTIONS!$B$83,ASSUMPTIONS!$B$82,0),0)</f>
        <v/>
      </c>
      <c r="L21" s="337">
        <f>IFERROR(ASSUMPTIONS!$B$79+IF(11&gt;=ASSUMPTIONS!$B$81,ASSUMPTIONS!$B$80,0)+IF(11&gt;=ASSUMPTIONS!$B$83,ASSUMPTIONS!$B$82,0),0)</f>
        <v/>
      </c>
      <c r="M21" s="337">
        <f>IFERROR(ASSUMPTIONS!$B$79+IF(12&gt;=ASSUMPTIONS!$B$81,ASSUMPTIONS!$B$80,0)+IF(12&gt;=ASSUMPTIONS!$B$83,ASSUMPTIONS!$B$82,0),0)</f>
        <v/>
      </c>
      <c r="N21" s="326">
        <f>M21</f>
        <v/>
      </c>
      <c r="O21" s="337">
        <f>IFERROR(ASSUMPTIONS!$B$79+IF(13&gt;=ASSUMPTIONS!$B$81,ASSUMPTIONS!$B$80,0)+IF(13&gt;=ASSUMPTIONS!$B$83,ASSUMPTIONS!$B$82,0),0)</f>
        <v/>
      </c>
      <c r="P21" s="337">
        <f>IFERROR(ASSUMPTIONS!$B$79+IF(14&gt;=ASSUMPTIONS!$B$81,ASSUMPTIONS!$B$80,0)+IF(14&gt;=ASSUMPTIONS!$B$83,ASSUMPTIONS!$B$82,0),0)</f>
        <v/>
      </c>
      <c r="Q21" s="337">
        <f>IFERROR(ASSUMPTIONS!$B$79+IF(15&gt;=ASSUMPTIONS!$B$81,ASSUMPTIONS!$B$80,0)+IF(15&gt;=ASSUMPTIONS!$B$83,ASSUMPTIONS!$B$82,0),0)</f>
        <v/>
      </c>
      <c r="R21" s="337">
        <f>IFERROR(ASSUMPTIONS!$B$79+IF(16&gt;=ASSUMPTIONS!$B$81,ASSUMPTIONS!$B$80,0)+IF(16&gt;=ASSUMPTIONS!$B$83,ASSUMPTIONS!$B$82,0),0)</f>
        <v/>
      </c>
      <c r="S21" s="337">
        <f>IFERROR(ASSUMPTIONS!$B$79+IF(17&gt;=ASSUMPTIONS!$B$81,ASSUMPTIONS!$B$80,0)+IF(17&gt;=ASSUMPTIONS!$B$83,ASSUMPTIONS!$B$82,0),0)</f>
        <v/>
      </c>
      <c r="T21" s="337">
        <f>IFERROR(ASSUMPTIONS!$B$79+IF(18&gt;=ASSUMPTIONS!$B$81,ASSUMPTIONS!$B$80,0)+IF(18&gt;=ASSUMPTIONS!$B$83,ASSUMPTIONS!$B$82,0),0)</f>
        <v/>
      </c>
      <c r="U21" s="337">
        <f>IFERROR(ASSUMPTIONS!$B$79+IF(19&gt;=ASSUMPTIONS!$B$81,ASSUMPTIONS!$B$80,0)+IF(19&gt;=ASSUMPTIONS!$B$83,ASSUMPTIONS!$B$82,0),0)</f>
        <v/>
      </c>
      <c r="V21" s="337">
        <f>IFERROR(ASSUMPTIONS!$B$79+IF(20&gt;=ASSUMPTIONS!$B$81,ASSUMPTIONS!$B$80,0)+IF(20&gt;=ASSUMPTIONS!$B$83,ASSUMPTIONS!$B$82,0),0)</f>
        <v/>
      </c>
      <c r="W21" s="337">
        <f>IFERROR(ASSUMPTIONS!$B$79+IF(21&gt;=ASSUMPTIONS!$B$81,ASSUMPTIONS!$B$80,0)+IF(21&gt;=ASSUMPTIONS!$B$83,ASSUMPTIONS!$B$82,0),0)</f>
        <v/>
      </c>
      <c r="X21" s="337">
        <f>IFERROR(ASSUMPTIONS!$B$79+IF(22&gt;=ASSUMPTIONS!$B$81,ASSUMPTIONS!$B$80,0)+IF(22&gt;=ASSUMPTIONS!$B$83,ASSUMPTIONS!$B$82,0),0)</f>
        <v/>
      </c>
      <c r="Y21" s="337">
        <f>IFERROR(ASSUMPTIONS!$B$79+IF(23&gt;=ASSUMPTIONS!$B$81,ASSUMPTIONS!$B$80,0)+IF(23&gt;=ASSUMPTIONS!$B$83,ASSUMPTIONS!$B$82,0),0)</f>
        <v/>
      </c>
      <c r="Z21" s="337">
        <f>IFERROR(ASSUMPTIONS!$B$79+IF(24&gt;=ASSUMPTIONS!$B$81,ASSUMPTIONS!$B$80,0)+IF(24&gt;=ASSUMPTIONS!$B$83,ASSUMPTIONS!$B$82,0),0)</f>
        <v/>
      </c>
      <c r="AA21" s="326">
        <f>Z21</f>
        <v/>
      </c>
      <c r="AB21" s="337">
        <f>IFERROR(ASSUMPTIONS!$B$79+IF(25&gt;=ASSUMPTIONS!$B$81,ASSUMPTIONS!$B$80,0)+IF(25&gt;=ASSUMPTIONS!$B$83,ASSUMPTIONS!$B$82,0),0)</f>
        <v/>
      </c>
      <c r="AC21" s="337">
        <f>IFERROR(ASSUMPTIONS!$B$79+IF(26&gt;=ASSUMPTIONS!$B$81,ASSUMPTIONS!$B$80,0)+IF(26&gt;=ASSUMPTIONS!$B$83,ASSUMPTIONS!$B$82,0),0)</f>
        <v/>
      </c>
      <c r="AD21" s="337">
        <f>IFERROR(ASSUMPTIONS!$B$79+IF(27&gt;=ASSUMPTIONS!$B$81,ASSUMPTIONS!$B$80,0)+IF(27&gt;=ASSUMPTIONS!$B$83,ASSUMPTIONS!$B$82,0),0)</f>
        <v/>
      </c>
      <c r="AE21" s="337">
        <f>IFERROR(ASSUMPTIONS!$B$79+IF(28&gt;=ASSUMPTIONS!$B$81,ASSUMPTIONS!$B$80,0)+IF(28&gt;=ASSUMPTIONS!$B$83,ASSUMPTIONS!$B$82,0),0)</f>
        <v/>
      </c>
      <c r="AF21" s="337">
        <f>IFERROR(ASSUMPTIONS!$B$79+IF(29&gt;=ASSUMPTIONS!$B$81,ASSUMPTIONS!$B$80,0)+IF(29&gt;=ASSUMPTIONS!$B$83,ASSUMPTIONS!$B$82,0),0)</f>
        <v/>
      </c>
      <c r="AG21" s="337">
        <f>IFERROR(ASSUMPTIONS!$B$79+IF(30&gt;=ASSUMPTIONS!$B$81,ASSUMPTIONS!$B$80,0)+IF(30&gt;=ASSUMPTIONS!$B$83,ASSUMPTIONS!$B$82,0),0)</f>
        <v/>
      </c>
      <c r="AH21" s="337">
        <f>IFERROR(ASSUMPTIONS!$B$79+IF(31&gt;=ASSUMPTIONS!$B$81,ASSUMPTIONS!$B$80,0)+IF(31&gt;=ASSUMPTIONS!$B$83,ASSUMPTIONS!$B$82,0),0)</f>
        <v/>
      </c>
      <c r="AI21" s="337">
        <f>IFERROR(ASSUMPTIONS!$B$79+IF(32&gt;=ASSUMPTIONS!$B$81,ASSUMPTIONS!$B$80,0)+IF(32&gt;=ASSUMPTIONS!$B$83,ASSUMPTIONS!$B$82,0),0)</f>
        <v/>
      </c>
      <c r="AJ21" s="337">
        <f>IFERROR(ASSUMPTIONS!$B$79+IF(33&gt;=ASSUMPTIONS!$B$81,ASSUMPTIONS!$B$80,0)+IF(33&gt;=ASSUMPTIONS!$B$83,ASSUMPTIONS!$B$82,0),0)</f>
        <v/>
      </c>
      <c r="AK21" s="337">
        <f>IFERROR(ASSUMPTIONS!$B$79+IF(34&gt;=ASSUMPTIONS!$B$81,ASSUMPTIONS!$B$80,0)+IF(34&gt;=ASSUMPTIONS!$B$83,ASSUMPTIONS!$B$82,0),0)</f>
        <v/>
      </c>
      <c r="AL21" s="337">
        <f>IFERROR(ASSUMPTIONS!$B$79+IF(35&gt;=ASSUMPTIONS!$B$81,ASSUMPTIONS!$B$80,0)+IF(35&gt;=ASSUMPTIONS!$B$83,ASSUMPTIONS!$B$82,0),0)</f>
        <v/>
      </c>
      <c r="AM21" s="337">
        <f>IFERROR(ASSUMPTIONS!$B$79+IF(36&gt;=ASSUMPTIONS!$B$81,ASSUMPTIONS!$B$80,0)+IF(36&gt;=ASSUMPTIONS!$B$83,ASSUMPTIONS!$B$82,0),0)</f>
        <v/>
      </c>
      <c r="AN21" s="326">
        <f>AM21</f>
        <v/>
      </c>
      <c r="AO21" s="337">
        <f>IFERROR(ASSUMPTIONS!$B$79+IF(25&gt;=ASSUMPTIONS!$B$81,ASSUMPTIONS!$B$80,0)+IF(25&gt;=ASSUMPTIONS!$B$83,ASSUMPTIONS!$B$82,0),0)</f>
        <v/>
      </c>
      <c r="AP21" s="337">
        <f>IFERROR(ASSUMPTIONS!$B$79+IF(26&gt;=ASSUMPTIONS!$B$81,ASSUMPTIONS!$B$80,0)+IF(26&gt;=ASSUMPTIONS!$B$83,ASSUMPTIONS!$B$82,0),0)</f>
        <v/>
      </c>
      <c r="AQ21" s="337">
        <f>IFERROR(ASSUMPTIONS!$B$79+IF(27&gt;=ASSUMPTIONS!$B$81,ASSUMPTIONS!$B$80,0)+IF(27&gt;=ASSUMPTIONS!$B$83,ASSUMPTIONS!$B$82,0),0)</f>
        <v/>
      </c>
      <c r="AR21" s="337">
        <f>IFERROR(ASSUMPTIONS!$B$79+IF(28&gt;=ASSUMPTIONS!$B$81,ASSUMPTIONS!$B$80,0)+IF(28&gt;=ASSUMPTIONS!$B$83,ASSUMPTIONS!$B$82,0),0)</f>
        <v/>
      </c>
      <c r="AS21" s="337">
        <f>IFERROR(ASSUMPTIONS!$B$79+IF(29&gt;=ASSUMPTIONS!$B$81,ASSUMPTIONS!$B$80,0)+IF(29&gt;=ASSUMPTIONS!$B$83,ASSUMPTIONS!$B$82,0),0)</f>
        <v/>
      </c>
      <c r="AT21" s="337">
        <f>IFERROR(ASSUMPTIONS!$B$79+IF(30&gt;=ASSUMPTIONS!$B$81,ASSUMPTIONS!$B$80,0)+IF(30&gt;=ASSUMPTIONS!$B$83,ASSUMPTIONS!$B$82,0),0)</f>
        <v/>
      </c>
      <c r="AU21" s="337">
        <f>IFERROR(ASSUMPTIONS!$B$79+IF(31&gt;=ASSUMPTIONS!$B$81,ASSUMPTIONS!$B$80,0)+IF(31&gt;=ASSUMPTIONS!$B$83,ASSUMPTIONS!$B$82,0),0)</f>
        <v/>
      </c>
      <c r="AV21" s="337">
        <f>IFERROR(ASSUMPTIONS!$B$79+IF(32&gt;=ASSUMPTIONS!$B$81,ASSUMPTIONS!$B$80,0)+IF(32&gt;=ASSUMPTIONS!$B$83,ASSUMPTIONS!$B$82,0),0)</f>
        <v/>
      </c>
      <c r="AW21" s="337">
        <f>IFERROR(ASSUMPTIONS!$B$79+IF(33&gt;=ASSUMPTIONS!$B$81,ASSUMPTIONS!$B$80,0)+IF(33&gt;=ASSUMPTIONS!$B$83,ASSUMPTIONS!$B$82,0),0)</f>
        <v/>
      </c>
      <c r="AX21" s="337">
        <f>IFERROR(ASSUMPTIONS!$B$79+IF(34&gt;=ASSUMPTIONS!$B$81,ASSUMPTIONS!$B$80,0)+IF(34&gt;=ASSUMPTIONS!$B$83,ASSUMPTIONS!$B$82,0),0)</f>
        <v/>
      </c>
      <c r="AY21" s="337">
        <f>IFERROR(ASSUMPTIONS!$B$79+IF(35&gt;=ASSUMPTIONS!$B$81,ASSUMPTIONS!$B$80,0)+IF(35&gt;=ASSUMPTIONS!$B$83,ASSUMPTIONS!$B$82,0),0)</f>
        <v/>
      </c>
      <c r="AZ21" s="337">
        <f>IFERROR(ASSUMPTIONS!$B$79+IF(36&gt;=ASSUMPTIONS!$B$81,ASSUMPTIONS!$B$80,0)+IF(36&gt;=ASSUMPTIONS!$B$83,ASSUMPTIONS!$B$82,0),0)</f>
        <v/>
      </c>
      <c r="BA21" s="290">
        <f>AZ21</f>
        <v/>
      </c>
      <c r="BB21" s="337">
        <f>IFERROR(ASSUMPTIONS!$B$79+IF(25&gt;=ASSUMPTIONS!$B$81,ASSUMPTIONS!$B$80,0)+IF(25&gt;=ASSUMPTIONS!$B$83,ASSUMPTIONS!$B$82,0),0)</f>
        <v/>
      </c>
      <c r="BC21" s="337">
        <f>IFERROR(ASSUMPTIONS!$B$79+IF(26&gt;=ASSUMPTIONS!$B$81,ASSUMPTIONS!$B$80,0)+IF(26&gt;=ASSUMPTIONS!$B$83,ASSUMPTIONS!$B$82,0),0)</f>
        <v/>
      </c>
      <c r="BD21" s="337">
        <f>IFERROR(ASSUMPTIONS!$B$79+IF(27&gt;=ASSUMPTIONS!$B$81,ASSUMPTIONS!$B$80,0)+IF(27&gt;=ASSUMPTIONS!$B$83,ASSUMPTIONS!$B$82,0),0)</f>
        <v/>
      </c>
      <c r="BE21" s="337">
        <f>IFERROR(ASSUMPTIONS!$B$79+IF(28&gt;=ASSUMPTIONS!$B$81,ASSUMPTIONS!$B$80,0)+IF(28&gt;=ASSUMPTIONS!$B$83,ASSUMPTIONS!$B$82,0),0)</f>
        <v/>
      </c>
      <c r="BF21" s="337">
        <f>IFERROR(ASSUMPTIONS!$B$79+IF(29&gt;=ASSUMPTIONS!$B$81,ASSUMPTIONS!$B$80,0)+IF(29&gt;=ASSUMPTIONS!$B$83,ASSUMPTIONS!$B$82,0),0)</f>
        <v/>
      </c>
      <c r="BG21" s="337">
        <f>IFERROR(ASSUMPTIONS!$B$79+IF(30&gt;=ASSUMPTIONS!$B$81,ASSUMPTIONS!$B$80,0)+IF(30&gt;=ASSUMPTIONS!$B$83,ASSUMPTIONS!$B$82,0),0)</f>
        <v/>
      </c>
      <c r="BH21" s="337">
        <f>IFERROR(ASSUMPTIONS!$B$79+IF(31&gt;=ASSUMPTIONS!$B$81,ASSUMPTIONS!$B$80,0)+IF(31&gt;=ASSUMPTIONS!$B$83,ASSUMPTIONS!$B$82,0),0)</f>
        <v/>
      </c>
      <c r="BI21" s="337">
        <f>IFERROR(ASSUMPTIONS!$B$79+IF(32&gt;=ASSUMPTIONS!$B$81,ASSUMPTIONS!$B$80,0)+IF(32&gt;=ASSUMPTIONS!$B$83,ASSUMPTIONS!$B$82,0),0)</f>
        <v/>
      </c>
      <c r="BJ21" s="337">
        <f>IFERROR(ASSUMPTIONS!$B$79+IF(33&gt;=ASSUMPTIONS!$B$81,ASSUMPTIONS!$B$80,0)+IF(33&gt;=ASSUMPTIONS!$B$83,ASSUMPTIONS!$B$82,0),0)</f>
        <v/>
      </c>
      <c r="BK21" s="337">
        <f>IFERROR(ASSUMPTIONS!$B$79+IF(34&gt;=ASSUMPTIONS!$B$81,ASSUMPTIONS!$B$80,0)+IF(34&gt;=ASSUMPTIONS!$B$83,ASSUMPTIONS!$B$82,0),0)</f>
        <v/>
      </c>
      <c r="BL21" s="337">
        <f>IFERROR(ASSUMPTIONS!$B$79+IF(35&gt;=ASSUMPTIONS!$B$81,ASSUMPTIONS!$B$80,0)+IF(35&gt;=ASSUMPTIONS!$B$83,ASSUMPTIONS!$B$82,0),0)</f>
        <v/>
      </c>
      <c r="BM21" s="337">
        <f>IFERROR(ASSUMPTIONS!$B$79+IF(36&gt;=ASSUMPTIONS!$B$81,ASSUMPTIONS!$B$80,0)+IF(36&gt;=ASSUMPTIONS!$B$83,ASSUMPTIONS!$B$82,0),0)</f>
        <v/>
      </c>
      <c r="BN21" s="290">
        <f>BM21</f>
        <v/>
      </c>
    </row>
    <row r="22" ht="18" customHeight="1" s="218">
      <c r="A22" s="293" t="inlineStr">
        <is>
          <t xml:space="preserve">  Retained Earnings / (Loss) (£)</t>
        </is>
      </c>
      <c r="B22" s="292">
        <f>IFERROR('P&amp;L'!B37,0)</f>
        <v/>
      </c>
      <c r="C22" s="292">
        <f>IFERROR(B22+'P&amp;L'!C37,0)</f>
        <v/>
      </c>
      <c r="D22" s="292">
        <f>IFERROR(C22+'P&amp;L'!D37,0)</f>
        <v/>
      </c>
      <c r="E22" s="292">
        <f>IFERROR(D22+'P&amp;L'!E37,0)</f>
        <v/>
      </c>
      <c r="F22" s="292">
        <f>IFERROR(E22+'P&amp;L'!F37,0)</f>
        <v/>
      </c>
      <c r="G22" s="292">
        <f>IFERROR(F22+'P&amp;L'!G37,0)</f>
        <v/>
      </c>
      <c r="H22" s="292">
        <f>IFERROR(G22+'P&amp;L'!H37,0)</f>
        <v/>
      </c>
      <c r="I22" s="292">
        <f>IFERROR(H22+'P&amp;L'!I37,0)</f>
        <v/>
      </c>
      <c r="J22" s="292">
        <f>IFERROR(I22+'P&amp;L'!J37,0)</f>
        <v/>
      </c>
      <c r="K22" s="292">
        <f>IFERROR(J22+'P&amp;L'!K37,0)</f>
        <v/>
      </c>
      <c r="L22" s="292">
        <f>IFERROR(K22+'P&amp;L'!L37,0)</f>
        <v/>
      </c>
      <c r="M22" s="292">
        <f>IFERROR(L22+'P&amp;L'!M37,0)</f>
        <v/>
      </c>
      <c r="N22" s="289">
        <f>M22</f>
        <v/>
      </c>
      <c r="O22" s="292">
        <f>IFERROR(M22+'P&amp;L'!O37,0)</f>
        <v/>
      </c>
      <c r="P22" s="292">
        <f>IFERROR(O22+'P&amp;L'!P37,0)</f>
        <v/>
      </c>
      <c r="Q22" s="292">
        <f>IFERROR(P22+'P&amp;L'!Q37,0)</f>
        <v/>
      </c>
      <c r="R22" s="292">
        <f>IFERROR(Q22+'P&amp;L'!R37,0)</f>
        <v/>
      </c>
      <c r="S22" s="292">
        <f>IFERROR(R22+'P&amp;L'!S37,0)</f>
        <v/>
      </c>
      <c r="T22" s="292">
        <f>IFERROR(S22+'P&amp;L'!T37,0)</f>
        <v/>
      </c>
      <c r="U22" s="292">
        <f>IFERROR(T22+'P&amp;L'!U37,0)</f>
        <v/>
      </c>
      <c r="V22" s="292">
        <f>IFERROR(U22+'P&amp;L'!V37,0)</f>
        <v/>
      </c>
      <c r="W22" s="292">
        <f>IFERROR(V22+'P&amp;L'!W37,0)</f>
        <v/>
      </c>
      <c r="X22" s="292">
        <f>IFERROR(W22+'P&amp;L'!X37,0)</f>
        <v/>
      </c>
      <c r="Y22" s="292">
        <f>IFERROR(X22+'P&amp;L'!Y37,0)</f>
        <v/>
      </c>
      <c r="Z22" s="292">
        <f>IFERROR(Y22+'P&amp;L'!Z37,0)</f>
        <v/>
      </c>
      <c r="AA22" s="289">
        <f>Z22</f>
        <v/>
      </c>
      <c r="AB22" s="292">
        <f>IFERROR(Z22+'P&amp;L'!AB37,0)</f>
        <v/>
      </c>
      <c r="AC22" s="292">
        <f>IFERROR(AB22+'P&amp;L'!AC37,0)</f>
        <v/>
      </c>
      <c r="AD22" s="292">
        <f>IFERROR(AC22+'P&amp;L'!AD37,0)</f>
        <v/>
      </c>
      <c r="AE22" s="292">
        <f>IFERROR(AD22+'P&amp;L'!AE37,0)</f>
        <v/>
      </c>
      <c r="AF22" s="292">
        <f>IFERROR(AE22+'P&amp;L'!AF37,0)</f>
        <v/>
      </c>
      <c r="AG22" s="292">
        <f>IFERROR(AF22+'P&amp;L'!AG37,0)</f>
        <v/>
      </c>
      <c r="AH22" s="292">
        <f>IFERROR(AG22+'P&amp;L'!AH37,0)</f>
        <v/>
      </c>
      <c r="AI22" s="292">
        <f>IFERROR(AH22+'P&amp;L'!AI37,0)</f>
        <v/>
      </c>
      <c r="AJ22" s="292">
        <f>IFERROR(AI22+'P&amp;L'!AJ37,0)</f>
        <v/>
      </c>
      <c r="AK22" s="292">
        <f>IFERROR(AJ22+'P&amp;L'!AK37,0)</f>
        <v/>
      </c>
      <c r="AL22" s="292">
        <f>IFERROR(AK22+'P&amp;L'!AL37,0)</f>
        <v/>
      </c>
      <c r="AM22" s="292">
        <f>IFERROR(AL22+'P&amp;L'!AM37,0)</f>
        <v/>
      </c>
      <c r="AN22" s="289">
        <f>AM22</f>
        <v/>
      </c>
      <c r="AO22" s="292">
        <f>IFERROR(AM22+'P&amp;L'!AO37,0)</f>
        <v/>
      </c>
      <c r="AP22" s="292">
        <f>IFERROR(AO22+'P&amp;L'!AP37,0)</f>
        <v/>
      </c>
      <c r="AQ22" s="292">
        <f>IFERROR(AP22+'P&amp;L'!AQ37,0)</f>
        <v/>
      </c>
      <c r="AR22" s="292">
        <f>IFERROR(AQ22+'P&amp;L'!AR37,0)</f>
        <v/>
      </c>
      <c r="AS22" s="292">
        <f>IFERROR(AR22+'P&amp;L'!AS37,0)</f>
        <v/>
      </c>
      <c r="AT22" s="292">
        <f>IFERROR(AS22+'P&amp;L'!AT37,0)</f>
        <v/>
      </c>
      <c r="AU22" s="292">
        <f>IFERROR(AT22+'P&amp;L'!AU37,0)</f>
        <v/>
      </c>
      <c r="AV22" s="292">
        <f>IFERROR(AU22+'P&amp;L'!AV37,0)</f>
        <v/>
      </c>
      <c r="AW22" s="292">
        <f>IFERROR(AV22+'P&amp;L'!AW37,0)</f>
        <v/>
      </c>
      <c r="AX22" s="292">
        <f>IFERROR(AW22+'P&amp;L'!AX37,0)</f>
        <v/>
      </c>
      <c r="AY22" s="292">
        <f>IFERROR(AX22+'P&amp;L'!AY37,0)</f>
        <v/>
      </c>
      <c r="AZ22" s="292">
        <f>IFERROR(AY22+'P&amp;L'!AZ37,0)</f>
        <v/>
      </c>
      <c r="BA22" s="290">
        <f>AZ22</f>
        <v/>
      </c>
      <c r="BB22" s="292">
        <f>IFERROR(AZ22+'P&amp;L'!BB37,0)</f>
        <v/>
      </c>
      <c r="BC22" s="292">
        <f>IFERROR(BB22+'P&amp;L'!BC37,0)</f>
        <v/>
      </c>
      <c r="BD22" s="292">
        <f>IFERROR(BC22+'P&amp;L'!BD37,0)</f>
        <v/>
      </c>
      <c r="BE22" s="292">
        <f>IFERROR(BD22+'P&amp;L'!BE37,0)</f>
        <v/>
      </c>
      <c r="BF22" s="292">
        <f>IFERROR(BE22+'P&amp;L'!BF37,0)</f>
        <v/>
      </c>
      <c r="BG22" s="292">
        <f>IFERROR(BF22+'P&amp;L'!BG37,0)</f>
        <v/>
      </c>
      <c r="BH22" s="292">
        <f>IFERROR(BG22+'P&amp;L'!BH37,0)</f>
        <v/>
      </c>
      <c r="BI22" s="292">
        <f>IFERROR(BH22+'P&amp;L'!BI37,0)</f>
        <v/>
      </c>
      <c r="BJ22" s="292">
        <f>IFERROR(BI22+'P&amp;L'!BJ37,0)</f>
        <v/>
      </c>
      <c r="BK22" s="292">
        <f>IFERROR(BJ22+'P&amp;L'!BK37,0)</f>
        <v/>
      </c>
      <c r="BL22" s="292">
        <f>IFERROR(BK22+'P&amp;L'!BL37,0)</f>
        <v/>
      </c>
      <c r="BM22" s="292">
        <f>IFERROR(BL22+'P&amp;L'!BM37,0)</f>
        <v/>
      </c>
      <c r="BN22" s="290">
        <f>BM22</f>
        <v/>
      </c>
    </row>
    <row r="23" ht="18" customHeight="1" s="218">
      <c r="A23" s="294" t="inlineStr">
        <is>
          <t xml:space="preserve">  Total Equity (£)</t>
        </is>
      </c>
      <c r="B23" s="295">
        <f>IFERROR(B21+B22,0)</f>
        <v/>
      </c>
      <c r="C23" s="295">
        <f>IFERROR(C21+C22,0)</f>
        <v/>
      </c>
      <c r="D23" s="295">
        <f>IFERROR(D21+D22,0)</f>
        <v/>
      </c>
      <c r="E23" s="295">
        <f>IFERROR(E21+E22,0)</f>
        <v/>
      </c>
      <c r="F23" s="295">
        <f>IFERROR(F21+F22,0)</f>
        <v/>
      </c>
      <c r="G23" s="295">
        <f>IFERROR(G21+G22,0)</f>
        <v/>
      </c>
      <c r="H23" s="295">
        <f>IFERROR(H21+H22,0)</f>
        <v/>
      </c>
      <c r="I23" s="295">
        <f>IFERROR(I21+I22,0)</f>
        <v/>
      </c>
      <c r="J23" s="295">
        <f>IFERROR(J21+J22,0)</f>
        <v/>
      </c>
      <c r="K23" s="295">
        <f>IFERROR(K21+K22,0)</f>
        <v/>
      </c>
      <c r="L23" s="295">
        <f>IFERROR(L21+L22,0)</f>
        <v/>
      </c>
      <c r="M23" s="295">
        <f>IFERROR(M21+M22,0)</f>
        <v/>
      </c>
      <c r="N23" s="295">
        <f>M23</f>
        <v/>
      </c>
      <c r="O23" s="295">
        <f>IFERROR(O21+O22,0)</f>
        <v/>
      </c>
      <c r="P23" s="295">
        <f>IFERROR(P21+P22,0)</f>
        <v/>
      </c>
      <c r="Q23" s="295">
        <f>IFERROR(Q21+Q22,0)</f>
        <v/>
      </c>
      <c r="R23" s="295">
        <f>IFERROR(R21+R22,0)</f>
        <v/>
      </c>
      <c r="S23" s="295">
        <f>IFERROR(S21+S22,0)</f>
        <v/>
      </c>
      <c r="T23" s="295">
        <f>IFERROR(T21+T22,0)</f>
        <v/>
      </c>
      <c r="U23" s="295">
        <f>IFERROR(U21+U22,0)</f>
        <v/>
      </c>
      <c r="V23" s="295">
        <f>IFERROR(V21+V22,0)</f>
        <v/>
      </c>
      <c r="W23" s="295">
        <f>IFERROR(W21+W22,0)</f>
        <v/>
      </c>
      <c r="X23" s="295">
        <f>IFERROR(X21+X22,0)</f>
        <v/>
      </c>
      <c r="Y23" s="295">
        <f>IFERROR(Y21+Y22,0)</f>
        <v/>
      </c>
      <c r="Z23" s="295">
        <f>IFERROR(Z21+Z22,0)</f>
        <v/>
      </c>
      <c r="AA23" s="295">
        <f>Z23</f>
        <v/>
      </c>
      <c r="AB23" s="295">
        <f>IFERROR(AB21+AB22,0)</f>
        <v/>
      </c>
      <c r="AC23" s="295">
        <f>IFERROR(AC21+AC22,0)</f>
        <v/>
      </c>
      <c r="AD23" s="295">
        <f>IFERROR(AD21+AD22,0)</f>
        <v/>
      </c>
      <c r="AE23" s="295">
        <f>IFERROR(AE21+AE22,0)</f>
        <v/>
      </c>
      <c r="AF23" s="295">
        <f>IFERROR(AF21+AF22,0)</f>
        <v/>
      </c>
      <c r="AG23" s="295">
        <f>IFERROR(AG21+AG22,0)</f>
        <v/>
      </c>
      <c r="AH23" s="295">
        <f>IFERROR(AH21+AH22,0)</f>
        <v/>
      </c>
      <c r="AI23" s="295">
        <f>IFERROR(AI21+AI22,0)</f>
        <v/>
      </c>
      <c r="AJ23" s="295">
        <f>IFERROR(AJ21+AJ22,0)</f>
        <v/>
      </c>
      <c r="AK23" s="295">
        <f>IFERROR(AK21+AK22,0)</f>
        <v/>
      </c>
      <c r="AL23" s="295">
        <f>IFERROR(AL21+AL22,0)</f>
        <v/>
      </c>
      <c r="AM23" s="295">
        <f>IFERROR(AM21+AM22,0)</f>
        <v/>
      </c>
      <c r="AN23" s="295">
        <f>AM23</f>
        <v/>
      </c>
      <c r="AO23" s="295">
        <f>IFERROR(AO21+AO22,0)</f>
        <v/>
      </c>
      <c r="AP23" s="295">
        <f>IFERROR(AP21+AP22,0)</f>
        <v/>
      </c>
      <c r="AQ23" s="295">
        <f>IFERROR(AQ21+AQ22,0)</f>
        <v/>
      </c>
      <c r="AR23" s="295">
        <f>IFERROR(AR21+AR22,0)</f>
        <v/>
      </c>
      <c r="AS23" s="295">
        <f>IFERROR(AS21+AS22,0)</f>
        <v/>
      </c>
      <c r="AT23" s="295">
        <f>IFERROR(AT21+AT22,0)</f>
        <v/>
      </c>
      <c r="AU23" s="295">
        <f>IFERROR(AU21+AU22,0)</f>
        <v/>
      </c>
      <c r="AV23" s="295">
        <f>IFERROR(AV21+AV22,0)</f>
        <v/>
      </c>
      <c r="AW23" s="295">
        <f>IFERROR(AW21+AW22,0)</f>
        <v/>
      </c>
      <c r="AX23" s="295">
        <f>IFERROR(AX21+AX22,0)</f>
        <v/>
      </c>
      <c r="AY23" s="295">
        <f>IFERROR(AY21+AY22,0)</f>
        <v/>
      </c>
      <c r="AZ23" s="295">
        <f>IFERROR(AZ21+AZ22,0)</f>
        <v/>
      </c>
      <c r="BA23" s="296">
        <f>AZ23</f>
        <v/>
      </c>
      <c r="BB23" s="295">
        <f>IFERROR(BB21+BB22,0)</f>
        <v/>
      </c>
      <c r="BC23" s="295">
        <f>IFERROR(BC21+BC22,0)</f>
        <v/>
      </c>
      <c r="BD23" s="295">
        <f>IFERROR(BD21+BD22,0)</f>
        <v/>
      </c>
      <c r="BE23" s="295">
        <f>IFERROR(BE21+BE22,0)</f>
        <v/>
      </c>
      <c r="BF23" s="295">
        <f>IFERROR(BF21+BF22,0)</f>
        <v/>
      </c>
      <c r="BG23" s="295">
        <f>IFERROR(BG21+BG22,0)</f>
        <v/>
      </c>
      <c r="BH23" s="295">
        <f>IFERROR(BH21+BH22,0)</f>
        <v/>
      </c>
      <c r="BI23" s="295">
        <f>IFERROR(BI21+BI22,0)</f>
        <v/>
      </c>
      <c r="BJ23" s="295">
        <f>IFERROR(BJ21+BJ22,0)</f>
        <v/>
      </c>
      <c r="BK23" s="295">
        <f>IFERROR(BK21+BK22,0)</f>
        <v/>
      </c>
      <c r="BL23" s="295">
        <f>IFERROR(BL21+BL22,0)</f>
        <v/>
      </c>
      <c r="BM23" s="295">
        <f>IFERROR(BM21+BM22,0)</f>
        <v/>
      </c>
      <c r="BN23" s="296">
        <f>BM23</f>
        <v/>
      </c>
    </row>
    <row r="24" ht="6" customHeight="1" s="218">
      <c r="A24" s="297" t="n"/>
      <c r="B24" s="297" t="n"/>
      <c r="C24" s="297" t="n"/>
      <c r="D24" s="297" t="n"/>
      <c r="E24" s="297" t="n"/>
      <c r="F24" s="297" t="n"/>
      <c r="G24" s="297" t="n"/>
      <c r="H24" s="297" t="n"/>
      <c r="I24" s="297" t="n"/>
      <c r="J24" s="297" t="n"/>
      <c r="K24" s="297" t="n"/>
      <c r="L24" s="297" t="n"/>
      <c r="M24" s="297" t="n"/>
      <c r="N24" s="297" t="n"/>
      <c r="O24" s="297" t="n"/>
      <c r="P24" s="297" t="n"/>
      <c r="Q24" s="297" t="n"/>
      <c r="R24" s="297" t="n"/>
      <c r="S24" s="297" t="n"/>
      <c r="T24" s="297" t="n"/>
      <c r="U24" s="297" t="n"/>
      <c r="V24" s="297" t="n"/>
      <c r="W24" s="297" t="n"/>
      <c r="X24" s="297" t="n"/>
      <c r="Y24" s="297" t="n"/>
      <c r="Z24" s="297" t="n"/>
      <c r="AA24" s="297" t="n"/>
      <c r="AB24" s="297" t="n"/>
      <c r="AC24" s="297" t="n"/>
      <c r="AD24" s="297" t="n"/>
      <c r="AE24" s="297" t="n"/>
      <c r="AF24" s="297" t="n"/>
      <c r="AG24" s="297" t="n"/>
      <c r="AH24" s="297" t="n"/>
      <c r="AI24" s="297" t="n"/>
      <c r="AJ24" s="297" t="n"/>
      <c r="AK24" s="297" t="n"/>
      <c r="AL24" s="297" t="n"/>
      <c r="AM24" s="297" t="n"/>
      <c r="AN24" s="297" t="n"/>
      <c r="AO24" s="297" t="n"/>
      <c r="AP24" s="297" t="n"/>
      <c r="AQ24" s="297" t="n"/>
      <c r="AR24" s="297" t="n"/>
      <c r="AS24" s="297" t="n"/>
      <c r="AT24" s="297" t="n"/>
      <c r="AU24" s="297" t="n"/>
      <c r="AV24" s="297" t="n"/>
      <c r="AW24" s="297" t="n"/>
      <c r="AX24" s="297" t="n"/>
      <c r="AY24" s="297" t="n"/>
      <c r="AZ24" s="297" t="n"/>
      <c r="BA24" s="298" t="n"/>
      <c r="BB24" s="297" t="n"/>
      <c r="BC24" s="297" t="n"/>
      <c r="BD24" s="297" t="n"/>
      <c r="BE24" s="297" t="n"/>
      <c r="BF24" s="297" t="n"/>
      <c r="BG24" s="297" t="n"/>
      <c r="BH24" s="297" t="n"/>
      <c r="BI24" s="297" t="n"/>
      <c r="BJ24" s="297" t="n"/>
      <c r="BK24" s="297" t="n"/>
      <c r="BL24" s="297" t="n"/>
      <c r="BM24" s="297" t="n"/>
      <c r="BN24" s="298" t="n"/>
    </row>
    <row r="25" ht="18" customHeight="1" s="218">
      <c r="A25" s="294" t="inlineStr">
        <is>
          <t>TOTAL LIABILITIES + EQUITY (£)</t>
        </is>
      </c>
      <c r="B25" s="295">
        <f>IFERROR(B18+B23,0)</f>
        <v/>
      </c>
      <c r="C25" s="295">
        <f>IFERROR(C18+C23,0)</f>
        <v/>
      </c>
      <c r="D25" s="295">
        <f>IFERROR(D18+D23,0)</f>
        <v/>
      </c>
      <c r="E25" s="295">
        <f>IFERROR(E18+E23,0)</f>
        <v/>
      </c>
      <c r="F25" s="295">
        <f>IFERROR(F18+F23,0)</f>
        <v/>
      </c>
      <c r="G25" s="295">
        <f>IFERROR(G18+G23,0)</f>
        <v/>
      </c>
      <c r="H25" s="295">
        <f>IFERROR(H18+H23,0)</f>
        <v/>
      </c>
      <c r="I25" s="295">
        <f>IFERROR(I18+I23,0)</f>
        <v/>
      </c>
      <c r="J25" s="295">
        <f>IFERROR(J18+J23,0)</f>
        <v/>
      </c>
      <c r="K25" s="295">
        <f>IFERROR(K18+K23,0)</f>
        <v/>
      </c>
      <c r="L25" s="295">
        <f>IFERROR(L18+L23,0)</f>
        <v/>
      </c>
      <c r="M25" s="295">
        <f>IFERROR(M18+M23,0)</f>
        <v/>
      </c>
      <c r="N25" s="295">
        <f>M25</f>
        <v/>
      </c>
      <c r="O25" s="295">
        <f>IFERROR(O18+O23,0)</f>
        <v/>
      </c>
      <c r="P25" s="295">
        <f>IFERROR(P18+P23,0)</f>
        <v/>
      </c>
      <c r="Q25" s="295">
        <f>IFERROR(Q18+Q23,0)</f>
        <v/>
      </c>
      <c r="R25" s="295">
        <f>IFERROR(R18+R23,0)</f>
        <v/>
      </c>
      <c r="S25" s="295">
        <f>IFERROR(S18+S23,0)</f>
        <v/>
      </c>
      <c r="T25" s="295">
        <f>IFERROR(T18+T23,0)</f>
        <v/>
      </c>
      <c r="U25" s="295">
        <f>IFERROR(U18+U23,0)</f>
        <v/>
      </c>
      <c r="V25" s="295">
        <f>IFERROR(V18+V23,0)</f>
        <v/>
      </c>
      <c r="W25" s="295">
        <f>IFERROR(W18+W23,0)</f>
        <v/>
      </c>
      <c r="X25" s="295">
        <f>IFERROR(X18+X23,0)</f>
        <v/>
      </c>
      <c r="Y25" s="295">
        <f>IFERROR(Y18+Y23,0)</f>
        <v/>
      </c>
      <c r="Z25" s="295">
        <f>IFERROR(Z18+Z23,0)</f>
        <v/>
      </c>
      <c r="AA25" s="295">
        <f>Z25</f>
        <v/>
      </c>
      <c r="AB25" s="295">
        <f>IFERROR(AB18+AB23,0)</f>
        <v/>
      </c>
      <c r="AC25" s="295">
        <f>IFERROR(AC18+AC23,0)</f>
        <v/>
      </c>
      <c r="AD25" s="295">
        <f>IFERROR(AD18+AD23,0)</f>
        <v/>
      </c>
      <c r="AE25" s="295">
        <f>IFERROR(AE18+AE23,0)</f>
        <v/>
      </c>
      <c r="AF25" s="295">
        <f>IFERROR(AF18+AF23,0)</f>
        <v/>
      </c>
      <c r="AG25" s="295">
        <f>IFERROR(AG18+AG23,0)</f>
        <v/>
      </c>
      <c r="AH25" s="295">
        <f>IFERROR(AH18+AH23,0)</f>
        <v/>
      </c>
      <c r="AI25" s="295">
        <f>IFERROR(AI18+AI23,0)</f>
        <v/>
      </c>
      <c r="AJ25" s="295">
        <f>IFERROR(AJ18+AJ23,0)</f>
        <v/>
      </c>
      <c r="AK25" s="295">
        <f>IFERROR(AK18+AK23,0)</f>
        <v/>
      </c>
      <c r="AL25" s="295">
        <f>IFERROR(AL18+AL23,0)</f>
        <v/>
      </c>
      <c r="AM25" s="295">
        <f>IFERROR(AM18+AM23,0)</f>
        <v/>
      </c>
      <c r="AN25" s="295">
        <f>AM25</f>
        <v/>
      </c>
      <c r="AO25" s="295">
        <f>IFERROR(AO18+AO23,0)</f>
        <v/>
      </c>
      <c r="AP25" s="295">
        <f>IFERROR(AP18+AP23,0)</f>
        <v/>
      </c>
      <c r="AQ25" s="295">
        <f>IFERROR(AQ18+AQ23,0)</f>
        <v/>
      </c>
      <c r="AR25" s="295">
        <f>IFERROR(AR18+AR23,0)</f>
        <v/>
      </c>
      <c r="AS25" s="295">
        <f>IFERROR(AS18+AS23,0)</f>
        <v/>
      </c>
      <c r="AT25" s="295">
        <f>IFERROR(AT18+AT23,0)</f>
        <v/>
      </c>
      <c r="AU25" s="295">
        <f>IFERROR(AU18+AU23,0)</f>
        <v/>
      </c>
      <c r="AV25" s="295">
        <f>IFERROR(AV18+AV23,0)</f>
        <v/>
      </c>
      <c r="AW25" s="295">
        <f>IFERROR(AW18+AW23,0)</f>
        <v/>
      </c>
      <c r="AX25" s="295">
        <f>IFERROR(AX18+AX23,0)</f>
        <v/>
      </c>
      <c r="AY25" s="295">
        <f>IFERROR(AY18+AY23,0)</f>
        <v/>
      </c>
      <c r="AZ25" s="295">
        <f>IFERROR(AZ18+AZ23,0)</f>
        <v/>
      </c>
      <c r="BA25" s="296">
        <f>AZ25</f>
        <v/>
      </c>
      <c r="BB25" s="295">
        <f>IFERROR(BB18+BB23,0)</f>
        <v/>
      </c>
      <c r="BC25" s="295">
        <f>IFERROR(BC18+BC23,0)</f>
        <v/>
      </c>
      <c r="BD25" s="295">
        <f>IFERROR(BD18+BD23,0)</f>
        <v/>
      </c>
      <c r="BE25" s="295">
        <f>IFERROR(BE18+BE23,0)</f>
        <v/>
      </c>
      <c r="BF25" s="295">
        <f>IFERROR(BF18+BF23,0)</f>
        <v/>
      </c>
      <c r="BG25" s="295">
        <f>IFERROR(BG18+BG23,0)</f>
        <v/>
      </c>
      <c r="BH25" s="295">
        <f>IFERROR(BH18+BH23,0)</f>
        <v/>
      </c>
      <c r="BI25" s="295">
        <f>IFERROR(BI18+BI23,0)</f>
        <v/>
      </c>
      <c r="BJ25" s="295">
        <f>IFERROR(BJ18+BJ23,0)</f>
        <v/>
      </c>
      <c r="BK25" s="295">
        <f>IFERROR(BK18+BK23,0)</f>
        <v/>
      </c>
      <c r="BL25" s="295">
        <f>IFERROR(BL18+BL23,0)</f>
        <v/>
      </c>
      <c r="BM25" s="295">
        <f>IFERROR(BM18+BM23,0)</f>
        <v/>
      </c>
      <c r="BN25" s="296">
        <f>BM25</f>
        <v/>
      </c>
    </row>
    <row r="26" ht="21.75" customHeight="1" s="218">
      <c r="A26" s="320" t="inlineStr">
        <is>
          <t>BALANCE CHECK (must = 0)</t>
        </is>
      </c>
      <c r="B26" s="322">
        <f>IFERROR(B13-B25,0)</f>
        <v/>
      </c>
      <c r="C26" s="322">
        <f>IFERROR(C13-C25,0)</f>
        <v/>
      </c>
      <c r="D26" s="322">
        <f>IFERROR(D13-D25,0)</f>
        <v/>
      </c>
      <c r="E26" s="322">
        <f>IFERROR(E13-E25,0)</f>
        <v/>
      </c>
      <c r="F26" s="322">
        <f>IFERROR(F13-F25,0)</f>
        <v/>
      </c>
      <c r="G26" s="322">
        <f>IFERROR(G13-G25,0)</f>
        <v/>
      </c>
      <c r="H26" s="322">
        <f>IFERROR(H13-H25,0)</f>
        <v/>
      </c>
      <c r="I26" s="322">
        <f>IFERROR(I13-I25,0)</f>
        <v/>
      </c>
      <c r="J26" s="322">
        <f>IFERROR(J13-J25,0)</f>
        <v/>
      </c>
      <c r="K26" s="322">
        <f>IFERROR(K13-K25,0)</f>
        <v/>
      </c>
      <c r="L26" s="322">
        <f>IFERROR(L13-L25,0)</f>
        <v/>
      </c>
      <c r="M26" s="322">
        <f>IFERROR(M13-M25,0)</f>
        <v/>
      </c>
      <c r="N26" s="322">
        <f>M26</f>
        <v/>
      </c>
      <c r="O26" s="322">
        <f>IFERROR(O13-O25,0)</f>
        <v/>
      </c>
      <c r="P26" s="322">
        <f>IFERROR(P13-P25,0)</f>
        <v/>
      </c>
      <c r="Q26" s="322">
        <f>IFERROR(Q13-Q25,0)</f>
        <v/>
      </c>
      <c r="R26" s="322">
        <f>IFERROR(R13-R25,0)</f>
        <v/>
      </c>
      <c r="S26" s="322">
        <f>IFERROR(S13-S25,0)</f>
        <v/>
      </c>
      <c r="T26" s="322">
        <f>IFERROR(T13-T25,0)</f>
        <v/>
      </c>
      <c r="U26" s="322">
        <f>IFERROR(U13-U25,0)</f>
        <v/>
      </c>
      <c r="V26" s="322">
        <f>IFERROR(V13-V25,0)</f>
        <v/>
      </c>
      <c r="W26" s="322">
        <f>IFERROR(W13-W25,0)</f>
        <v/>
      </c>
      <c r="X26" s="322">
        <f>IFERROR(X13-X25,0)</f>
        <v/>
      </c>
      <c r="Y26" s="322">
        <f>IFERROR(Y13-Y25,0)</f>
        <v/>
      </c>
      <c r="Z26" s="322">
        <f>IFERROR(Z13-Z25,0)</f>
        <v/>
      </c>
      <c r="AA26" s="322">
        <f>Z26</f>
        <v/>
      </c>
      <c r="AB26" s="322">
        <f>IFERROR(AB13-AB25,0)</f>
        <v/>
      </c>
      <c r="AC26" s="322">
        <f>IFERROR(AC13-AC25,0)</f>
        <v/>
      </c>
      <c r="AD26" s="322">
        <f>IFERROR(AD13-AD25,0)</f>
        <v/>
      </c>
      <c r="AE26" s="322">
        <f>IFERROR(AE13-AE25,0)</f>
        <v/>
      </c>
      <c r="AF26" s="322">
        <f>IFERROR(AF13-AF25,0)</f>
        <v/>
      </c>
      <c r="AG26" s="322">
        <f>IFERROR(AG13-AG25,0)</f>
        <v/>
      </c>
      <c r="AH26" s="322">
        <f>IFERROR(AH13-AH25,0)</f>
        <v/>
      </c>
      <c r="AI26" s="322">
        <f>IFERROR(AI13-AI25,0)</f>
        <v/>
      </c>
      <c r="AJ26" s="322">
        <f>IFERROR(AJ13-AJ25,0)</f>
        <v/>
      </c>
      <c r="AK26" s="322">
        <f>IFERROR(AK13-AK25,0)</f>
        <v/>
      </c>
      <c r="AL26" s="322">
        <f>IFERROR(AL13-AL25,0)</f>
        <v/>
      </c>
      <c r="AM26" s="322">
        <f>IFERROR(AM13-AM25,0)</f>
        <v/>
      </c>
      <c r="AN26" s="322">
        <f>AM26</f>
        <v/>
      </c>
      <c r="AO26" s="322">
        <f>IFERROR(AO13-AO25,0)</f>
        <v/>
      </c>
      <c r="AP26" s="322">
        <f>IFERROR(AP13-AP25,0)</f>
        <v/>
      </c>
      <c r="AQ26" s="322">
        <f>IFERROR(AQ13-AQ25,0)</f>
        <v/>
      </c>
      <c r="AR26" s="322">
        <f>IFERROR(AR13-AR25,0)</f>
        <v/>
      </c>
      <c r="AS26" s="322">
        <f>IFERROR(AS13-AS25,0)</f>
        <v/>
      </c>
      <c r="AT26" s="322">
        <f>IFERROR(AT13-AT25,0)</f>
        <v/>
      </c>
      <c r="AU26" s="322">
        <f>IFERROR(AU13-AU25,0)</f>
        <v/>
      </c>
      <c r="AV26" s="322">
        <f>IFERROR(AV13-AV25,0)</f>
        <v/>
      </c>
      <c r="AW26" s="322">
        <f>IFERROR(AW13-AW25,0)</f>
        <v/>
      </c>
      <c r="AX26" s="322">
        <f>IFERROR(AX13-AX25,0)</f>
        <v/>
      </c>
      <c r="AY26" s="322">
        <f>IFERROR(AY13-AY25,0)</f>
        <v/>
      </c>
      <c r="AZ26" s="322">
        <f>IFERROR(AZ13-AZ25,0)</f>
        <v/>
      </c>
      <c r="BA26" s="290">
        <f>AZ26</f>
        <v/>
      </c>
      <c r="BB26" s="322">
        <f>IFERROR(BB13-BB25,0)</f>
        <v/>
      </c>
      <c r="BC26" s="322">
        <f>IFERROR(BC13-BC25,0)</f>
        <v/>
      </c>
      <c r="BD26" s="322">
        <f>IFERROR(BD13-BD25,0)</f>
        <v/>
      </c>
      <c r="BE26" s="322">
        <f>IFERROR(BE13-BE25,0)</f>
        <v/>
      </c>
      <c r="BF26" s="322">
        <f>IFERROR(BF13-BF25,0)</f>
        <v/>
      </c>
      <c r="BG26" s="322">
        <f>IFERROR(BG13-BG25,0)</f>
        <v/>
      </c>
      <c r="BH26" s="322">
        <f>IFERROR(BH13-BH25,0)</f>
        <v/>
      </c>
      <c r="BI26" s="322">
        <f>IFERROR(BI13-BI25,0)</f>
        <v/>
      </c>
      <c r="BJ26" s="322">
        <f>IFERROR(BJ13-BJ25,0)</f>
        <v/>
      </c>
      <c r="BK26" s="322">
        <f>IFERROR(BK13-BK25,0)</f>
        <v/>
      </c>
      <c r="BL26" s="322">
        <f>IFERROR(BL13-BL25,0)</f>
        <v/>
      </c>
      <c r="BM26" s="322">
        <f>IFERROR(BM13-BM25,0)</f>
        <v/>
      </c>
      <c r="BN26" s="290">
        <f>BM26</f>
        <v/>
      </c>
    </row>
    <row r="27" ht="15.75" customHeight="1" s="218"/>
    <row r="28" ht="15.75" customHeight="1" s="218"/>
    <row r="29" ht="15.75" customHeight="1" s="218"/>
    <row r="30" ht="15.75" customHeight="1" s="218"/>
    <row r="31" ht="15.75" customHeight="1" s="218"/>
    <row r="32" ht="15.75" customHeight="1" s="218"/>
    <row r="33" ht="15.75" customHeight="1" s="218"/>
    <row r="34" ht="15.75" customHeight="1" s="218"/>
    <row r="35" ht="15.75" customHeight="1" s="218"/>
    <row r="36" ht="15.75" customHeight="1" s="218"/>
    <row r="37" ht="15.75" customHeight="1" s="218"/>
    <row r="38" ht="15.75" customHeight="1" s="218"/>
    <row r="39" ht="15.75" customHeight="1" s="218"/>
    <row r="40" ht="15.75" customHeight="1" s="218"/>
    <row r="41" ht="15.75" customHeight="1" s="218"/>
    <row r="42" ht="15.75" customHeight="1" s="218"/>
    <row r="43" ht="15.75" customHeight="1" s="218"/>
    <row r="44" ht="15.75" customHeight="1" s="218"/>
    <row r="45" ht="15.75" customHeight="1" s="218"/>
    <row r="46" ht="15.75" customHeight="1" s="218"/>
    <row r="47" ht="15.75" customHeight="1" s="218"/>
    <row r="48" ht="15.75" customHeight="1" s="218"/>
    <row r="49" ht="15.75" customHeight="1" s="218"/>
    <row r="50" ht="15.75" customHeight="1" s="218"/>
    <row r="51" ht="15.75" customHeight="1" s="218"/>
    <row r="52" ht="15.75" customHeight="1" s="218"/>
    <row r="53" ht="15.75" customHeight="1" s="218"/>
    <row r="54" ht="15.75" customHeight="1" s="218"/>
    <row r="55" ht="15.75" customHeight="1" s="218"/>
    <row r="56" ht="15.75" customHeight="1" s="218"/>
    <row r="57" ht="15.75" customHeight="1" s="218"/>
    <row r="58" ht="15.75" customHeight="1" s="218"/>
    <row r="59" ht="15.75" customHeight="1" s="218"/>
    <row r="60" ht="15.75" customHeight="1" s="218"/>
    <row r="61" ht="15.75" customHeight="1" s="218"/>
    <row r="62" ht="15.75" customHeight="1" s="218"/>
    <row r="63" ht="15.75" customHeight="1" s="218"/>
    <row r="64" ht="15.75" customHeight="1" s="218"/>
    <row r="65" ht="15.75" customHeight="1" s="218"/>
    <row r="66" ht="15.75" customHeight="1" s="218"/>
    <row r="67" ht="15.75" customHeight="1" s="218"/>
    <row r="68" ht="15.75" customHeight="1" s="218"/>
    <row r="69" ht="15.75" customHeight="1" s="218"/>
    <row r="70" ht="15.75" customHeight="1" s="218"/>
    <row r="71" ht="15.75" customHeight="1" s="218"/>
    <row r="72" ht="15.75" customHeight="1" s="218"/>
    <row r="73" ht="15.75" customHeight="1" s="218"/>
    <row r="74" ht="15.75" customHeight="1" s="218"/>
    <row r="75" ht="15.75" customHeight="1" s="218"/>
    <row r="76" ht="15.75" customHeight="1" s="218"/>
    <row r="77" ht="15.75" customHeight="1" s="218"/>
    <row r="78" ht="15.75" customHeight="1" s="218"/>
    <row r="79" ht="15.75" customHeight="1" s="218"/>
    <row r="80" ht="15.75" customHeight="1" s="218"/>
    <row r="81" ht="15.75" customHeight="1" s="218"/>
    <row r="82" ht="15.75" customHeight="1" s="218"/>
    <row r="83" ht="15.75" customHeight="1" s="218"/>
    <row r="84" ht="15.75" customHeight="1" s="218"/>
    <row r="85" ht="15.75" customHeight="1" s="218"/>
    <row r="86" ht="15.75" customHeight="1" s="218"/>
    <row r="87" ht="15.75" customHeight="1" s="218"/>
    <row r="88" ht="15.75" customHeight="1" s="218"/>
    <row r="89" ht="15.75" customHeight="1" s="218"/>
    <row r="90" ht="15.75" customHeight="1" s="218"/>
    <row r="91" ht="15.75" customHeight="1" s="218"/>
    <row r="92" ht="15.75" customHeight="1" s="218"/>
    <row r="93" ht="15.75" customHeight="1" s="218"/>
    <row r="94" ht="15.75" customHeight="1" s="218"/>
    <row r="95" ht="15.75" customHeight="1" s="218"/>
    <row r="96" ht="15.75" customHeight="1" s="218"/>
    <row r="97" ht="15.75" customHeight="1" s="218"/>
    <row r="98" ht="15.75" customHeight="1" s="218"/>
    <row r="99" ht="15.75" customHeight="1" s="218"/>
    <row r="100" ht="15.75" customHeight="1" s="218"/>
    <row r="101" ht="15.75" customHeight="1" s="218"/>
    <row r="102" ht="15.75" customHeight="1" s="218"/>
    <row r="103" ht="15.75" customHeight="1" s="218"/>
    <row r="104" ht="15.75" customHeight="1" s="218"/>
    <row r="105" ht="15.75" customHeight="1" s="218"/>
    <row r="106" ht="15.75" customHeight="1" s="218"/>
    <row r="107" ht="15.75" customHeight="1" s="218"/>
    <row r="108" ht="15.75" customHeight="1" s="218"/>
    <row r="109" ht="15.75" customHeight="1" s="218"/>
    <row r="110" ht="15.75" customHeight="1" s="218"/>
    <row r="111" ht="15.75" customHeight="1" s="218"/>
    <row r="112" ht="15.75" customHeight="1" s="218"/>
    <row r="113" ht="15.75" customHeight="1" s="218"/>
    <row r="114" ht="15.75" customHeight="1" s="218"/>
    <row r="115" ht="15.75" customHeight="1" s="218"/>
    <row r="116" ht="15.75" customHeight="1" s="218"/>
    <row r="117" ht="15.75" customHeight="1" s="218"/>
    <row r="118" ht="15.75" customHeight="1" s="218"/>
    <row r="119" ht="15.75" customHeight="1" s="218"/>
    <row r="120" ht="15.75" customHeight="1" s="218"/>
    <row r="121" ht="15.75" customHeight="1" s="218"/>
    <row r="122" ht="15.75" customHeight="1" s="218"/>
    <row r="123" ht="15.75" customHeight="1" s="218"/>
    <row r="124" ht="15.75" customHeight="1" s="218"/>
    <row r="125" ht="15.75" customHeight="1" s="218"/>
    <row r="126" ht="15.75" customHeight="1" s="218"/>
    <row r="127" ht="15.75" customHeight="1" s="218"/>
    <row r="128" ht="15.75" customHeight="1" s="218"/>
    <row r="129" ht="15.75" customHeight="1" s="218"/>
    <row r="130" ht="15.75" customHeight="1" s="218"/>
    <row r="131" ht="15.75" customHeight="1" s="218"/>
    <row r="132" ht="15.75" customHeight="1" s="218"/>
    <row r="133" ht="15.75" customHeight="1" s="218"/>
    <row r="134" ht="15.75" customHeight="1" s="218"/>
    <row r="135" ht="15.75" customHeight="1" s="218"/>
    <row r="136" ht="15.75" customHeight="1" s="218"/>
    <row r="137" ht="15.75" customHeight="1" s="218"/>
    <row r="138" ht="15.75" customHeight="1" s="218"/>
    <row r="139" ht="15.75" customHeight="1" s="218"/>
    <row r="140" ht="15.75" customHeight="1" s="218"/>
    <row r="141" ht="15.75" customHeight="1" s="218"/>
    <row r="142" ht="15.75" customHeight="1" s="218"/>
    <row r="143" ht="15.75" customHeight="1" s="218"/>
    <row r="144" ht="15.75" customHeight="1" s="218"/>
    <row r="145" ht="15.75" customHeight="1" s="218"/>
    <row r="146" ht="15.75" customHeight="1" s="218"/>
    <row r="147" ht="15.75" customHeight="1" s="218"/>
    <row r="148" ht="15.75" customHeight="1" s="218"/>
    <row r="149" ht="15.75" customHeight="1" s="218"/>
    <row r="150" ht="15.75" customHeight="1" s="218"/>
    <row r="151" ht="15.75" customHeight="1" s="218"/>
    <row r="152" ht="15.75" customHeight="1" s="218"/>
    <row r="153" ht="15.75" customHeight="1" s="218"/>
    <row r="154" ht="15.75" customHeight="1" s="218"/>
    <row r="155" ht="15.75" customHeight="1" s="218"/>
    <row r="156" ht="15.75" customHeight="1" s="218"/>
    <row r="157" ht="15.75" customHeight="1" s="218"/>
    <row r="158" ht="15.75" customHeight="1" s="218"/>
    <row r="159" ht="15.75" customHeight="1" s="218"/>
    <row r="160" ht="15.75" customHeight="1" s="218"/>
    <row r="161" ht="15.75" customHeight="1" s="218"/>
    <row r="162" ht="15.75" customHeight="1" s="218"/>
    <row r="163" ht="15.75" customHeight="1" s="218"/>
    <row r="164" ht="15.75" customHeight="1" s="218"/>
    <row r="165" ht="15.75" customHeight="1" s="218"/>
    <row r="166" ht="15.75" customHeight="1" s="218"/>
    <row r="167" ht="15.75" customHeight="1" s="218"/>
    <row r="168" ht="15.75" customHeight="1" s="218"/>
    <row r="169" ht="15.75" customHeight="1" s="218"/>
    <row r="170" ht="15.75" customHeight="1" s="218"/>
    <row r="171" ht="15.75" customHeight="1" s="218"/>
    <row r="172" ht="15.75" customHeight="1" s="218"/>
    <row r="173" ht="15.75" customHeight="1" s="218"/>
    <row r="174" ht="15.75" customHeight="1" s="218"/>
    <row r="175" ht="15.75" customHeight="1" s="218"/>
    <row r="176" ht="15.75" customHeight="1" s="218"/>
    <row r="177" ht="15.75" customHeight="1" s="218"/>
    <row r="178" ht="15.75" customHeight="1" s="218"/>
    <row r="179" ht="15.75" customHeight="1" s="218"/>
    <row r="180" ht="15.75" customHeight="1" s="218"/>
    <row r="181" ht="15.75" customHeight="1" s="218"/>
    <row r="182" ht="15.75" customHeight="1" s="218"/>
    <row r="183" ht="15.75" customHeight="1" s="218"/>
    <row r="184" ht="15.75" customHeight="1" s="218"/>
    <row r="185" ht="15.75" customHeight="1" s="218"/>
    <row r="186" ht="15.75" customHeight="1" s="218"/>
    <row r="187" ht="15.75" customHeight="1" s="218"/>
    <row r="188" ht="15.75" customHeight="1" s="218"/>
    <row r="189" ht="15.75" customHeight="1" s="218"/>
    <row r="190" ht="15.75" customHeight="1" s="218"/>
    <row r="191" ht="15.75" customHeight="1" s="218"/>
    <row r="192" ht="15.75" customHeight="1" s="218"/>
    <row r="193" ht="15.75" customHeight="1" s="218"/>
    <row r="194" ht="15.75" customHeight="1" s="218"/>
    <row r="195" ht="15.75" customHeight="1" s="218"/>
    <row r="196" ht="15.75" customHeight="1" s="218"/>
    <row r="197" ht="15.75" customHeight="1" s="218"/>
    <row r="198" ht="15.75" customHeight="1" s="218"/>
    <row r="199" ht="15.75" customHeight="1" s="218"/>
    <row r="200" ht="15.75" customHeight="1" s="218"/>
    <row r="201" ht="15.75" customHeight="1" s="218"/>
    <row r="202" ht="15.75" customHeight="1" s="218"/>
    <row r="203" ht="15.75" customHeight="1" s="218"/>
    <row r="204" ht="15.75" customHeight="1" s="218"/>
    <row r="205" ht="15.75" customHeight="1" s="218"/>
    <row r="206" ht="15.75" customHeight="1" s="218"/>
    <row r="207" ht="15.75" customHeight="1" s="218"/>
    <row r="208" ht="15.75" customHeight="1" s="218"/>
    <row r="209" ht="15.75" customHeight="1" s="218"/>
    <row r="210" ht="15.75" customHeight="1" s="218"/>
    <row r="211" ht="15.75" customHeight="1" s="218"/>
    <row r="212" ht="15.75" customHeight="1" s="218"/>
    <row r="213" ht="15.75" customHeight="1" s="218"/>
    <row r="214" ht="15.75" customHeight="1" s="218"/>
    <row r="215" ht="15.75" customHeight="1" s="218"/>
    <row r="216" ht="15.75" customHeight="1" s="218"/>
    <row r="217" ht="15.75" customHeight="1" s="218"/>
    <row r="218" ht="15.75" customHeight="1" s="218"/>
    <row r="219" ht="15.75" customHeight="1" s="218"/>
    <row r="220" ht="15.75" customHeight="1" s="218"/>
    <row r="221" ht="15.75" customHeight="1" s="218"/>
    <row r="222" ht="15.75" customHeight="1" s="218"/>
    <row r="223" ht="15.75" customHeight="1" s="218"/>
    <row r="224" ht="15.75" customHeight="1" s="218"/>
    <row r="225" ht="15.75" customHeight="1" s="218"/>
    <row r="226" ht="15.75" customHeight="1" s="218"/>
    <row r="227" ht="15.75" customHeight="1" s="218"/>
    <row r="228" ht="15.75" customHeight="1" s="218"/>
    <row r="229" ht="15.75" customHeight="1" s="218"/>
    <row r="230" ht="15.75" customHeight="1" s="218"/>
    <row r="231" ht="15.75" customHeight="1" s="218"/>
    <row r="232" ht="15.75" customHeight="1" s="218"/>
    <row r="233" ht="15.75" customHeight="1" s="218"/>
    <row r="234" ht="15.75" customHeight="1" s="218"/>
    <row r="235" ht="15.75" customHeight="1" s="218"/>
    <row r="236" ht="15.75" customHeight="1" s="218"/>
    <row r="237" ht="15.75" customHeight="1" s="218"/>
    <row r="238" ht="15.75" customHeight="1" s="218"/>
    <row r="239" ht="15.75" customHeight="1" s="218"/>
    <row r="240" ht="15.75" customHeight="1" s="218"/>
    <row r="241" ht="15.75" customHeight="1" s="218"/>
    <row r="242" ht="15.75" customHeight="1" s="218"/>
    <row r="243" ht="15.75" customHeight="1" s="218"/>
    <row r="244" ht="15.75" customHeight="1" s="218"/>
    <row r="245" ht="15.75" customHeight="1" s="218"/>
    <row r="246" ht="15.75" customHeight="1" s="218"/>
    <row r="247" ht="15.75" customHeight="1" s="218"/>
    <row r="248" ht="15.75" customHeight="1" s="218"/>
    <row r="249" ht="15.75" customHeight="1" s="218"/>
    <row r="250" ht="15.75" customHeight="1" s="218"/>
    <row r="251" ht="15.75" customHeight="1" s="218"/>
    <row r="252" ht="15.75" customHeight="1" s="218"/>
    <row r="253" ht="15.75" customHeight="1" s="218"/>
    <row r="254" ht="15.75" customHeight="1" s="218"/>
    <row r="255" ht="15.75" customHeight="1" s="218"/>
    <row r="256" ht="15.75" customHeight="1" s="218"/>
    <row r="257" ht="15.75" customHeight="1" s="218"/>
    <row r="258" ht="15.75" customHeight="1" s="218"/>
    <row r="259" ht="15.75" customHeight="1" s="218"/>
    <row r="260" ht="15.75" customHeight="1" s="218"/>
    <row r="261" ht="15.75" customHeight="1" s="218"/>
    <row r="262" ht="15.75" customHeight="1" s="218"/>
    <row r="263" ht="15.75" customHeight="1" s="218"/>
    <row r="264" ht="15.75" customHeight="1" s="218"/>
    <row r="265" ht="15.75" customHeight="1" s="218"/>
    <row r="266" ht="15.75" customHeight="1" s="218"/>
    <row r="267" ht="15.75" customHeight="1" s="218"/>
    <row r="268" ht="15.75" customHeight="1" s="218"/>
    <row r="269" ht="15.75" customHeight="1" s="218"/>
    <row r="270" ht="15.75" customHeight="1" s="218"/>
    <row r="271" ht="15.75" customHeight="1" s="218"/>
    <row r="272" ht="15.75" customHeight="1" s="218"/>
    <row r="273" ht="15.75" customHeight="1" s="218"/>
    <row r="274" ht="15.75" customHeight="1" s="218"/>
    <row r="275" ht="15.75" customHeight="1" s="218"/>
    <row r="276" ht="15.75" customHeight="1" s="218"/>
    <row r="277" ht="15.75" customHeight="1" s="218"/>
    <row r="278" ht="15.75" customHeight="1" s="218"/>
    <row r="279" ht="15.75" customHeight="1" s="218"/>
    <row r="280" ht="15.75" customHeight="1" s="218"/>
    <row r="281" ht="15.75" customHeight="1" s="218"/>
    <row r="282" ht="15.75" customHeight="1" s="218"/>
    <row r="283" ht="15.75" customHeight="1" s="218"/>
    <row r="284" ht="15.75" customHeight="1" s="218"/>
    <row r="285" ht="15.75" customHeight="1" s="218"/>
    <row r="286" ht="15.75" customHeight="1" s="218"/>
    <row r="287" ht="15.75" customHeight="1" s="218"/>
    <row r="288" ht="15.75" customHeight="1" s="218"/>
    <row r="289" ht="15.75" customHeight="1" s="218"/>
    <row r="290" ht="15.75" customHeight="1" s="218"/>
    <row r="291" ht="15.75" customHeight="1" s="218"/>
    <row r="292" ht="15.75" customHeight="1" s="218"/>
    <row r="293" ht="15.75" customHeight="1" s="218"/>
    <row r="294" ht="15.75" customHeight="1" s="218"/>
    <row r="295" ht="15.75" customHeight="1" s="218"/>
    <row r="296" ht="15.75" customHeight="1" s="218"/>
    <row r="297" ht="15.75" customHeight="1" s="218"/>
    <row r="298" ht="15.75" customHeight="1" s="218"/>
    <row r="299" ht="15.75" customHeight="1" s="218"/>
    <row r="300" ht="15.75" customHeight="1" s="218"/>
    <row r="301" ht="15.75" customHeight="1" s="218"/>
    <row r="302" ht="15.75" customHeight="1" s="218"/>
    <row r="303" ht="15.75" customHeight="1" s="218"/>
    <row r="304" ht="15.75" customHeight="1" s="218"/>
    <row r="305" ht="15.75" customHeight="1" s="218"/>
    <row r="306" ht="15.75" customHeight="1" s="218"/>
    <row r="307" ht="15.75" customHeight="1" s="218"/>
    <row r="308" ht="15.75" customHeight="1" s="218"/>
    <row r="309" ht="15.75" customHeight="1" s="218"/>
    <row r="310" ht="15.75" customHeight="1" s="218"/>
    <row r="311" ht="15.75" customHeight="1" s="218"/>
    <row r="312" ht="15.75" customHeight="1" s="218"/>
    <row r="313" ht="15.75" customHeight="1" s="218"/>
    <row r="314" ht="15.75" customHeight="1" s="218"/>
    <row r="315" ht="15.75" customHeight="1" s="218"/>
    <row r="316" ht="15.75" customHeight="1" s="218"/>
    <row r="317" ht="15.75" customHeight="1" s="218"/>
    <row r="318" ht="15.75" customHeight="1" s="218"/>
    <row r="319" ht="15.75" customHeight="1" s="218"/>
    <row r="320" ht="15.75" customHeight="1" s="218"/>
    <row r="321" ht="15.75" customHeight="1" s="218"/>
    <row r="322" ht="15.75" customHeight="1" s="218"/>
    <row r="323" ht="15.75" customHeight="1" s="218"/>
    <row r="324" ht="15.75" customHeight="1" s="218"/>
    <row r="325" ht="15.75" customHeight="1" s="218"/>
    <row r="326" ht="15.75" customHeight="1" s="218"/>
    <row r="327" ht="15.75" customHeight="1" s="218"/>
    <row r="328" ht="15.75" customHeight="1" s="218"/>
    <row r="329" ht="15.75" customHeight="1" s="218"/>
    <row r="330" ht="15.75" customHeight="1" s="218"/>
    <row r="331" ht="15.75" customHeight="1" s="218"/>
    <row r="332" ht="15.75" customHeight="1" s="218"/>
    <row r="333" ht="15.75" customHeight="1" s="218"/>
    <row r="334" ht="15.75" customHeight="1" s="218"/>
    <row r="335" ht="15.75" customHeight="1" s="218"/>
    <row r="336" ht="15.75" customHeight="1" s="218"/>
    <row r="337" ht="15.75" customHeight="1" s="218"/>
    <row r="338" ht="15.75" customHeight="1" s="218"/>
    <row r="339" ht="15.75" customHeight="1" s="218"/>
    <row r="340" ht="15.75" customHeight="1" s="218"/>
    <row r="341" ht="15.75" customHeight="1" s="218"/>
    <row r="342" ht="15.75" customHeight="1" s="218"/>
    <row r="343" ht="15.75" customHeight="1" s="218"/>
    <row r="344" ht="15.75" customHeight="1" s="218"/>
    <row r="345" ht="15.75" customHeight="1" s="218"/>
    <row r="346" ht="15.75" customHeight="1" s="218"/>
    <row r="347" ht="15.75" customHeight="1" s="218"/>
    <row r="348" ht="15.75" customHeight="1" s="218"/>
    <row r="349" ht="15.75" customHeight="1" s="218"/>
    <row r="350" ht="15.75" customHeight="1" s="218"/>
    <row r="351" ht="15.75" customHeight="1" s="218"/>
    <row r="352" ht="15.75" customHeight="1" s="218"/>
    <row r="353" ht="15.75" customHeight="1" s="218"/>
    <row r="354" ht="15.75" customHeight="1" s="218"/>
    <row r="355" ht="15.75" customHeight="1" s="218"/>
    <row r="356" ht="15.75" customHeight="1" s="218"/>
    <row r="357" ht="15.75" customHeight="1" s="218"/>
    <row r="358" ht="15.75" customHeight="1" s="218"/>
    <row r="359" ht="15.75" customHeight="1" s="218"/>
    <row r="360" ht="15.75" customHeight="1" s="218"/>
    <row r="361" ht="15.75" customHeight="1" s="218"/>
    <row r="362" ht="15.75" customHeight="1" s="218"/>
    <row r="363" ht="15.75" customHeight="1" s="218"/>
    <row r="364" ht="15.75" customHeight="1" s="218"/>
    <row r="365" ht="15.75" customHeight="1" s="218"/>
    <row r="366" ht="15.75" customHeight="1" s="218"/>
    <row r="367" ht="15.75" customHeight="1" s="218"/>
    <row r="368" ht="15.75" customHeight="1" s="218"/>
    <row r="369" ht="15.75" customHeight="1" s="218"/>
    <row r="370" ht="15.75" customHeight="1" s="218"/>
    <row r="371" ht="15.75" customHeight="1" s="218"/>
    <row r="372" ht="15.75" customHeight="1" s="218"/>
    <row r="373" ht="15.75" customHeight="1" s="218"/>
    <row r="374" ht="15.75" customHeight="1" s="218"/>
    <row r="375" ht="15.75" customHeight="1" s="218"/>
    <row r="376" ht="15.75" customHeight="1" s="218"/>
    <row r="377" ht="15.75" customHeight="1" s="218"/>
    <row r="378" ht="15.75" customHeight="1" s="218"/>
    <row r="379" ht="15.75" customHeight="1" s="218"/>
    <row r="380" ht="15.75" customHeight="1" s="218"/>
    <row r="381" ht="15.75" customHeight="1" s="218"/>
    <row r="382" ht="15.75" customHeight="1" s="218"/>
    <row r="383" ht="15.75" customHeight="1" s="218"/>
    <row r="384" ht="15.75" customHeight="1" s="218"/>
    <row r="385" ht="15.75" customHeight="1" s="218"/>
    <row r="386" ht="15.75" customHeight="1" s="218"/>
    <row r="387" ht="15.75" customHeight="1" s="218"/>
    <row r="388" ht="15.75" customHeight="1" s="218"/>
    <row r="389" ht="15.75" customHeight="1" s="218"/>
    <row r="390" ht="15.75" customHeight="1" s="218"/>
    <row r="391" ht="15.75" customHeight="1" s="218"/>
    <row r="392" ht="15.75" customHeight="1" s="218"/>
    <row r="393" ht="15.75" customHeight="1" s="218"/>
    <row r="394" ht="15.75" customHeight="1" s="218"/>
    <row r="395" ht="15.75" customHeight="1" s="218"/>
    <row r="396" ht="15.75" customHeight="1" s="218"/>
    <row r="397" ht="15.75" customHeight="1" s="218"/>
    <row r="398" ht="15.75" customHeight="1" s="218"/>
    <row r="399" ht="15.75" customHeight="1" s="218"/>
    <row r="400" ht="15.75" customHeight="1" s="218"/>
    <row r="401" ht="15.75" customHeight="1" s="218"/>
    <row r="402" ht="15.75" customHeight="1" s="218"/>
    <row r="403" ht="15.75" customHeight="1" s="218"/>
    <row r="404" ht="15.75" customHeight="1" s="218"/>
    <row r="405" ht="15.75" customHeight="1" s="218"/>
    <row r="406" ht="15.75" customHeight="1" s="218"/>
    <row r="407" ht="15.75" customHeight="1" s="218"/>
    <row r="408" ht="15.75" customHeight="1" s="218"/>
    <row r="409" ht="15.75" customHeight="1" s="218"/>
    <row r="410" ht="15.75" customHeight="1" s="218"/>
    <row r="411" ht="15.75" customHeight="1" s="218"/>
    <row r="412" ht="15.75" customHeight="1" s="218"/>
    <row r="413" ht="15.75" customHeight="1" s="218"/>
    <row r="414" ht="15.75" customHeight="1" s="218"/>
    <row r="415" ht="15.75" customHeight="1" s="218"/>
    <row r="416" ht="15.75" customHeight="1" s="218"/>
    <row r="417" ht="15.75" customHeight="1" s="218"/>
    <row r="418" ht="15.75" customHeight="1" s="218"/>
    <row r="419" ht="15.75" customHeight="1" s="218"/>
    <row r="420" ht="15.75" customHeight="1" s="218"/>
    <row r="421" ht="15.75" customHeight="1" s="218"/>
    <row r="422" ht="15.75" customHeight="1" s="218"/>
    <row r="423" ht="15.75" customHeight="1" s="218"/>
    <row r="424" ht="15.75" customHeight="1" s="218"/>
    <row r="425" ht="15.75" customHeight="1" s="218"/>
    <row r="426" ht="15.75" customHeight="1" s="218"/>
    <row r="427" ht="15.75" customHeight="1" s="218"/>
    <row r="428" ht="15.75" customHeight="1" s="218"/>
    <row r="429" ht="15.75" customHeight="1" s="218"/>
    <row r="430" ht="15.75" customHeight="1" s="218"/>
    <row r="431" ht="15.75" customHeight="1" s="218"/>
    <row r="432" ht="15.75" customHeight="1" s="218"/>
    <row r="433" ht="15.75" customHeight="1" s="218"/>
    <row r="434" ht="15.75" customHeight="1" s="218"/>
    <row r="435" ht="15.75" customHeight="1" s="218"/>
    <row r="436" ht="15.75" customHeight="1" s="218"/>
    <row r="437" ht="15.75" customHeight="1" s="218"/>
    <row r="438" ht="15.75" customHeight="1" s="218"/>
    <row r="439" ht="15.75" customHeight="1" s="218"/>
    <row r="440" ht="15.75" customHeight="1" s="218"/>
    <row r="441" ht="15.75" customHeight="1" s="218"/>
    <row r="442" ht="15.75" customHeight="1" s="218"/>
    <row r="443" ht="15.75" customHeight="1" s="218"/>
    <row r="444" ht="15.75" customHeight="1" s="218"/>
    <row r="445" ht="15.75" customHeight="1" s="218"/>
    <row r="446" ht="15.75" customHeight="1" s="218"/>
    <row r="447" ht="15.75" customHeight="1" s="218"/>
    <row r="448" ht="15.75" customHeight="1" s="218"/>
    <row r="449" ht="15.75" customHeight="1" s="218"/>
    <row r="450" ht="15.75" customHeight="1" s="218"/>
    <row r="451" ht="15.75" customHeight="1" s="218"/>
    <row r="452" ht="15.75" customHeight="1" s="218"/>
    <row r="453" ht="15.75" customHeight="1" s="218"/>
    <row r="454" ht="15.75" customHeight="1" s="218"/>
    <row r="455" ht="15.75" customHeight="1" s="218"/>
    <row r="456" ht="15.75" customHeight="1" s="218"/>
    <row r="457" ht="15.75" customHeight="1" s="218"/>
    <row r="458" ht="15.75" customHeight="1" s="218"/>
    <row r="459" ht="15.75" customHeight="1" s="218"/>
    <row r="460" ht="15.75" customHeight="1" s="218"/>
    <row r="461" ht="15.75" customHeight="1" s="218"/>
    <row r="462" ht="15.75" customHeight="1" s="218"/>
    <row r="463" ht="15.75" customHeight="1" s="218"/>
    <row r="464" ht="15.75" customHeight="1" s="218"/>
    <row r="465" ht="15.75" customHeight="1" s="218"/>
    <row r="466" ht="15.75" customHeight="1" s="218"/>
    <row r="467" ht="15.75" customHeight="1" s="218"/>
    <row r="468" ht="15.75" customHeight="1" s="218"/>
    <row r="469" ht="15.75" customHeight="1" s="218"/>
    <row r="470" ht="15.75" customHeight="1" s="218"/>
    <row r="471" ht="15.75" customHeight="1" s="218"/>
    <row r="472" ht="15.75" customHeight="1" s="218"/>
    <row r="473" ht="15.75" customHeight="1" s="218"/>
    <row r="474" ht="15.75" customHeight="1" s="218"/>
    <row r="475" ht="15.75" customHeight="1" s="218"/>
    <row r="476" ht="15.75" customHeight="1" s="218"/>
    <row r="477" ht="15.75" customHeight="1" s="218"/>
    <row r="478" ht="15.75" customHeight="1" s="218"/>
    <row r="479" ht="15.75" customHeight="1" s="218"/>
    <row r="480" ht="15.75" customHeight="1" s="218"/>
    <row r="481" ht="15.75" customHeight="1" s="218"/>
    <row r="482" ht="15.75" customHeight="1" s="218"/>
    <row r="483" ht="15.75" customHeight="1" s="218"/>
    <row r="484" ht="15.75" customHeight="1" s="218"/>
    <row r="485" ht="15.75" customHeight="1" s="218"/>
    <row r="486" ht="15.75" customHeight="1" s="218"/>
    <row r="487" ht="15.75" customHeight="1" s="218"/>
    <row r="488" ht="15.75" customHeight="1" s="218"/>
    <row r="489" ht="15.75" customHeight="1" s="218"/>
    <row r="490" ht="15.75" customHeight="1" s="218"/>
    <row r="491" ht="15.75" customHeight="1" s="218"/>
    <row r="492" ht="15.75" customHeight="1" s="218"/>
    <row r="493" ht="15.75" customHeight="1" s="218"/>
    <row r="494" ht="15.75" customHeight="1" s="218"/>
    <row r="495" ht="15.75" customHeight="1" s="218"/>
    <row r="496" ht="15.75" customHeight="1" s="218"/>
    <row r="497" ht="15.75" customHeight="1" s="218"/>
    <row r="498" ht="15.75" customHeight="1" s="218"/>
    <row r="499" ht="15.75" customHeight="1" s="218"/>
    <row r="500" ht="15.75" customHeight="1" s="218"/>
    <row r="501" ht="15.75" customHeight="1" s="218"/>
    <row r="502" ht="15.75" customHeight="1" s="218"/>
    <row r="503" ht="15.75" customHeight="1" s="218"/>
    <row r="504" ht="15.75" customHeight="1" s="218"/>
    <row r="505" ht="15.75" customHeight="1" s="218"/>
    <row r="506" ht="15.75" customHeight="1" s="218"/>
    <row r="507" ht="15.75" customHeight="1" s="218"/>
    <row r="508" ht="15.75" customHeight="1" s="218"/>
    <row r="509" ht="15.75" customHeight="1" s="218"/>
    <row r="510" ht="15.75" customHeight="1" s="218"/>
    <row r="511" ht="15.75" customHeight="1" s="218"/>
    <row r="512" ht="15.75" customHeight="1" s="218"/>
    <row r="513" ht="15.75" customHeight="1" s="218"/>
    <row r="514" ht="15.75" customHeight="1" s="218"/>
    <row r="515" ht="15.75" customHeight="1" s="218"/>
    <row r="516" ht="15.75" customHeight="1" s="218"/>
    <row r="517" ht="15.75" customHeight="1" s="218"/>
    <row r="518" ht="15.75" customHeight="1" s="218"/>
    <row r="519" ht="15.75" customHeight="1" s="218"/>
    <row r="520" ht="15.75" customHeight="1" s="218"/>
    <row r="521" ht="15.75" customHeight="1" s="218"/>
    <row r="522" ht="15.75" customHeight="1" s="218"/>
    <row r="523" ht="15.75" customHeight="1" s="218"/>
    <row r="524" ht="15.75" customHeight="1" s="218"/>
    <row r="525" ht="15.75" customHeight="1" s="218"/>
    <row r="526" ht="15.75" customHeight="1" s="218"/>
    <row r="527" ht="15.75" customHeight="1" s="218"/>
    <row r="528" ht="15.75" customHeight="1" s="218"/>
    <row r="529" ht="15.75" customHeight="1" s="218"/>
    <row r="530" ht="15.75" customHeight="1" s="218"/>
    <row r="531" ht="15.75" customHeight="1" s="218"/>
    <row r="532" ht="15.75" customHeight="1" s="218"/>
    <row r="533" ht="15.75" customHeight="1" s="218"/>
    <row r="534" ht="15.75" customHeight="1" s="218"/>
    <row r="535" ht="15.75" customHeight="1" s="218"/>
    <row r="536" ht="15.75" customHeight="1" s="218"/>
    <row r="537" ht="15.75" customHeight="1" s="218"/>
    <row r="538" ht="15.75" customHeight="1" s="218"/>
    <row r="539" ht="15.75" customHeight="1" s="218"/>
    <row r="540" ht="15.75" customHeight="1" s="218"/>
    <row r="541" ht="15.75" customHeight="1" s="218"/>
    <row r="542" ht="15.75" customHeight="1" s="218"/>
    <row r="543" ht="15.75" customHeight="1" s="218"/>
    <row r="544" ht="15.75" customHeight="1" s="218"/>
    <row r="545" ht="15.75" customHeight="1" s="218"/>
    <row r="546" ht="15.75" customHeight="1" s="218"/>
    <row r="547" ht="15.75" customHeight="1" s="218"/>
    <row r="548" ht="15.75" customHeight="1" s="218"/>
    <row r="549" ht="15.75" customHeight="1" s="218"/>
    <row r="550" ht="15.75" customHeight="1" s="218"/>
    <row r="551" ht="15.75" customHeight="1" s="218"/>
    <row r="552" ht="15.75" customHeight="1" s="218"/>
    <row r="553" ht="15.75" customHeight="1" s="218"/>
    <row r="554" ht="15.75" customHeight="1" s="218"/>
    <row r="555" ht="15.75" customHeight="1" s="218"/>
    <row r="556" ht="15.75" customHeight="1" s="218"/>
    <row r="557" ht="15.75" customHeight="1" s="218"/>
    <row r="558" ht="15.75" customHeight="1" s="218"/>
    <row r="559" ht="15.75" customHeight="1" s="218"/>
    <row r="560" ht="15.75" customHeight="1" s="218"/>
    <row r="561" ht="15.75" customHeight="1" s="218"/>
    <row r="562" ht="15.75" customHeight="1" s="218"/>
    <row r="563" ht="15.75" customHeight="1" s="218"/>
    <row r="564" ht="15.75" customHeight="1" s="218"/>
    <row r="565" ht="15.75" customHeight="1" s="218"/>
    <row r="566" ht="15.75" customHeight="1" s="218"/>
    <row r="567" ht="15.75" customHeight="1" s="218"/>
    <row r="568" ht="15.75" customHeight="1" s="218"/>
    <row r="569" ht="15.75" customHeight="1" s="218"/>
    <row r="570" ht="15.75" customHeight="1" s="218"/>
    <row r="571" ht="15.75" customHeight="1" s="218"/>
    <row r="572" ht="15.75" customHeight="1" s="218"/>
    <row r="573" ht="15.75" customHeight="1" s="218"/>
    <row r="574" ht="15.75" customHeight="1" s="218"/>
    <row r="575" ht="15.75" customHeight="1" s="218"/>
    <row r="576" ht="15.75" customHeight="1" s="218"/>
    <row r="577" ht="15.75" customHeight="1" s="218"/>
    <row r="578" ht="15.75" customHeight="1" s="218"/>
    <row r="579" ht="15.75" customHeight="1" s="218"/>
    <row r="580" ht="15.75" customHeight="1" s="218"/>
    <row r="581" ht="15.75" customHeight="1" s="218"/>
    <row r="582" ht="15.75" customHeight="1" s="218"/>
    <row r="583" ht="15.75" customHeight="1" s="218"/>
    <row r="584" ht="15.75" customHeight="1" s="218"/>
    <row r="585" ht="15.75" customHeight="1" s="218"/>
    <row r="586" ht="15.75" customHeight="1" s="218"/>
    <row r="587" ht="15.75" customHeight="1" s="218"/>
    <row r="588" ht="15.75" customHeight="1" s="218"/>
    <row r="589" ht="15.75" customHeight="1" s="218"/>
    <row r="590" ht="15.75" customHeight="1" s="218"/>
    <row r="591" ht="15.75" customHeight="1" s="218"/>
    <row r="592" ht="15.75" customHeight="1" s="218"/>
    <row r="593" ht="15.75" customHeight="1" s="218"/>
    <row r="594" ht="15.75" customHeight="1" s="218"/>
    <row r="595" ht="15.75" customHeight="1" s="218"/>
    <row r="596" ht="15.75" customHeight="1" s="218"/>
    <row r="597" ht="15.75" customHeight="1" s="218"/>
    <row r="598" ht="15.75" customHeight="1" s="218"/>
    <row r="599" ht="15.75" customHeight="1" s="218"/>
    <row r="600" ht="15.75" customHeight="1" s="218"/>
    <row r="601" ht="15.75" customHeight="1" s="218"/>
    <row r="602" ht="15.75" customHeight="1" s="218"/>
    <row r="603" ht="15.75" customHeight="1" s="218"/>
    <row r="604" ht="15.75" customHeight="1" s="218"/>
    <row r="605" ht="15.75" customHeight="1" s="218"/>
    <row r="606" ht="15.75" customHeight="1" s="218"/>
    <row r="607" ht="15.75" customHeight="1" s="218"/>
    <row r="608" ht="15.75" customHeight="1" s="218"/>
    <row r="609" ht="15.75" customHeight="1" s="218"/>
    <row r="610" ht="15.75" customHeight="1" s="218"/>
    <row r="611" ht="15.75" customHeight="1" s="218"/>
    <row r="612" ht="15.75" customHeight="1" s="218"/>
    <row r="613" ht="15.75" customHeight="1" s="218"/>
    <row r="614" ht="15.75" customHeight="1" s="218"/>
    <row r="615" ht="15.75" customHeight="1" s="218"/>
    <row r="616" ht="15.75" customHeight="1" s="218"/>
    <row r="617" ht="15.75" customHeight="1" s="218"/>
    <row r="618" ht="15.75" customHeight="1" s="218"/>
    <row r="619" ht="15.75" customHeight="1" s="218"/>
    <row r="620" ht="15.75" customHeight="1" s="218"/>
    <row r="621" ht="15.75" customHeight="1" s="218"/>
    <row r="622" ht="15.75" customHeight="1" s="218"/>
    <row r="623" ht="15.75" customHeight="1" s="218"/>
    <row r="624" ht="15.75" customHeight="1" s="218"/>
    <row r="625" ht="15.75" customHeight="1" s="218"/>
    <row r="626" ht="15.75" customHeight="1" s="218"/>
    <row r="627" ht="15.75" customHeight="1" s="218"/>
    <row r="628" ht="15.75" customHeight="1" s="218"/>
    <row r="629" ht="15.75" customHeight="1" s="218"/>
    <row r="630" ht="15.75" customHeight="1" s="218"/>
    <row r="631" ht="15.75" customHeight="1" s="218"/>
    <row r="632" ht="15.75" customHeight="1" s="218"/>
    <row r="633" ht="15.75" customHeight="1" s="218"/>
    <row r="634" ht="15.75" customHeight="1" s="218"/>
    <row r="635" ht="15.75" customHeight="1" s="218"/>
    <row r="636" ht="15.75" customHeight="1" s="218"/>
    <row r="637" ht="15.75" customHeight="1" s="218"/>
    <row r="638" ht="15.75" customHeight="1" s="218"/>
    <row r="639" ht="15.75" customHeight="1" s="218"/>
    <row r="640" ht="15.75" customHeight="1" s="218"/>
    <row r="641" ht="15.75" customHeight="1" s="218"/>
    <row r="642" ht="15.75" customHeight="1" s="218"/>
    <row r="643" ht="15.75" customHeight="1" s="218"/>
    <row r="644" ht="15.75" customHeight="1" s="218"/>
    <row r="645" ht="15.75" customHeight="1" s="218"/>
    <row r="646" ht="15.75" customHeight="1" s="218"/>
    <row r="647" ht="15.75" customHeight="1" s="218"/>
    <row r="648" ht="15.75" customHeight="1" s="218"/>
    <row r="649" ht="15.75" customHeight="1" s="218"/>
    <row r="650" ht="15.75" customHeight="1" s="218"/>
    <row r="651" ht="15.75" customHeight="1" s="218"/>
    <row r="652" ht="15.75" customHeight="1" s="218"/>
    <row r="653" ht="15.75" customHeight="1" s="218"/>
    <row r="654" ht="15.75" customHeight="1" s="218"/>
    <row r="655" ht="15.75" customHeight="1" s="218"/>
    <row r="656" ht="15.75" customHeight="1" s="218"/>
    <row r="657" ht="15.75" customHeight="1" s="218"/>
    <row r="658" ht="15.75" customHeight="1" s="218"/>
    <row r="659" ht="15.75" customHeight="1" s="218"/>
    <row r="660" ht="15.75" customHeight="1" s="218"/>
    <row r="661" ht="15.75" customHeight="1" s="218"/>
    <row r="662" ht="15.75" customHeight="1" s="218"/>
    <row r="663" ht="15.75" customHeight="1" s="218"/>
    <row r="664" ht="15.75" customHeight="1" s="218"/>
    <row r="665" ht="15.75" customHeight="1" s="218"/>
    <row r="666" ht="15.75" customHeight="1" s="218"/>
    <row r="667" ht="15.75" customHeight="1" s="218"/>
    <row r="668" ht="15.75" customHeight="1" s="218"/>
    <row r="669" ht="15.75" customHeight="1" s="218"/>
    <row r="670" ht="15.75" customHeight="1" s="218"/>
    <row r="671" ht="15.75" customHeight="1" s="218"/>
    <row r="672" ht="15.75" customHeight="1" s="218"/>
    <row r="673" ht="15.75" customHeight="1" s="218"/>
    <row r="674" ht="15.75" customHeight="1" s="218"/>
    <row r="675" ht="15.75" customHeight="1" s="218"/>
    <row r="676" ht="15.75" customHeight="1" s="218"/>
    <row r="677" ht="15.75" customHeight="1" s="218"/>
    <row r="678" ht="15.75" customHeight="1" s="218"/>
    <row r="679" ht="15.75" customHeight="1" s="218"/>
    <row r="680" ht="15.75" customHeight="1" s="218"/>
    <row r="681" ht="15.75" customHeight="1" s="218"/>
    <row r="682" ht="15.75" customHeight="1" s="218"/>
    <row r="683" ht="15.75" customHeight="1" s="218"/>
    <row r="684" ht="15.75" customHeight="1" s="218"/>
    <row r="685" ht="15.75" customHeight="1" s="218"/>
    <row r="686" ht="15.75" customHeight="1" s="218"/>
    <row r="687" ht="15.75" customHeight="1" s="218"/>
    <row r="688" ht="15.75" customHeight="1" s="218"/>
    <row r="689" ht="15.75" customHeight="1" s="218"/>
    <row r="690" ht="15.75" customHeight="1" s="218"/>
    <row r="691" ht="15.75" customHeight="1" s="218"/>
    <row r="692" ht="15.75" customHeight="1" s="218"/>
    <row r="693" ht="15.75" customHeight="1" s="218"/>
    <row r="694" ht="15.75" customHeight="1" s="218"/>
    <row r="695" ht="15.75" customHeight="1" s="218"/>
    <row r="696" ht="15.75" customHeight="1" s="218"/>
    <row r="697" ht="15.75" customHeight="1" s="218"/>
    <row r="698" ht="15.75" customHeight="1" s="218"/>
    <row r="699" ht="15.75" customHeight="1" s="218"/>
    <row r="700" ht="15.75" customHeight="1" s="218"/>
    <row r="701" ht="15.75" customHeight="1" s="218"/>
    <row r="702" ht="15.75" customHeight="1" s="218"/>
    <row r="703" ht="15.75" customHeight="1" s="218"/>
    <row r="704" ht="15.75" customHeight="1" s="218"/>
    <row r="705" ht="15.75" customHeight="1" s="218"/>
    <row r="706" ht="15.75" customHeight="1" s="218"/>
    <row r="707" ht="15.75" customHeight="1" s="218"/>
    <row r="708" ht="15.75" customHeight="1" s="218"/>
    <row r="709" ht="15.75" customHeight="1" s="218"/>
    <row r="710" ht="15.75" customHeight="1" s="218"/>
    <row r="711" ht="15.75" customHeight="1" s="218"/>
    <row r="712" ht="15.75" customHeight="1" s="218"/>
    <row r="713" ht="15.75" customHeight="1" s="218"/>
    <row r="714" ht="15.75" customHeight="1" s="218"/>
    <row r="715" ht="15.75" customHeight="1" s="218"/>
    <row r="716" ht="15.75" customHeight="1" s="218"/>
    <row r="717" ht="15.75" customHeight="1" s="218"/>
    <row r="718" ht="15.75" customHeight="1" s="218"/>
    <row r="719" ht="15.75" customHeight="1" s="218"/>
    <row r="720" ht="15.75" customHeight="1" s="218"/>
    <row r="721" ht="15.75" customHeight="1" s="218"/>
    <row r="722" ht="15.75" customHeight="1" s="218"/>
    <row r="723" ht="15.75" customHeight="1" s="218"/>
    <row r="724" ht="15.75" customHeight="1" s="218"/>
    <row r="725" ht="15.75" customHeight="1" s="218"/>
    <row r="726" ht="15.75" customHeight="1" s="218"/>
    <row r="727" ht="15.75" customHeight="1" s="218"/>
    <row r="728" ht="15.75" customHeight="1" s="218"/>
    <row r="729" ht="15.75" customHeight="1" s="218"/>
    <row r="730" ht="15.75" customHeight="1" s="218"/>
    <row r="731" ht="15.75" customHeight="1" s="218"/>
    <row r="732" ht="15.75" customHeight="1" s="218"/>
    <row r="733" ht="15.75" customHeight="1" s="218"/>
    <row r="734" ht="15.75" customHeight="1" s="218"/>
    <row r="735" ht="15.75" customHeight="1" s="218"/>
    <row r="736" ht="15.75" customHeight="1" s="218"/>
    <row r="737" ht="15.75" customHeight="1" s="218"/>
    <row r="738" ht="15.75" customHeight="1" s="218"/>
    <row r="739" ht="15.75" customHeight="1" s="218"/>
    <row r="740" ht="15.75" customHeight="1" s="218"/>
    <row r="741" ht="15.75" customHeight="1" s="218"/>
    <row r="742" ht="15.75" customHeight="1" s="218"/>
    <row r="743" ht="15.75" customHeight="1" s="218"/>
    <row r="744" ht="15.75" customHeight="1" s="218"/>
    <row r="745" ht="15.75" customHeight="1" s="218"/>
    <row r="746" ht="15.75" customHeight="1" s="218"/>
    <row r="747" ht="15.75" customHeight="1" s="218"/>
    <row r="748" ht="15.75" customHeight="1" s="218"/>
    <row r="749" ht="15.75" customHeight="1" s="218"/>
    <row r="750" ht="15.75" customHeight="1" s="218"/>
    <row r="751" ht="15.75" customHeight="1" s="218"/>
    <row r="752" ht="15.75" customHeight="1" s="218"/>
    <row r="753" ht="15.75" customHeight="1" s="218"/>
    <row r="754" ht="15.75" customHeight="1" s="218"/>
    <row r="755" ht="15.75" customHeight="1" s="218"/>
    <row r="756" ht="15.75" customHeight="1" s="218"/>
    <row r="757" ht="15.75" customHeight="1" s="218"/>
    <row r="758" ht="15.75" customHeight="1" s="218"/>
    <row r="759" ht="15.75" customHeight="1" s="218"/>
    <row r="760" ht="15.75" customHeight="1" s="218"/>
    <row r="761" ht="15.75" customHeight="1" s="218"/>
    <row r="762" ht="15.75" customHeight="1" s="218"/>
    <row r="763" ht="15.75" customHeight="1" s="218"/>
    <row r="764" ht="15.75" customHeight="1" s="218"/>
    <row r="765" ht="15.75" customHeight="1" s="218"/>
    <row r="766" ht="15.75" customHeight="1" s="218"/>
    <row r="767" ht="15.75" customHeight="1" s="218"/>
    <row r="768" ht="15.75" customHeight="1" s="218"/>
    <row r="769" ht="15.75" customHeight="1" s="218"/>
    <row r="770" ht="15.75" customHeight="1" s="218"/>
    <row r="771" ht="15.75" customHeight="1" s="218"/>
    <row r="772" ht="15.75" customHeight="1" s="218"/>
    <row r="773" ht="15.75" customHeight="1" s="218"/>
    <row r="774" ht="15.75" customHeight="1" s="218"/>
    <row r="775" ht="15.75" customHeight="1" s="218"/>
    <row r="776" ht="15.75" customHeight="1" s="218"/>
    <row r="777" ht="15.75" customHeight="1" s="218"/>
    <row r="778" ht="15.75" customHeight="1" s="218"/>
    <row r="779" ht="15.75" customHeight="1" s="218"/>
    <row r="780" ht="15.75" customHeight="1" s="218"/>
    <row r="781" ht="15.75" customHeight="1" s="218"/>
    <row r="782" ht="15.75" customHeight="1" s="218"/>
    <row r="783" ht="15.75" customHeight="1" s="218"/>
    <row r="784" ht="15.75" customHeight="1" s="218"/>
    <row r="785" ht="15.75" customHeight="1" s="218"/>
    <row r="786" ht="15.75" customHeight="1" s="218"/>
    <row r="787" ht="15.75" customHeight="1" s="218"/>
    <row r="788" ht="15.75" customHeight="1" s="218"/>
    <row r="789" ht="15.75" customHeight="1" s="218"/>
    <row r="790" ht="15.75" customHeight="1" s="218"/>
    <row r="791" ht="15.75" customHeight="1" s="218"/>
    <row r="792" ht="15.75" customHeight="1" s="218"/>
    <row r="793" ht="15.75" customHeight="1" s="218"/>
    <row r="794" ht="15.75" customHeight="1" s="218"/>
    <row r="795" ht="15.75" customHeight="1" s="218"/>
    <row r="796" ht="15.75" customHeight="1" s="218"/>
    <row r="797" ht="15.75" customHeight="1" s="218"/>
    <row r="798" ht="15.75" customHeight="1" s="218"/>
    <row r="799" ht="15.75" customHeight="1" s="218"/>
    <row r="800" ht="15.75" customHeight="1" s="218"/>
    <row r="801" ht="15.75" customHeight="1" s="218"/>
    <row r="802" ht="15.75" customHeight="1" s="218"/>
    <row r="803" ht="15.75" customHeight="1" s="218"/>
    <row r="804" ht="15.75" customHeight="1" s="218"/>
    <row r="805" ht="15.75" customHeight="1" s="218"/>
    <row r="806" ht="15.75" customHeight="1" s="218"/>
    <row r="807" ht="15.75" customHeight="1" s="218"/>
    <row r="808" ht="15.75" customHeight="1" s="218"/>
    <row r="809" ht="15.75" customHeight="1" s="218"/>
    <row r="810" ht="15.75" customHeight="1" s="218"/>
    <row r="811" ht="15.75" customHeight="1" s="218"/>
    <row r="812" ht="15.75" customHeight="1" s="218"/>
    <row r="813" ht="15.75" customHeight="1" s="218"/>
    <row r="814" ht="15.75" customHeight="1" s="218"/>
    <row r="815" ht="15.75" customHeight="1" s="218"/>
    <row r="816" ht="15.75" customHeight="1" s="218"/>
    <row r="817" ht="15.75" customHeight="1" s="218"/>
    <row r="818" ht="15.75" customHeight="1" s="218"/>
    <row r="819" ht="15.75" customHeight="1" s="218"/>
    <row r="820" ht="15.75" customHeight="1" s="218"/>
    <row r="821" ht="15.75" customHeight="1" s="218"/>
    <row r="822" ht="15.75" customHeight="1" s="218"/>
    <row r="823" ht="15.75" customHeight="1" s="218"/>
    <row r="824" ht="15.75" customHeight="1" s="218"/>
    <row r="825" ht="15.75" customHeight="1" s="218"/>
    <row r="826" ht="15.75" customHeight="1" s="218"/>
    <row r="827" ht="15.75" customHeight="1" s="218"/>
    <row r="828" ht="15.75" customHeight="1" s="218"/>
    <row r="829" ht="15.75" customHeight="1" s="218"/>
    <row r="830" ht="15.75" customHeight="1" s="218"/>
    <row r="831" ht="15.75" customHeight="1" s="218"/>
    <row r="832" ht="15.75" customHeight="1" s="218"/>
    <row r="833" ht="15.75" customHeight="1" s="218"/>
    <row r="834" ht="15.75" customHeight="1" s="218"/>
    <row r="835" ht="15.75" customHeight="1" s="218"/>
    <row r="836" ht="15.75" customHeight="1" s="218"/>
    <row r="837" ht="15.75" customHeight="1" s="218"/>
    <row r="838" ht="15.75" customHeight="1" s="218"/>
    <row r="839" ht="15.75" customHeight="1" s="218"/>
    <row r="840" ht="15.75" customHeight="1" s="218"/>
    <row r="841" ht="15.75" customHeight="1" s="218"/>
    <row r="842" ht="15.75" customHeight="1" s="218"/>
    <row r="843" ht="15.75" customHeight="1" s="218"/>
    <row r="844" ht="15.75" customHeight="1" s="218"/>
    <row r="845" ht="15.75" customHeight="1" s="218"/>
    <row r="846" ht="15.75" customHeight="1" s="218"/>
    <row r="847" ht="15.75" customHeight="1" s="218"/>
    <row r="848" ht="15.75" customHeight="1" s="218"/>
    <row r="849" ht="15.75" customHeight="1" s="218"/>
    <row r="850" ht="15.75" customHeight="1" s="218"/>
    <row r="851" ht="15.75" customHeight="1" s="218"/>
    <row r="852" ht="15.75" customHeight="1" s="218"/>
    <row r="853" ht="15.75" customHeight="1" s="218"/>
    <row r="854" ht="15.75" customHeight="1" s="218"/>
    <row r="855" ht="15.75" customHeight="1" s="218"/>
    <row r="856" ht="15.75" customHeight="1" s="218"/>
    <row r="857" ht="15.75" customHeight="1" s="218"/>
    <row r="858" ht="15.75" customHeight="1" s="218"/>
    <row r="859" ht="15.75" customHeight="1" s="218"/>
    <row r="860" ht="15.75" customHeight="1" s="218"/>
    <row r="861" ht="15.75" customHeight="1" s="218"/>
    <row r="862" ht="15.75" customHeight="1" s="218"/>
    <row r="863" ht="15.75" customHeight="1" s="218"/>
    <row r="864" ht="15.75" customHeight="1" s="218"/>
    <row r="865" ht="15.75" customHeight="1" s="218"/>
    <row r="866" ht="15.75" customHeight="1" s="218"/>
    <row r="867" ht="15.75" customHeight="1" s="218"/>
    <row r="868" ht="15.75" customHeight="1" s="218"/>
    <row r="869" ht="15.75" customHeight="1" s="218"/>
    <row r="870" ht="15.75" customHeight="1" s="218"/>
    <row r="871" ht="15.75" customHeight="1" s="218"/>
    <row r="872" ht="15.75" customHeight="1" s="218"/>
    <row r="873" ht="15.75" customHeight="1" s="218"/>
    <row r="874" ht="15.75" customHeight="1" s="218"/>
    <row r="875" ht="15.75" customHeight="1" s="218"/>
    <row r="876" ht="15.75" customHeight="1" s="218"/>
    <row r="877" ht="15.75" customHeight="1" s="218"/>
    <row r="878" ht="15.75" customHeight="1" s="218"/>
    <row r="879" ht="15.75" customHeight="1" s="218"/>
    <row r="880" ht="15.75" customHeight="1" s="218"/>
    <row r="881" ht="15.75" customHeight="1" s="218"/>
    <row r="882" ht="15.75" customHeight="1" s="218"/>
    <row r="883" ht="15.75" customHeight="1" s="218"/>
    <row r="884" ht="15.75" customHeight="1" s="218"/>
    <row r="885" ht="15.75" customHeight="1" s="218"/>
    <row r="886" ht="15.75" customHeight="1" s="218"/>
    <row r="887" ht="15.75" customHeight="1" s="218"/>
    <row r="888" ht="15.75" customHeight="1" s="218"/>
    <row r="889" ht="15.75" customHeight="1" s="218"/>
    <row r="890" ht="15.75" customHeight="1" s="218"/>
    <row r="891" ht="15.75" customHeight="1" s="218"/>
    <row r="892" ht="15.75" customHeight="1" s="218"/>
    <row r="893" ht="15.75" customHeight="1" s="218"/>
    <row r="894" ht="15.75" customHeight="1" s="218"/>
    <row r="895" ht="15.75" customHeight="1" s="218"/>
    <row r="896" ht="15.75" customHeight="1" s="218"/>
    <row r="897" ht="15.75" customHeight="1" s="218"/>
    <row r="898" ht="15.75" customHeight="1" s="218"/>
    <row r="899" ht="15.75" customHeight="1" s="218"/>
    <row r="900" ht="15.75" customHeight="1" s="218"/>
    <row r="901" ht="15.75" customHeight="1" s="218"/>
    <row r="902" ht="15.75" customHeight="1" s="218"/>
    <row r="903" ht="15.75" customHeight="1" s="218"/>
    <row r="904" ht="15.75" customHeight="1" s="218"/>
    <row r="905" ht="15.75" customHeight="1" s="218"/>
    <row r="906" ht="15.75" customHeight="1" s="218"/>
    <row r="907" ht="15.75" customHeight="1" s="218"/>
    <row r="908" ht="15.75" customHeight="1" s="218"/>
    <row r="909" ht="15.75" customHeight="1" s="218"/>
    <row r="910" ht="15.75" customHeight="1" s="218"/>
    <row r="911" ht="15.75" customHeight="1" s="218"/>
    <row r="912" ht="15.75" customHeight="1" s="218"/>
    <row r="913" ht="15.75" customHeight="1" s="218"/>
    <row r="914" ht="15.75" customHeight="1" s="218"/>
    <row r="915" ht="15.75" customHeight="1" s="218"/>
    <row r="916" ht="15.75" customHeight="1" s="218"/>
    <row r="917" ht="15.75" customHeight="1" s="218"/>
    <row r="918" ht="15.75" customHeight="1" s="218"/>
    <row r="919" ht="15.75" customHeight="1" s="218"/>
    <row r="920" ht="15.75" customHeight="1" s="218"/>
    <row r="921" ht="15.75" customHeight="1" s="218"/>
    <row r="922" ht="15.75" customHeight="1" s="218"/>
    <row r="923" ht="15.75" customHeight="1" s="218"/>
    <row r="924" ht="15.75" customHeight="1" s="218"/>
    <row r="925" ht="15.75" customHeight="1" s="218"/>
    <row r="926" ht="15.75" customHeight="1" s="218"/>
    <row r="927" ht="15.75" customHeight="1" s="218"/>
    <row r="928" ht="15.75" customHeight="1" s="218"/>
    <row r="929" ht="15.75" customHeight="1" s="218"/>
    <row r="930" ht="15.75" customHeight="1" s="218"/>
    <row r="931" ht="15.75" customHeight="1" s="218"/>
    <row r="932" ht="15.75" customHeight="1" s="218"/>
    <row r="933" ht="15.75" customHeight="1" s="218"/>
    <row r="934" ht="15.75" customHeight="1" s="218"/>
    <row r="935" ht="15.75" customHeight="1" s="218"/>
    <row r="936" ht="15.75" customHeight="1" s="218"/>
    <row r="937" ht="15.75" customHeight="1" s="218"/>
    <row r="938" ht="15.75" customHeight="1" s="218"/>
    <row r="939" ht="15.75" customHeight="1" s="218"/>
    <row r="940" ht="15.75" customHeight="1" s="218"/>
    <row r="941" ht="15.75" customHeight="1" s="218"/>
    <row r="942" ht="15.75" customHeight="1" s="218"/>
    <row r="943" ht="15.75" customHeight="1" s="218"/>
    <row r="944" ht="15.75" customHeight="1" s="218"/>
    <row r="945" ht="15.75" customHeight="1" s="218"/>
    <row r="946" ht="15.75" customHeight="1" s="218"/>
    <row r="947" ht="15.75" customHeight="1" s="218"/>
    <row r="948" ht="15.75" customHeight="1" s="218"/>
    <row r="949" ht="15.75" customHeight="1" s="218"/>
    <row r="950" ht="15.75" customHeight="1" s="218"/>
    <row r="951" ht="15.75" customHeight="1" s="218"/>
    <row r="952" ht="15.75" customHeight="1" s="218"/>
    <row r="953" ht="15.75" customHeight="1" s="218"/>
    <row r="954" ht="15.75" customHeight="1" s="218"/>
    <row r="955" ht="15.75" customHeight="1" s="218"/>
    <row r="956" ht="15.75" customHeight="1" s="218"/>
    <row r="957" ht="15.75" customHeight="1" s="218"/>
    <row r="958" ht="15.75" customHeight="1" s="218"/>
    <row r="959" ht="15.75" customHeight="1" s="218"/>
    <row r="960" ht="15.75" customHeight="1" s="218"/>
    <row r="961" ht="15.75" customHeight="1" s="218"/>
    <row r="962" ht="15.75" customHeight="1" s="218"/>
    <row r="963" ht="15.75" customHeight="1" s="218"/>
    <row r="964" ht="15.75" customHeight="1" s="218"/>
    <row r="965" ht="15.75" customHeight="1" s="218"/>
    <row r="966" ht="15.75" customHeight="1" s="218"/>
    <row r="967" ht="15.75" customHeight="1" s="218"/>
    <row r="968" ht="15.75" customHeight="1" s="218"/>
    <row r="969" ht="15.75" customHeight="1" s="218"/>
    <row r="970" ht="15.75" customHeight="1" s="218"/>
    <row r="971" ht="15.75" customHeight="1" s="218"/>
    <row r="972" ht="15.75" customHeight="1" s="218"/>
    <row r="973" ht="15.75" customHeight="1" s="218"/>
    <row r="974" ht="15.75" customHeight="1" s="218"/>
    <row r="975" ht="15.75" customHeight="1" s="218"/>
    <row r="976" ht="15.75" customHeight="1" s="218"/>
    <row r="977" ht="15.75" customHeight="1" s="218"/>
    <row r="978" ht="15.75" customHeight="1" s="218"/>
    <row r="979" ht="15.75" customHeight="1" s="218"/>
    <row r="980" ht="15.75" customHeight="1" s="218"/>
    <row r="981" ht="15.75" customHeight="1" s="218"/>
    <row r="982" ht="15.75" customHeight="1" s="218"/>
    <row r="983" ht="15.75" customHeight="1" s="218"/>
    <row r="984" ht="15.75" customHeight="1" s="218"/>
    <row r="985" ht="15.75" customHeight="1" s="218"/>
    <row r="986" ht="15.75" customHeight="1" s="218"/>
    <row r="987" ht="15.75" customHeight="1" s="218"/>
    <row r="988" ht="15.75" customHeight="1" s="218"/>
    <row r="989" ht="15.75" customHeight="1" s="218"/>
    <row r="990" ht="15.75" customHeight="1" s="218"/>
    <row r="991" ht="15.75" customHeight="1" s="218"/>
    <row r="992" ht="15.75" customHeight="1" s="218"/>
    <row r="993" ht="15.75" customHeight="1" s="218"/>
    <row r="994" ht="15.75" customHeight="1" s="218"/>
    <row r="995" ht="15.75" customHeight="1" s="218"/>
    <row r="996" ht="15.75" customHeight="1" s="218"/>
    <row r="997" ht="15.75" customHeight="1" s="218"/>
    <row r="998" ht="15.75" customHeight="1" s="218"/>
    <row r="999" ht="15.75" customHeight="1" s="218"/>
    <row r="1000" ht="15.75" customHeight="1" s="218"/>
  </sheetData>
  <mergeCells count="9">
    <mergeCell ref="BB4:BM4"/>
    <mergeCell ref="A20:BN20"/>
    <mergeCell ref="A2:BN2"/>
    <mergeCell ref="A15:BN15"/>
    <mergeCell ref="A7:BN7"/>
    <mergeCell ref="A11:BN11"/>
    <mergeCell ref="AO4:AZ4"/>
    <mergeCell ref="A1:BN1"/>
    <mergeCell ref="A6:BN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ED7D31"/>
    <outlinePr summaryBelow="1" summaryRight="1"/>
    <pageSetUpPr fitToPage="0"/>
  </sheetPr>
  <dimension ref="A1:AD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customHeight="1" zeroHeight="0" outlineLevelRow="0"/>
  <cols>
    <col width="2" customWidth="1" style="217" min="1" max="1"/>
    <col width="30" customWidth="1" style="217" min="2" max="2"/>
    <col width="16" customWidth="1" style="217" min="3" max="8"/>
    <col width="14" customWidth="1" style="217" min="9" max="10"/>
    <col width="8.710000000000001" customWidth="1" style="217" min="11" max="30"/>
  </cols>
  <sheetData>
    <row r="1" ht="27.75" customHeight="1" s="218">
      <c r="B1" s="338" t="inlineStr">
        <is>
          <t>KPI Dashboard</t>
        </is>
      </c>
    </row>
    <row r="2" ht="25.5" customHeight="1" s="218">
      <c r="B2" s="339" t="inlineStr">
        <is>
          <t>Year-end metrics | Auto-populated from P&amp;L, Revenue, Cash Flow and Balance Sheet</t>
        </is>
      </c>
    </row>
    <row r="3" ht="18" customHeight="1" s="218">
      <c r="A3" s="221" t="n"/>
      <c r="B3" s="221" t="n"/>
      <c r="C3" s="221" t="n"/>
      <c r="D3" s="221" t="n"/>
      <c r="E3" s="221" t="n"/>
      <c r="F3" s="221" t="n"/>
      <c r="G3" s="221" t="n"/>
      <c r="H3" s="221" t="n"/>
      <c r="I3" s="221" t="n"/>
      <c r="J3" s="221" t="n"/>
      <c r="K3" s="221" t="n"/>
      <c r="L3" s="221" t="n"/>
      <c r="M3" s="221" t="n"/>
      <c r="N3" s="221" t="n"/>
      <c r="O3" s="221" t="n"/>
      <c r="P3" s="221" t="n"/>
      <c r="Q3" s="221" t="n"/>
      <c r="R3" s="221" t="n"/>
      <c r="S3" s="221" t="n"/>
      <c r="T3" s="221" t="n"/>
      <c r="U3" s="221" t="n"/>
      <c r="V3" s="221" t="n"/>
      <c r="W3" s="221" t="n"/>
      <c r="X3" s="221" t="n"/>
      <c r="Y3" s="221" t="n"/>
      <c r="Z3" s="221" t="n"/>
      <c r="AA3" s="221" t="n"/>
      <c r="AB3" s="221" t="n"/>
      <c r="AC3" s="221" t="n"/>
      <c r="AD3" s="221" t="n"/>
    </row>
    <row r="4" ht="21.75" customHeight="1" s="218">
      <c r="B4" s="340" t="inlineStr">
        <is>
          <t>Metric</t>
        </is>
      </c>
      <c r="C4" s="340" t="inlineStr">
        <is>
          <t>Year 1</t>
        </is>
      </c>
      <c r="D4" s="340" t="inlineStr">
        <is>
          <t>Year 2</t>
        </is>
      </c>
      <c r="E4" s="340" t="inlineStr">
        <is>
          <t>Year 3</t>
        </is>
      </c>
      <c r="F4" s="340" t="inlineStr">
        <is>
          <t>Year 4</t>
        </is>
      </c>
      <c r="G4" s="340" t="inlineStr">
        <is>
          <t>Year 5</t>
        </is>
      </c>
      <c r="H4" s="341" t="n"/>
      <c r="I4" s="342" t="n"/>
      <c r="J4" s="342" t="n"/>
    </row>
    <row r="5" ht="18" customHeight="1" s="218">
      <c r="A5" s="343" t="inlineStr">
        <is>
          <t>REVENUE &amp; GROWTH</t>
        </is>
      </c>
      <c r="B5" s="344" t="n"/>
      <c r="C5" s="344" t="n"/>
      <c r="D5" s="344" t="n"/>
      <c r="E5" s="344" t="n"/>
      <c r="F5" s="344" t="n"/>
      <c r="G5" s="344" t="n"/>
      <c r="H5" s="221" t="n"/>
      <c r="I5" s="221" t="n"/>
      <c r="J5" s="221" t="n"/>
      <c r="K5" s="221" t="n"/>
      <c r="L5" s="221" t="n"/>
      <c r="M5" s="221" t="n"/>
      <c r="N5" s="221" t="n"/>
      <c r="O5" s="221" t="n"/>
      <c r="P5" s="221" t="n"/>
      <c r="Q5" s="221" t="n"/>
      <c r="R5" s="221" t="n"/>
      <c r="S5" s="221" t="n"/>
      <c r="T5" s="221" t="n"/>
      <c r="U5" s="221" t="n"/>
      <c r="V5" s="221" t="n"/>
      <c r="W5" s="221" t="n"/>
      <c r="X5" s="221" t="n"/>
      <c r="Y5" s="221" t="n"/>
      <c r="Z5" s="221" t="n"/>
      <c r="AA5" s="221" t="n"/>
      <c r="AB5" s="221" t="n"/>
      <c r="AC5" s="221" t="n"/>
      <c r="AD5" s="221" t="n"/>
    </row>
    <row r="6" ht="21.75" customHeight="1" s="218">
      <c r="B6" s="345" t="inlineStr">
        <is>
          <t>Total Revenue</t>
        </is>
      </c>
      <c r="C6" s="346">
        <f>'P&amp;L'!N10</f>
        <v/>
      </c>
      <c r="D6" s="346">
        <f>'P&amp;L'!AA10</f>
        <v/>
      </c>
      <c r="E6" s="346">
        <f>'P&amp;L'!AN10</f>
        <v/>
      </c>
      <c r="F6" s="346">
        <f>'P&amp;L'!BA10</f>
        <v/>
      </c>
      <c r="G6" s="346">
        <f>'P&amp;L'!BN10</f>
        <v/>
      </c>
    </row>
    <row r="7" ht="21.75" customHeight="1" s="218">
      <c r="B7" s="347" t="inlineStr">
        <is>
          <t>Marketplace Revenue</t>
        </is>
      </c>
      <c r="C7" s="348">
        <f>'P&amp;L'!N8</f>
        <v/>
      </c>
      <c r="D7" s="348">
        <f>'P&amp;L'!AA8</f>
        <v/>
      </c>
      <c r="E7" s="349">
        <f>'P&amp;L'!AN8</f>
        <v/>
      </c>
      <c r="F7" s="348">
        <f>'P&amp;L'!BA8</f>
        <v/>
      </c>
      <c r="G7" s="348">
        <f>'P&amp;L'!BN8</f>
        <v/>
      </c>
      <c r="H7" s="350" t="n"/>
      <c r="I7" s="237" t="n"/>
      <c r="J7" s="351" t="n"/>
    </row>
    <row r="8" ht="21.75" customHeight="1" s="218">
      <c r="B8" s="352" t="inlineStr">
        <is>
          <t>SaaS Revenue</t>
        </is>
      </c>
      <c r="C8" s="346">
        <f>'P&amp;L'!N9</f>
        <v/>
      </c>
      <c r="D8" s="346">
        <f>'P&amp;L'!AA9</f>
        <v/>
      </c>
      <c r="E8" s="346">
        <f>'P&amp;L'!AN9</f>
        <v/>
      </c>
      <c r="F8" s="346">
        <f>'P&amp;L'!BA9</f>
        <v/>
      </c>
      <c r="G8" s="346">
        <f>'P&amp;L'!BN9</f>
        <v/>
      </c>
      <c r="H8" s="350" t="n"/>
      <c r="I8" s="237" t="n"/>
      <c r="J8" s="353" t="n"/>
    </row>
    <row r="9" ht="21.75" customHeight="1" s="218">
      <c r="B9" s="347" t="inlineStr">
        <is>
          <t>Revenue Growth %</t>
        </is>
      </c>
      <c r="C9" s="354" t="n">
        <v>0</v>
      </c>
      <c r="D9" s="354">
        <f>IFERROR((aa-n)/n,0)</f>
        <v/>
      </c>
      <c r="E9" s="355">
        <f>IFERROR((an-aa)/aa,0)</f>
        <v/>
      </c>
      <c r="F9" s="354">
        <f>IFERROR((ba-an)/an,0)</f>
        <v/>
      </c>
      <c r="G9" s="354">
        <f>IFERROR((bn-ba)/ba,0)</f>
        <v/>
      </c>
      <c r="H9" s="350" t="n"/>
      <c r="I9" s="237" t="n"/>
      <c r="J9" s="353" t="n"/>
    </row>
    <row r="10" ht="21.75" customHeight="1" s="218">
      <c r="B10" s="352" t="inlineStr">
        <is>
          <t>Gross Margin %</t>
        </is>
      </c>
      <c r="C10" s="356">
        <f>'P&amp;L'!N15</f>
        <v/>
      </c>
      <c r="D10" s="356">
        <f>'P&amp;L'!AA15</f>
        <v/>
      </c>
      <c r="E10" s="356">
        <f>'P&amp;L'!AN15</f>
        <v/>
      </c>
      <c r="F10" s="356">
        <f>'P&amp;L'!BA15</f>
        <v/>
      </c>
      <c r="G10" s="356">
        <f>'P&amp;L'!BN15</f>
        <v/>
      </c>
      <c r="H10" s="350" t="n"/>
      <c r="I10" s="237" t="n"/>
      <c r="J10" s="353" t="n"/>
    </row>
    <row r="11" ht="18" customHeight="1" s="218">
      <c r="A11" s="221" t="n"/>
      <c r="B11" s="357" t="inlineStr">
        <is>
          <t>Monthly Run Rate (Month 12)</t>
        </is>
      </c>
      <c r="C11" s="358">
        <f>'P&amp;L'!M10*12</f>
        <v/>
      </c>
      <c r="D11" s="358">
        <f>'P&amp;L'!Z10*12</f>
        <v/>
      </c>
      <c r="E11" s="358">
        <f>'P&amp;L'!AM10*12</f>
        <v/>
      </c>
      <c r="F11" s="358">
        <f>'P&amp;L'!AZ10*12</f>
        <v/>
      </c>
      <c r="G11" s="358">
        <f>'P&amp;L'!BM10*12</f>
        <v/>
      </c>
      <c r="H11" s="221" t="n"/>
      <c r="I11" s="221" t="n"/>
      <c r="J11" s="221" t="n"/>
      <c r="K11" s="221" t="n"/>
      <c r="L11" s="221" t="n"/>
      <c r="M11" s="221" t="n"/>
      <c r="N11" s="221" t="n"/>
      <c r="O11" s="221" t="n"/>
      <c r="P11" s="221" t="n"/>
      <c r="Q11" s="221" t="n"/>
      <c r="R11" s="221" t="n"/>
      <c r="S11" s="221" t="n"/>
      <c r="T11" s="221" t="n"/>
      <c r="U11" s="221" t="n"/>
      <c r="V11" s="221" t="n"/>
      <c r="W11" s="221" t="n"/>
      <c r="X11" s="221" t="n"/>
      <c r="Y11" s="221" t="n"/>
      <c r="Z11" s="221" t="n"/>
      <c r="AA11" s="221" t="n"/>
      <c r="AB11" s="221" t="n"/>
      <c r="AC11" s="221" t="n"/>
      <c r="AD11" s="221" t="n"/>
    </row>
    <row r="12" ht="21.75" customHeight="1" s="218">
      <c r="B12" s="276" t="n"/>
    </row>
    <row r="13" ht="21.75" customHeight="1" s="218">
      <c r="A13" s="343" t="inlineStr">
        <is>
          <t>PROFITABILITY</t>
        </is>
      </c>
      <c r="B13" s="359" t="n"/>
      <c r="C13" s="360" t="n"/>
      <c r="D13" s="360" t="n"/>
      <c r="E13" s="360" t="n"/>
      <c r="F13" s="361" t="n"/>
      <c r="G13" s="361" t="n"/>
      <c r="H13" s="350" t="n"/>
      <c r="I13" s="237" t="n"/>
      <c r="J13" s="351" t="n"/>
    </row>
    <row r="14" ht="21.75" customHeight="1" s="218">
      <c r="B14" s="345" t="inlineStr">
        <is>
          <t>EBITDA</t>
        </is>
      </c>
      <c r="C14" s="346">
        <f>'P&amp;L'!N33</f>
        <v/>
      </c>
      <c r="D14" s="346">
        <f>'P&amp;L'!AA33</f>
        <v/>
      </c>
      <c r="E14" s="346">
        <f>'P&amp;L'!AN33</f>
        <v/>
      </c>
      <c r="F14" s="346">
        <f>'P&amp;L'!BA33</f>
        <v/>
      </c>
      <c r="G14" s="346">
        <f>'P&amp;L'!BN33</f>
        <v/>
      </c>
      <c r="H14" s="350" t="n"/>
      <c r="I14" s="237" t="n"/>
      <c r="J14" s="353" t="n"/>
    </row>
    <row r="15" ht="21.75" customHeight="1" s="218">
      <c r="B15" s="347" t="inlineStr">
        <is>
          <t>EBITDA Margin %</t>
        </is>
      </c>
      <c r="C15" s="354">
        <f>'P&amp;L'!N34</f>
        <v/>
      </c>
      <c r="D15" s="354">
        <f>'P&amp;L'!AA34</f>
        <v/>
      </c>
      <c r="E15" s="355">
        <f>'P&amp;L'!AN34</f>
        <v/>
      </c>
      <c r="F15" s="354">
        <f>'P&amp;L'!BA34</f>
        <v/>
      </c>
      <c r="G15" s="354">
        <f>'P&amp;L'!BN34</f>
        <v/>
      </c>
      <c r="H15" s="350" t="n"/>
      <c r="I15" s="237" t="n"/>
      <c r="J15" s="353" t="n"/>
    </row>
    <row r="16" ht="18" customHeight="1" s="218">
      <c r="A16" s="221" t="n"/>
      <c r="B16" s="345" t="inlineStr">
        <is>
          <t>Net Income</t>
        </is>
      </c>
      <c r="C16" s="346">
        <f>'P&amp;L'!N37</f>
        <v/>
      </c>
      <c r="D16" s="346">
        <f>'P&amp;L'!AA37</f>
        <v/>
      </c>
      <c r="E16" s="346">
        <f>'P&amp;L'!AN37</f>
        <v/>
      </c>
      <c r="F16" s="346">
        <f>'P&amp;L'!BA37</f>
        <v/>
      </c>
      <c r="G16" s="346">
        <f>'P&amp;L'!BN37</f>
        <v/>
      </c>
      <c r="H16" s="221" t="n"/>
      <c r="I16" s="221" t="n"/>
      <c r="J16" s="221" t="n"/>
      <c r="K16" s="221" t="n"/>
      <c r="L16" s="221" t="n"/>
      <c r="M16" s="221" t="n"/>
      <c r="N16" s="221" t="n"/>
      <c r="O16" s="221" t="n"/>
      <c r="P16" s="221" t="n"/>
      <c r="Q16" s="221" t="n"/>
      <c r="R16" s="221" t="n"/>
      <c r="S16" s="221" t="n"/>
      <c r="T16" s="221" t="n"/>
      <c r="U16" s="221" t="n"/>
      <c r="V16" s="221" t="n"/>
      <c r="W16" s="221" t="n"/>
      <c r="X16" s="221" t="n"/>
      <c r="Y16" s="221" t="n"/>
      <c r="Z16" s="221" t="n"/>
      <c r="AA16" s="221" t="n"/>
      <c r="AB16" s="221" t="n"/>
      <c r="AC16" s="221" t="n"/>
      <c r="AD16" s="221" t="n"/>
    </row>
    <row r="17" ht="21.75" customHeight="1" s="218">
      <c r="B17" s="362" t="inlineStr">
        <is>
          <t>Net Margin %</t>
        </is>
      </c>
      <c r="C17" s="363">
        <f>'P&amp;L'!N38</f>
        <v/>
      </c>
      <c r="D17" s="363">
        <f>'P&amp;L'!AA38</f>
        <v/>
      </c>
      <c r="E17" s="363">
        <f>'P&amp;L'!AN38</f>
        <v/>
      </c>
      <c r="F17" s="363">
        <f>'P&amp;L'!BA38</f>
        <v/>
      </c>
      <c r="G17" s="363">
        <f>'P&amp;L'!BN38</f>
        <v/>
      </c>
    </row>
    <row r="18" ht="21.75" customHeight="1" s="218">
      <c r="B18" s="352" t="inlineStr">
        <is>
          <t>Total OpEx</t>
        </is>
      </c>
      <c r="C18" s="346">
        <f>'P&amp;L'!N31</f>
        <v/>
      </c>
      <c r="D18" s="346">
        <f>'P&amp;L'!AA31</f>
        <v/>
      </c>
      <c r="E18" s="346">
        <f>'P&amp;L'!AN31</f>
        <v/>
      </c>
      <c r="F18" s="346">
        <f>'P&amp;L'!BA31</f>
        <v/>
      </c>
      <c r="G18" s="346">
        <f>'P&amp;L'!BN31</f>
        <v/>
      </c>
      <c r="H18" s="353" t="n"/>
      <c r="I18" s="237" t="n"/>
      <c r="J18" s="353" t="n"/>
    </row>
    <row r="19" ht="21.75" customHeight="1" s="218">
      <c r="B19" s="347" t="inlineStr">
        <is>
          <t>OpEx % of Revenue</t>
        </is>
      </c>
      <c r="C19" s="354">
        <f>IFERROR('P&amp;L'!N31/'P&amp;L'!N10,0)</f>
        <v/>
      </c>
      <c r="D19" s="354">
        <f>IFERROR('P&amp;L'!AA31/'P&amp;L'!AA10,0)</f>
        <v/>
      </c>
      <c r="E19" s="355">
        <f>IFERROR('P&amp;L'!AN31/'P&amp;L'!AN10,0)</f>
        <v/>
      </c>
      <c r="F19" s="354">
        <f>IFERROR('P&amp;L'!BA31/'P&amp;L'!BA10,0)</f>
        <v/>
      </c>
      <c r="G19" s="354">
        <f>IFERROR('P&amp;L'!BN31/'P&amp;L'!BN10,0)</f>
        <v/>
      </c>
      <c r="H19" s="353" t="n"/>
      <c r="I19" s="237" t="n"/>
      <c r="J19" s="353" t="n"/>
    </row>
    <row r="20" ht="21.75" customHeight="1" s="218">
      <c r="B20" s="238" t="n"/>
      <c r="C20" s="364" t="n"/>
      <c r="D20" s="365" t="n"/>
      <c r="E20" s="364" t="n"/>
      <c r="F20" s="366" t="n"/>
      <c r="G20" s="366" t="n"/>
      <c r="H20" s="353" t="n"/>
      <c r="I20" s="237" t="n"/>
      <c r="J20" s="367" t="n"/>
    </row>
    <row r="21" ht="21.75" customHeight="1" s="218">
      <c r="A21" s="343" t="inlineStr">
        <is>
          <t>CASH &amp; FUNDING</t>
        </is>
      </c>
      <c r="B21" s="359" t="n"/>
      <c r="C21" s="368" t="n"/>
      <c r="D21" s="368" t="n"/>
      <c r="E21" s="368" t="n"/>
      <c r="F21" s="369" t="n"/>
      <c r="G21" s="369" t="n"/>
      <c r="H21" s="353" t="n"/>
      <c r="I21" s="237" t="n"/>
      <c r="J21" s="353" t="n"/>
    </row>
    <row r="22" ht="18" customHeight="1" s="218">
      <c r="A22" s="221" t="n"/>
      <c r="B22" s="345" t="inlineStr">
        <is>
          <t>Closing Cash</t>
        </is>
      </c>
      <c r="C22" s="346">
        <f>'CASH FLOW'!M25</f>
        <v/>
      </c>
      <c r="D22" s="346">
        <f>'CASH FLOW'!Z25</f>
        <v/>
      </c>
      <c r="E22" s="346">
        <f>'CASH FLOW'!AM25</f>
        <v/>
      </c>
      <c r="F22" s="346">
        <f>'CASH FLOW'!AZ25</f>
        <v/>
      </c>
      <c r="G22" s="346">
        <f>'CASH FLOW'!BM25</f>
        <v/>
      </c>
      <c r="H22" s="221" t="n"/>
      <c r="I22" s="221" t="n"/>
      <c r="J22" s="221" t="n"/>
      <c r="K22" s="221" t="n"/>
      <c r="L22" s="221" t="n"/>
      <c r="M22" s="221" t="n"/>
      <c r="N22" s="221" t="n"/>
      <c r="O22" s="221" t="n"/>
      <c r="P22" s="221" t="n"/>
      <c r="Q22" s="221" t="n"/>
      <c r="R22" s="221" t="n"/>
      <c r="S22" s="221" t="n"/>
      <c r="T22" s="221" t="n"/>
      <c r="U22" s="221" t="n"/>
      <c r="V22" s="221" t="n"/>
      <c r="W22" s="221" t="n"/>
      <c r="X22" s="221" t="n"/>
      <c r="Y22" s="221" t="n"/>
      <c r="Z22" s="221" t="n"/>
      <c r="AA22" s="221" t="n"/>
      <c r="AB22" s="221" t="n"/>
      <c r="AC22" s="221" t="n"/>
      <c r="AD22" s="221" t="n"/>
    </row>
    <row r="23" ht="21.75" customHeight="1" s="218">
      <c r="B23" s="370" t="inlineStr">
        <is>
          <t>Annual Cash Burn</t>
        </is>
      </c>
      <c r="C23" s="371">
        <f>'CASH FLOW'!N13</f>
        <v/>
      </c>
      <c r="D23" s="371">
        <f>'CASH FLOW'!AA13</f>
        <v/>
      </c>
      <c r="E23" s="371">
        <f>'CASH FLOW'!AN13</f>
        <v/>
      </c>
      <c r="F23" s="371">
        <f>'CASH FLOW'!BA13</f>
        <v/>
      </c>
      <c r="G23" s="371">
        <f>'CASH FLOW'!BN13</f>
        <v/>
      </c>
    </row>
    <row r="24" ht="21.75" customHeight="1" s="218">
      <c r="B24" s="352" t="inlineStr">
        <is>
          <t>Runway (months)</t>
        </is>
      </c>
      <c r="C24" s="372">
        <f>'CASH FLOW'!M28</f>
        <v/>
      </c>
      <c r="D24" s="372">
        <f>'CASH FLOW'!Z28</f>
        <v/>
      </c>
      <c r="E24" s="372">
        <f>'CASH FLOW'!AM28</f>
        <v/>
      </c>
      <c r="F24" s="372">
        <f>'CASH FLOW'!AZ28</f>
        <v/>
      </c>
      <c r="G24" s="372">
        <f>'CASH FLOW'!BM28</f>
        <v/>
      </c>
      <c r="H24" s="353" t="n"/>
      <c r="I24" s="237" t="n"/>
      <c r="J24" s="353" t="n"/>
    </row>
    <row r="25" ht="21.75" customHeight="1" s="218">
      <c r="B25" s="347" t="inlineStr">
        <is>
          <t>Equity Raised</t>
        </is>
      </c>
      <c r="C25" s="348">
        <f>'CASH FLOW'!N22</f>
        <v/>
      </c>
      <c r="D25" s="348">
        <f>'CASH FLOW'!AA22</f>
        <v/>
      </c>
      <c r="E25" s="349">
        <f>'CASH FLOW'!AN22</f>
        <v/>
      </c>
      <c r="F25" s="348">
        <f>'CASH FLOW'!BA22</f>
        <v/>
      </c>
      <c r="G25" s="348">
        <f>'CASH FLOW'!BN22</f>
        <v/>
      </c>
      <c r="H25" s="353" t="n"/>
      <c r="I25" s="237" t="n"/>
      <c r="J25" s="351" t="n"/>
    </row>
    <row r="26" ht="21.75" customHeight="1" s="218">
      <c r="B26" s="238" t="n"/>
      <c r="C26" s="325" t="n"/>
      <c r="D26" s="325" t="n"/>
      <c r="E26" s="322" t="n"/>
      <c r="F26" s="292" t="n"/>
      <c r="G26" s="292" t="n"/>
      <c r="H26" s="353" t="n"/>
      <c r="I26" s="237" t="n"/>
      <c r="J26" s="353" t="n"/>
    </row>
    <row r="27" ht="18" customHeight="1" s="218">
      <c r="A27" s="343" t="inlineStr">
        <is>
          <t>USERS &amp; UNIT ECONOMICS</t>
        </is>
      </c>
      <c r="B27" s="344" t="n"/>
      <c r="C27" s="344" t="n"/>
      <c r="D27" s="344" t="n"/>
      <c r="E27" s="344" t="n"/>
      <c r="F27" s="344" t="n"/>
      <c r="G27" s="344" t="n"/>
      <c r="H27" s="221" t="n"/>
      <c r="I27" s="221" t="n"/>
      <c r="J27" s="221" t="n"/>
      <c r="K27" s="221" t="n"/>
      <c r="L27" s="221" t="n"/>
      <c r="M27" s="221" t="n"/>
      <c r="N27" s="221" t="n"/>
      <c r="O27" s="221" t="n"/>
      <c r="P27" s="221" t="n"/>
      <c r="Q27" s="221" t="n"/>
      <c r="R27" s="221" t="n"/>
      <c r="S27" s="221" t="n"/>
      <c r="T27" s="221" t="n"/>
      <c r="U27" s="221" t="n"/>
      <c r="V27" s="221" t="n"/>
      <c r="W27" s="221" t="n"/>
      <c r="X27" s="221" t="n"/>
      <c r="Y27" s="221" t="n"/>
      <c r="Z27" s="221" t="n"/>
      <c r="AA27" s="221" t="n"/>
      <c r="AB27" s="221" t="n"/>
      <c r="AC27" s="221" t="n"/>
      <c r="AD27" s="221" t="n"/>
    </row>
    <row r="28" ht="60" customHeight="1" s="218">
      <c r="B28" s="352" t="inlineStr">
        <is>
          <t>Active Buyers (EoY)</t>
        </is>
      </c>
      <c r="C28" s="373">
        <f>REVENUE!M9</f>
        <v/>
      </c>
      <c r="D28" s="373">
        <f>REVENUE!Z9</f>
        <v/>
      </c>
      <c r="E28" s="373">
        <f>REVENUE!AM9</f>
        <v/>
      </c>
      <c r="F28" s="373">
        <f>REVENUE!AZ9</f>
        <v/>
      </c>
      <c r="G28" s="373">
        <f>REVENUE!BM9</f>
        <v/>
      </c>
    </row>
    <row r="29" ht="18" customHeight="1" s="218">
      <c r="B29" s="374" t="inlineStr">
        <is>
          <t>Active Sellers (EoY)</t>
        </is>
      </c>
      <c r="C29" s="375">
        <f>REVENUE!M13</f>
        <v/>
      </c>
      <c r="D29" s="375">
        <f>REVENUE!Z13</f>
        <v/>
      </c>
      <c r="E29" s="375">
        <f>REVENUE!AM13</f>
        <v/>
      </c>
      <c r="F29" s="375">
        <f>REVENUE!AZ13</f>
        <v/>
      </c>
      <c r="G29" s="375">
        <f>REVENUE!BM13</f>
        <v/>
      </c>
    </row>
    <row r="30" ht="18" customHeight="1" s="218">
      <c r="B30" s="352" t="inlineStr">
        <is>
          <t>Active SaaS Subscribers</t>
        </is>
      </c>
      <c r="C30" s="373">
        <f>REVENUE!M24</f>
        <v/>
      </c>
      <c r="D30" s="373">
        <f>REVENUE!Z24</f>
        <v/>
      </c>
      <c r="E30" s="373">
        <f>REVENUE!AM24</f>
        <v/>
      </c>
      <c r="F30" s="373">
        <f>REVENUE!AZ24</f>
        <v/>
      </c>
      <c r="G30" s="373">
        <f>REVENUE!BM24</f>
        <v/>
      </c>
    </row>
    <row r="31" ht="18" customHeight="1" s="218">
      <c r="B31" s="374" t="inlineStr">
        <is>
          <t>GMV (Annual)</t>
        </is>
      </c>
      <c r="C31" s="371">
        <f>REVENUE!N16</f>
        <v/>
      </c>
      <c r="D31" s="371">
        <f>REVENUE!AA16</f>
        <v/>
      </c>
      <c r="E31" s="371">
        <f>REVENUE!AN16</f>
        <v/>
      </c>
      <c r="F31" s="371">
        <f>REVENUE!BA16</f>
        <v/>
      </c>
      <c r="G31" s="371">
        <f>REVENUE!BN16</f>
        <v/>
      </c>
    </row>
    <row r="32" ht="18" customHeight="1" s="218">
      <c r="B32" s="352" t="inlineStr">
        <is>
          <t>Headcount (EoY)</t>
        </is>
      </c>
      <c r="C32" s="373">
        <f>HEADCOUNT!M45</f>
        <v/>
      </c>
      <c r="D32" s="373">
        <f>HEADCOUNT!Z45</f>
        <v/>
      </c>
      <c r="E32" s="373">
        <f>HEADCOUNT!AM45</f>
        <v/>
      </c>
      <c r="F32" s="373">
        <f>HEADCOUNT!AZ45</f>
        <v/>
      </c>
      <c r="G32" s="373">
        <f>HEADCOUNT!BM45</f>
        <v/>
      </c>
    </row>
    <row r="33" ht="18" customHeight="1" s="218">
      <c r="B33" s="374" t="inlineStr">
        <is>
          <t>Revenue per Employee</t>
        </is>
      </c>
      <c r="C33" s="376">
        <f>IFERROR('P&amp;L'!N10/HEADCOUNT!M45,0)</f>
        <v/>
      </c>
      <c r="D33" s="376">
        <f>IFERROR('P&amp;L'!AA10/HEADCOUNT!Z45,0)</f>
        <v/>
      </c>
      <c r="E33" s="376">
        <f>IFERROR('P&amp;L'!AN10/HEADCOUNT!AM45,0)</f>
        <v/>
      </c>
      <c r="F33" s="376">
        <f>IFERROR('P&amp;L'!BA10/HEADCOUNT!AZ45,0)</f>
        <v/>
      </c>
      <c r="G33" s="376">
        <f>IFERROR('P&amp;L'!BN10/HEADCOUNT!BM45,0)</f>
        <v/>
      </c>
    </row>
    <row r="34" ht="15.75" customHeight="1" s="218"/>
    <row r="35" ht="15.75" customHeight="1" s="218"/>
    <row r="36" ht="15.75" customHeight="1" s="218"/>
    <row r="37" ht="15.75" customHeight="1" s="218"/>
    <row r="38" ht="15.75" customHeight="1" s="218"/>
    <row r="39" ht="15.75" customHeight="1" s="218"/>
    <row r="40" ht="15.75" customHeight="1" s="218"/>
    <row r="41" ht="15.75" customHeight="1" s="218"/>
    <row r="42" ht="15.75" customHeight="1" s="218"/>
    <row r="43" ht="15.75" customHeight="1" s="218"/>
    <row r="44" ht="15.75" customHeight="1" s="218"/>
    <row r="45" ht="15.75" customHeight="1" s="218"/>
    <row r="46" ht="15.75" customHeight="1" s="218"/>
    <row r="47" ht="15.75" customHeight="1" s="218"/>
    <row r="48" ht="15.75" customHeight="1" s="218"/>
    <row r="49" ht="15.75" customHeight="1" s="218"/>
    <row r="50" ht="15.75" customHeight="1" s="218"/>
    <row r="51" ht="15.75" customHeight="1" s="218"/>
    <row r="52" ht="15.75" customHeight="1" s="218"/>
    <row r="53" ht="15.75" customHeight="1" s="218"/>
    <row r="54" ht="15.75" customHeight="1" s="218"/>
    <row r="55" ht="15.75" customHeight="1" s="218"/>
    <row r="56" ht="15.75" customHeight="1" s="218"/>
    <row r="57" ht="15.75" customHeight="1" s="218"/>
    <row r="58" ht="15.75" customHeight="1" s="218"/>
    <row r="59" ht="15.75" customHeight="1" s="218"/>
    <row r="60" ht="15.75" customHeight="1" s="218"/>
    <row r="61" ht="15.75" customHeight="1" s="218"/>
    <row r="62" ht="15.75" customHeight="1" s="218"/>
    <row r="63" ht="15.75" customHeight="1" s="218"/>
    <row r="64" ht="15.75" customHeight="1" s="218"/>
    <row r="65" ht="15.75" customHeight="1" s="218"/>
    <row r="66" ht="15.75" customHeight="1" s="218"/>
    <row r="67" ht="15.75" customHeight="1" s="218"/>
    <row r="68" ht="15.75" customHeight="1" s="218"/>
    <row r="69" ht="15.75" customHeight="1" s="218"/>
    <row r="70" ht="15.75" customHeight="1" s="218"/>
    <row r="71" ht="15.75" customHeight="1" s="218"/>
    <row r="72" ht="15.75" customHeight="1" s="218"/>
    <row r="73" ht="15.75" customHeight="1" s="218"/>
    <row r="74" ht="15.75" customHeight="1" s="218"/>
    <row r="75" ht="15.75" customHeight="1" s="218"/>
    <row r="76" ht="15.75" customHeight="1" s="218"/>
    <row r="77" ht="15.75" customHeight="1" s="218"/>
    <row r="78" ht="15.75" customHeight="1" s="218"/>
    <row r="79" ht="15.75" customHeight="1" s="218"/>
    <row r="80" ht="15.75" customHeight="1" s="218"/>
    <row r="81" ht="15.75" customHeight="1" s="218"/>
    <row r="82" ht="15.75" customHeight="1" s="218"/>
    <row r="83" ht="15.75" customHeight="1" s="218"/>
    <row r="84" ht="15.75" customHeight="1" s="218"/>
    <row r="85" ht="15.75" customHeight="1" s="218"/>
    <row r="86" ht="15.75" customHeight="1" s="218"/>
    <row r="87" ht="15.75" customHeight="1" s="218"/>
    <row r="88" ht="15.75" customHeight="1" s="218"/>
    <row r="89" ht="15.75" customHeight="1" s="218"/>
    <row r="90" ht="15.75" customHeight="1" s="218"/>
    <row r="91" ht="15.75" customHeight="1" s="218"/>
    <row r="92" ht="15.75" customHeight="1" s="218"/>
    <row r="93" ht="15.75" customHeight="1" s="218"/>
    <row r="94" ht="15.75" customHeight="1" s="218"/>
    <row r="95" ht="15.75" customHeight="1" s="218"/>
    <row r="96" ht="15.75" customHeight="1" s="218"/>
    <row r="97" ht="15.75" customHeight="1" s="218"/>
    <row r="98" ht="15.75" customHeight="1" s="218"/>
    <row r="99" ht="15.75" customHeight="1" s="218"/>
    <row r="100" ht="15.75" customHeight="1" s="218"/>
    <row r="101" ht="15.75" customHeight="1" s="218"/>
    <row r="102" ht="15.75" customHeight="1" s="218"/>
    <row r="103" ht="15.75" customHeight="1" s="218"/>
    <row r="104" ht="15.75" customHeight="1" s="218"/>
    <row r="105" ht="15.75" customHeight="1" s="218"/>
    <row r="106" ht="15.75" customHeight="1" s="218"/>
    <row r="107" ht="15.75" customHeight="1" s="218"/>
    <row r="108" ht="15.75" customHeight="1" s="218"/>
    <row r="109" ht="15.75" customHeight="1" s="218"/>
    <row r="110" ht="15.75" customHeight="1" s="218"/>
    <row r="111" ht="15.75" customHeight="1" s="218"/>
    <row r="112" ht="15.75" customHeight="1" s="218"/>
    <row r="113" ht="15.75" customHeight="1" s="218"/>
    <row r="114" ht="15.75" customHeight="1" s="218"/>
    <row r="115" ht="15.75" customHeight="1" s="218"/>
    <row r="116" ht="15.75" customHeight="1" s="218"/>
    <row r="117" ht="15.75" customHeight="1" s="218"/>
    <row r="118" ht="15.75" customHeight="1" s="218"/>
    <row r="119" ht="15.75" customHeight="1" s="218"/>
    <row r="120" ht="15.75" customHeight="1" s="218"/>
    <row r="121" ht="15.75" customHeight="1" s="218"/>
    <row r="122" ht="15.75" customHeight="1" s="218"/>
    <row r="123" ht="15.75" customHeight="1" s="218"/>
    <row r="124" ht="15.75" customHeight="1" s="218"/>
    <row r="125" ht="15.75" customHeight="1" s="218"/>
    <row r="126" ht="15.75" customHeight="1" s="218"/>
    <row r="127" ht="15.75" customHeight="1" s="218"/>
    <row r="128" ht="15.75" customHeight="1" s="218"/>
    <row r="129" ht="15.75" customHeight="1" s="218"/>
    <row r="130" ht="15.75" customHeight="1" s="218"/>
    <row r="131" ht="15.75" customHeight="1" s="218"/>
    <row r="132" ht="15.75" customHeight="1" s="218"/>
    <row r="133" ht="15.75" customHeight="1" s="218"/>
    <row r="134" ht="15.75" customHeight="1" s="218"/>
    <row r="135" ht="15.75" customHeight="1" s="218"/>
    <row r="136" ht="15.75" customHeight="1" s="218"/>
    <row r="137" ht="15.75" customHeight="1" s="218"/>
    <row r="138" ht="15.75" customHeight="1" s="218"/>
    <row r="139" ht="15.75" customHeight="1" s="218"/>
    <row r="140" ht="15.75" customHeight="1" s="218"/>
    <row r="141" ht="15.75" customHeight="1" s="218"/>
    <row r="142" ht="15.75" customHeight="1" s="218"/>
    <row r="143" ht="15.75" customHeight="1" s="218"/>
    <row r="144" ht="15.75" customHeight="1" s="218"/>
    <row r="145" ht="15.75" customHeight="1" s="218"/>
    <row r="146" ht="15.75" customHeight="1" s="218"/>
    <row r="147" ht="15.75" customHeight="1" s="218"/>
    <row r="148" ht="15.75" customHeight="1" s="218"/>
    <row r="149" ht="15.75" customHeight="1" s="218"/>
    <row r="150" ht="15.75" customHeight="1" s="218"/>
    <row r="151" ht="15.75" customHeight="1" s="218"/>
    <row r="152" ht="15.75" customHeight="1" s="218"/>
    <row r="153" ht="15.75" customHeight="1" s="218"/>
    <row r="154" ht="15.75" customHeight="1" s="218"/>
    <row r="155" ht="15.75" customHeight="1" s="218"/>
    <row r="156" ht="15.75" customHeight="1" s="218"/>
    <row r="157" ht="15.75" customHeight="1" s="218"/>
    <row r="158" ht="15.75" customHeight="1" s="218"/>
    <row r="159" ht="15.75" customHeight="1" s="218"/>
    <row r="160" ht="15.75" customHeight="1" s="218"/>
    <row r="161" ht="15.75" customHeight="1" s="218"/>
    <row r="162" ht="15.75" customHeight="1" s="218"/>
    <row r="163" ht="15.75" customHeight="1" s="218"/>
    <row r="164" ht="15.75" customHeight="1" s="218"/>
    <row r="165" ht="15.75" customHeight="1" s="218"/>
    <row r="166" ht="15.75" customHeight="1" s="218"/>
    <row r="167" ht="15.75" customHeight="1" s="218"/>
    <row r="168" ht="15.75" customHeight="1" s="218"/>
    <row r="169" ht="15.75" customHeight="1" s="218"/>
    <row r="170" ht="15.75" customHeight="1" s="218"/>
    <row r="171" ht="15.75" customHeight="1" s="218"/>
    <row r="172" ht="15.75" customHeight="1" s="218"/>
    <row r="173" ht="15.75" customHeight="1" s="218"/>
    <row r="174" ht="15.75" customHeight="1" s="218"/>
    <row r="175" ht="15.75" customHeight="1" s="218"/>
    <row r="176" ht="15.75" customHeight="1" s="218"/>
    <row r="177" ht="15.75" customHeight="1" s="218"/>
    <row r="178" ht="15.75" customHeight="1" s="218"/>
    <row r="179" ht="15.75" customHeight="1" s="218"/>
    <row r="180" ht="15.75" customHeight="1" s="218"/>
    <row r="181" ht="15.75" customHeight="1" s="218"/>
    <row r="182" ht="15.75" customHeight="1" s="218"/>
    <row r="183" ht="15.75" customHeight="1" s="218"/>
    <row r="184" ht="15.75" customHeight="1" s="218"/>
    <row r="185" ht="15.75" customHeight="1" s="218"/>
    <row r="186" ht="15.75" customHeight="1" s="218"/>
    <row r="187" ht="15.75" customHeight="1" s="218"/>
    <row r="188" ht="15.75" customHeight="1" s="218"/>
    <row r="189" ht="15.75" customHeight="1" s="218"/>
    <row r="190" ht="15.75" customHeight="1" s="218"/>
    <row r="191" ht="15.75" customHeight="1" s="218"/>
    <row r="192" ht="15.75" customHeight="1" s="218"/>
    <row r="193" ht="15.75" customHeight="1" s="218"/>
    <row r="194" ht="15.75" customHeight="1" s="218"/>
    <row r="195" ht="15.75" customHeight="1" s="218"/>
    <row r="196" ht="15.75" customHeight="1" s="218"/>
    <row r="197" ht="15.75" customHeight="1" s="218"/>
    <row r="198" ht="15.75" customHeight="1" s="218"/>
    <row r="199" ht="15.75" customHeight="1" s="218"/>
    <row r="200" ht="15.75" customHeight="1" s="218"/>
    <row r="201" ht="15.75" customHeight="1" s="218"/>
    <row r="202" ht="15.75" customHeight="1" s="218"/>
    <row r="203" ht="15.75" customHeight="1" s="218"/>
    <row r="204" ht="15.75" customHeight="1" s="218"/>
    <row r="205" ht="15.75" customHeight="1" s="218"/>
    <row r="206" ht="15.75" customHeight="1" s="218"/>
    <row r="207" ht="15.75" customHeight="1" s="218"/>
    <row r="208" ht="15.75" customHeight="1" s="218"/>
    <row r="209" ht="15.75" customHeight="1" s="218"/>
    <row r="210" ht="15.75" customHeight="1" s="218"/>
    <row r="211" ht="15.75" customHeight="1" s="218"/>
    <row r="212" ht="15.75" customHeight="1" s="218"/>
    <row r="213" ht="15.75" customHeight="1" s="218"/>
    <row r="214" ht="15.75" customHeight="1" s="218"/>
    <row r="215" ht="15.75" customHeight="1" s="218"/>
    <row r="216" ht="15.75" customHeight="1" s="218"/>
    <row r="217" ht="15.75" customHeight="1" s="218"/>
    <row r="218" ht="15.75" customHeight="1" s="218"/>
    <row r="219" ht="15.75" customHeight="1" s="218"/>
    <row r="220" ht="15.75" customHeight="1" s="218"/>
    <row r="221" ht="15.75" customHeight="1" s="218"/>
    <row r="222" ht="15.75" customHeight="1" s="218"/>
    <row r="223" ht="15.75" customHeight="1" s="218"/>
    <row r="224" ht="15.75" customHeight="1" s="218"/>
    <row r="225" ht="15.75" customHeight="1" s="218"/>
    <row r="226" ht="15.75" customHeight="1" s="218"/>
    <row r="227" ht="15.75" customHeight="1" s="218"/>
    <row r="228" ht="15.75" customHeight="1" s="218"/>
    <row r="229" ht="15.75" customHeight="1" s="218"/>
    <row r="230" ht="15.75" customHeight="1" s="218"/>
    <row r="231" ht="15.75" customHeight="1" s="218"/>
    <row r="232" ht="15.75" customHeight="1" s="218"/>
    <row r="233" ht="15.75" customHeight="1" s="218"/>
    <row r="234" ht="15.75" customHeight="1" s="218"/>
    <row r="235" ht="15.75" customHeight="1" s="218"/>
    <row r="236" ht="15.75" customHeight="1" s="218"/>
    <row r="237" ht="15.75" customHeight="1" s="218"/>
    <row r="238" ht="15.75" customHeight="1" s="218"/>
    <row r="239" ht="15.75" customHeight="1" s="218"/>
    <row r="240" ht="15.75" customHeight="1" s="218"/>
    <row r="241" ht="15.75" customHeight="1" s="218"/>
    <row r="242" ht="15.75" customHeight="1" s="218"/>
    <row r="243" ht="15.75" customHeight="1" s="218"/>
    <row r="244" ht="15.75" customHeight="1" s="218"/>
    <row r="245" ht="15.75" customHeight="1" s="218"/>
    <row r="246" ht="15.75" customHeight="1" s="218"/>
    <row r="247" ht="15.75" customHeight="1" s="218"/>
    <row r="248" ht="15.75" customHeight="1" s="218"/>
    <row r="249" ht="15.75" customHeight="1" s="218"/>
    <row r="250" ht="15.75" customHeight="1" s="218"/>
    <row r="251" ht="15.75" customHeight="1" s="218"/>
    <row r="252" ht="15.75" customHeight="1" s="218"/>
    <row r="253" ht="15.75" customHeight="1" s="218"/>
    <row r="254" ht="15.75" customHeight="1" s="218"/>
    <row r="255" ht="15.75" customHeight="1" s="218"/>
    <row r="256" ht="15.75" customHeight="1" s="218"/>
    <row r="257" ht="15.75" customHeight="1" s="218"/>
    <row r="258" ht="15.75" customHeight="1" s="218"/>
    <row r="259" ht="15.75" customHeight="1" s="218"/>
    <row r="260" ht="15.75" customHeight="1" s="218"/>
    <row r="261" ht="15.75" customHeight="1" s="218"/>
    <row r="262" ht="15.75" customHeight="1" s="218"/>
    <row r="263" ht="15.75" customHeight="1" s="218"/>
    <row r="264" ht="15.75" customHeight="1" s="218"/>
    <row r="265" ht="15.75" customHeight="1" s="218"/>
    <row r="266" ht="15.75" customHeight="1" s="218"/>
    <row r="267" ht="15.75" customHeight="1" s="218"/>
    <row r="268" ht="15.75" customHeight="1" s="218"/>
    <row r="269" ht="15.75" customHeight="1" s="218"/>
    <row r="270" ht="15.75" customHeight="1" s="218"/>
    <row r="271" ht="15.75" customHeight="1" s="218"/>
    <row r="272" ht="15.75" customHeight="1" s="218"/>
    <row r="273" ht="15.75" customHeight="1" s="218"/>
    <row r="274" ht="15.75" customHeight="1" s="218"/>
    <row r="275" ht="15.75" customHeight="1" s="218"/>
    <row r="276" ht="15.75" customHeight="1" s="218"/>
    <row r="277" ht="15.75" customHeight="1" s="218"/>
    <row r="278" ht="15.75" customHeight="1" s="218"/>
    <row r="279" ht="15.75" customHeight="1" s="218"/>
    <row r="280" ht="15.75" customHeight="1" s="218"/>
    <row r="281" ht="15.75" customHeight="1" s="218"/>
    <row r="282" ht="15.75" customHeight="1" s="218"/>
    <row r="283" ht="15.75" customHeight="1" s="218"/>
    <row r="284" ht="15.75" customHeight="1" s="218"/>
    <row r="285" ht="15.75" customHeight="1" s="218"/>
    <row r="286" ht="15.75" customHeight="1" s="218"/>
    <row r="287" ht="15.75" customHeight="1" s="218"/>
    <row r="288" ht="15.75" customHeight="1" s="218"/>
    <row r="289" ht="15.75" customHeight="1" s="218"/>
    <row r="290" ht="15.75" customHeight="1" s="218"/>
    <row r="291" ht="15.75" customHeight="1" s="218"/>
    <row r="292" ht="15.75" customHeight="1" s="218"/>
    <row r="293" ht="15.75" customHeight="1" s="218"/>
    <row r="294" ht="15.75" customHeight="1" s="218"/>
    <row r="295" ht="15.75" customHeight="1" s="218"/>
    <row r="296" ht="15.75" customHeight="1" s="218"/>
    <row r="297" ht="15.75" customHeight="1" s="218"/>
    <row r="298" ht="15.75" customHeight="1" s="218"/>
    <row r="299" ht="15.75" customHeight="1" s="218"/>
    <row r="300" ht="15.75" customHeight="1" s="218"/>
    <row r="301" ht="15.75" customHeight="1" s="218"/>
    <row r="302" ht="15.75" customHeight="1" s="218"/>
    <row r="303" ht="15.75" customHeight="1" s="218"/>
    <row r="304" ht="15.75" customHeight="1" s="218"/>
    <row r="305" ht="15.75" customHeight="1" s="218"/>
    <row r="306" ht="15.75" customHeight="1" s="218"/>
    <row r="307" ht="15.75" customHeight="1" s="218"/>
    <row r="308" ht="15.75" customHeight="1" s="218"/>
    <row r="309" ht="15.75" customHeight="1" s="218"/>
    <row r="310" ht="15.75" customHeight="1" s="218"/>
    <row r="311" ht="15.75" customHeight="1" s="218"/>
    <row r="312" ht="15.75" customHeight="1" s="218"/>
    <row r="313" ht="15.75" customHeight="1" s="218"/>
    <row r="314" ht="15.75" customHeight="1" s="218"/>
    <row r="315" ht="15.75" customHeight="1" s="218"/>
    <row r="316" ht="15.75" customHeight="1" s="218"/>
    <row r="317" ht="15.75" customHeight="1" s="218"/>
    <row r="318" ht="15.75" customHeight="1" s="218"/>
    <row r="319" ht="15.75" customHeight="1" s="218"/>
    <row r="320" ht="15.75" customHeight="1" s="218"/>
    <row r="321" ht="15.75" customHeight="1" s="218"/>
    <row r="322" ht="15.75" customHeight="1" s="218"/>
    <row r="323" ht="15.75" customHeight="1" s="218"/>
    <row r="324" ht="15.75" customHeight="1" s="218"/>
    <row r="325" ht="15.75" customHeight="1" s="218"/>
    <row r="326" ht="15.75" customHeight="1" s="218"/>
    <row r="327" ht="15.75" customHeight="1" s="218"/>
    <row r="328" ht="15.75" customHeight="1" s="218"/>
    <row r="329" ht="15.75" customHeight="1" s="218"/>
    <row r="330" ht="15.75" customHeight="1" s="218"/>
    <row r="331" ht="15.75" customHeight="1" s="218"/>
    <row r="332" ht="15.75" customHeight="1" s="218"/>
    <row r="333" ht="15.75" customHeight="1" s="218"/>
    <row r="334" ht="15.75" customHeight="1" s="218"/>
    <row r="335" ht="15.75" customHeight="1" s="218"/>
    <row r="336" ht="15.75" customHeight="1" s="218"/>
    <row r="337" ht="15.75" customHeight="1" s="218"/>
    <row r="338" ht="15.75" customHeight="1" s="218"/>
    <row r="339" ht="15.75" customHeight="1" s="218"/>
    <row r="340" ht="15.75" customHeight="1" s="218"/>
    <row r="341" ht="15.75" customHeight="1" s="218"/>
    <row r="342" ht="15.75" customHeight="1" s="218"/>
    <row r="343" ht="15.75" customHeight="1" s="218"/>
    <row r="344" ht="15.75" customHeight="1" s="218"/>
    <row r="345" ht="15.75" customHeight="1" s="218"/>
    <row r="346" ht="15.75" customHeight="1" s="218"/>
    <row r="347" ht="15.75" customHeight="1" s="218"/>
    <row r="348" ht="15.75" customHeight="1" s="218"/>
    <row r="349" ht="15.75" customHeight="1" s="218"/>
    <row r="350" ht="15.75" customHeight="1" s="218"/>
    <row r="351" ht="15.75" customHeight="1" s="218"/>
    <row r="352" ht="15.75" customHeight="1" s="218"/>
    <row r="353" ht="15.75" customHeight="1" s="218"/>
    <row r="354" ht="15.75" customHeight="1" s="218"/>
    <row r="355" ht="15.75" customHeight="1" s="218"/>
    <row r="356" ht="15.75" customHeight="1" s="218"/>
    <row r="357" ht="15.75" customHeight="1" s="218"/>
    <row r="358" ht="15.75" customHeight="1" s="218"/>
    <row r="359" ht="15.75" customHeight="1" s="218"/>
    <row r="360" ht="15.75" customHeight="1" s="218"/>
    <row r="361" ht="15.75" customHeight="1" s="218"/>
    <row r="362" ht="15.75" customHeight="1" s="218"/>
    <row r="363" ht="15.75" customHeight="1" s="218"/>
    <row r="364" ht="15.75" customHeight="1" s="218"/>
    <row r="365" ht="15.75" customHeight="1" s="218"/>
    <row r="366" ht="15.75" customHeight="1" s="218"/>
    <row r="367" ht="15.75" customHeight="1" s="218"/>
    <row r="368" ht="15.75" customHeight="1" s="218"/>
    <row r="369" ht="15.75" customHeight="1" s="218"/>
    <row r="370" ht="15.75" customHeight="1" s="218"/>
    <row r="371" ht="15.75" customHeight="1" s="218"/>
    <row r="372" ht="15.75" customHeight="1" s="218"/>
    <row r="373" ht="15.75" customHeight="1" s="218"/>
    <row r="374" ht="15.75" customHeight="1" s="218"/>
    <row r="375" ht="15.75" customHeight="1" s="218"/>
    <row r="376" ht="15.75" customHeight="1" s="218"/>
    <row r="377" ht="15.75" customHeight="1" s="218"/>
    <row r="378" ht="15.75" customHeight="1" s="218"/>
    <row r="379" ht="15.75" customHeight="1" s="218"/>
    <row r="380" ht="15.75" customHeight="1" s="218"/>
    <row r="381" ht="15.75" customHeight="1" s="218"/>
    <row r="382" ht="15.75" customHeight="1" s="218"/>
    <row r="383" ht="15.75" customHeight="1" s="218"/>
    <row r="384" ht="15.75" customHeight="1" s="218"/>
    <row r="385" ht="15.75" customHeight="1" s="218"/>
    <row r="386" ht="15.75" customHeight="1" s="218"/>
    <row r="387" ht="15.75" customHeight="1" s="218"/>
    <row r="388" ht="15.75" customHeight="1" s="218"/>
    <row r="389" ht="15.75" customHeight="1" s="218"/>
    <row r="390" ht="15.75" customHeight="1" s="218"/>
    <row r="391" ht="15.75" customHeight="1" s="218"/>
    <row r="392" ht="15.75" customHeight="1" s="218"/>
    <row r="393" ht="15.75" customHeight="1" s="218"/>
    <row r="394" ht="15.75" customHeight="1" s="218"/>
    <row r="395" ht="15.75" customHeight="1" s="218"/>
    <row r="396" ht="15.75" customHeight="1" s="218"/>
    <row r="397" ht="15.75" customHeight="1" s="218"/>
    <row r="398" ht="15.75" customHeight="1" s="218"/>
    <row r="399" ht="15.75" customHeight="1" s="218"/>
    <row r="400" ht="15.75" customHeight="1" s="218"/>
    <row r="401" ht="15.75" customHeight="1" s="218"/>
    <row r="402" ht="15.75" customHeight="1" s="218"/>
    <row r="403" ht="15.75" customHeight="1" s="218"/>
    <row r="404" ht="15.75" customHeight="1" s="218"/>
    <row r="405" ht="15.75" customHeight="1" s="218"/>
    <row r="406" ht="15.75" customHeight="1" s="218"/>
    <row r="407" ht="15.75" customHeight="1" s="218"/>
    <row r="408" ht="15.75" customHeight="1" s="218"/>
    <row r="409" ht="15.75" customHeight="1" s="218"/>
    <row r="410" ht="15.75" customHeight="1" s="218"/>
    <row r="411" ht="15.75" customHeight="1" s="218"/>
    <row r="412" ht="15.75" customHeight="1" s="218"/>
    <row r="413" ht="15.75" customHeight="1" s="218"/>
    <row r="414" ht="15.75" customHeight="1" s="218"/>
    <row r="415" ht="15.75" customHeight="1" s="218"/>
    <row r="416" ht="15.75" customHeight="1" s="218"/>
    <row r="417" ht="15.75" customHeight="1" s="218"/>
    <row r="418" ht="15.75" customHeight="1" s="218"/>
    <row r="419" ht="15.75" customHeight="1" s="218"/>
    <row r="420" ht="15.75" customHeight="1" s="218"/>
    <row r="421" ht="15.75" customHeight="1" s="218"/>
    <row r="422" ht="15.75" customHeight="1" s="218"/>
    <row r="423" ht="15.75" customHeight="1" s="218"/>
    <row r="424" ht="15.75" customHeight="1" s="218"/>
    <row r="425" ht="15.75" customHeight="1" s="218"/>
    <row r="426" ht="15.75" customHeight="1" s="218"/>
    <row r="427" ht="15.75" customHeight="1" s="218"/>
    <row r="428" ht="15.75" customHeight="1" s="218"/>
    <row r="429" ht="15.75" customHeight="1" s="218"/>
    <row r="430" ht="15.75" customHeight="1" s="218"/>
    <row r="431" ht="15.75" customHeight="1" s="218"/>
    <row r="432" ht="15.75" customHeight="1" s="218"/>
    <row r="433" ht="15.75" customHeight="1" s="218"/>
    <row r="434" ht="15.75" customHeight="1" s="218"/>
    <row r="435" ht="15.75" customHeight="1" s="218"/>
    <row r="436" ht="15.75" customHeight="1" s="218"/>
    <row r="437" ht="15.75" customHeight="1" s="218"/>
    <row r="438" ht="15.75" customHeight="1" s="218"/>
    <row r="439" ht="15.75" customHeight="1" s="218"/>
    <row r="440" ht="15.75" customHeight="1" s="218"/>
    <row r="441" ht="15.75" customHeight="1" s="218"/>
    <row r="442" ht="15.75" customHeight="1" s="218"/>
    <row r="443" ht="15.75" customHeight="1" s="218"/>
    <row r="444" ht="15.75" customHeight="1" s="218"/>
    <row r="445" ht="15.75" customHeight="1" s="218"/>
    <row r="446" ht="15.75" customHeight="1" s="218"/>
    <row r="447" ht="15.75" customHeight="1" s="218"/>
    <row r="448" ht="15.75" customHeight="1" s="218"/>
    <row r="449" ht="15.75" customHeight="1" s="218"/>
    <row r="450" ht="15.75" customHeight="1" s="218"/>
    <row r="451" ht="15.75" customHeight="1" s="218"/>
    <row r="452" ht="15.75" customHeight="1" s="218"/>
    <row r="453" ht="15.75" customHeight="1" s="218"/>
    <row r="454" ht="15.75" customHeight="1" s="218"/>
    <row r="455" ht="15.75" customHeight="1" s="218"/>
    <row r="456" ht="15.75" customHeight="1" s="218"/>
    <row r="457" ht="15.75" customHeight="1" s="218"/>
    <row r="458" ht="15.75" customHeight="1" s="218"/>
    <row r="459" ht="15.75" customHeight="1" s="218"/>
    <row r="460" ht="15.75" customHeight="1" s="218"/>
    <row r="461" ht="15.75" customHeight="1" s="218"/>
    <row r="462" ht="15.75" customHeight="1" s="218"/>
    <row r="463" ht="15.75" customHeight="1" s="218"/>
    <row r="464" ht="15.75" customHeight="1" s="218"/>
    <row r="465" ht="15.75" customHeight="1" s="218"/>
    <row r="466" ht="15.75" customHeight="1" s="218"/>
    <row r="467" ht="15.75" customHeight="1" s="218"/>
    <row r="468" ht="15.75" customHeight="1" s="218"/>
    <row r="469" ht="15.75" customHeight="1" s="218"/>
    <row r="470" ht="15.75" customHeight="1" s="218"/>
    <row r="471" ht="15.75" customHeight="1" s="218"/>
    <row r="472" ht="15.75" customHeight="1" s="218"/>
    <row r="473" ht="15.75" customHeight="1" s="218"/>
    <row r="474" ht="15.75" customHeight="1" s="218"/>
    <row r="475" ht="15.75" customHeight="1" s="218"/>
    <row r="476" ht="15.75" customHeight="1" s="218"/>
    <row r="477" ht="15.75" customHeight="1" s="218"/>
    <row r="478" ht="15.75" customHeight="1" s="218"/>
    <row r="479" ht="15.75" customHeight="1" s="218"/>
    <row r="480" ht="15.75" customHeight="1" s="218"/>
    <row r="481" ht="15.75" customHeight="1" s="218"/>
    <row r="482" ht="15.75" customHeight="1" s="218"/>
    <row r="483" ht="15.75" customHeight="1" s="218"/>
    <row r="484" ht="15.75" customHeight="1" s="218"/>
    <row r="485" ht="15.75" customHeight="1" s="218"/>
    <row r="486" ht="15.75" customHeight="1" s="218"/>
    <row r="487" ht="15.75" customHeight="1" s="218"/>
    <row r="488" ht="15.75" customHeight="1" s="218"/>
    <row r="489" ht="15.75" customHeight="1" s="218"/>
    <row r="490" ht="15.75" customHeight="1" s="218"/>
    <row r="491" ht="15.75" customHeight="1" s="218"/>
    <row r="492" ht="15.75" customHeight="1" s="218"/>
    <row r="493" ht="15.75" customHeight="1" s="218"/>
    <row r="494" ht="15.75" customHeight="1" s="218"/>
    <row r="495" ht="15.75" customHeight="1" s="218"/>
    <row r="496" ht="15.75" customHeight="1" s="218"/>
    <row r="497" ht="15.75" customHeight="1" s="218"/>
    <row r="498" ht="15.75" customHeight="1" s="218"/>
    <row r="499" ht="15.75" customHeight="1" s="218"/>
    <row r="500" ht="15.75" customHeight="1" s="218"/>
    <row r="501" ht="15.75" customHeight="1" s="218"/>
    <row r="502" ht="15.75" customHeight="1" s="218"/>
    <row r="503" ht="15.75" customHeight="1" s="218"/>
    <row r="504" ht="15.75" customHeight="1" s="218"/>
    <row r="505" ht="15.75" customHeight="1" s="218"/>
    <row r="506" ht="15.75" customHeight="1" s="218"/>
    <row r="507" ht="15.75" customHeight="1" s="218"/>
    <row r="508" ht="15.75" customHeight="1" s="218"/>
    <row r="509" ht="15.75" customHeight="1" s="218"/>
    <row r="510" ht="15.75" customHeight="1" s="218"/>
    <row r="511" ht="15.75" customHeight="1" s="218"/>
    <row r="512" ht="15.75" customHeight="1" s="218"/>
    <row r="513" ht="15.75" customHeight="1" s="218"/>
    <row r="514" ht="15.75" customHeight="1" s="218"/>
    <row r="515" ht="15.75" customHeight="1" s="218"/>
    <row r="516" ht="15.75" customHeight="1" s="218"/>
    <row r="517" ht="15.75" customHeight="1" s="218"/>
    <row r="518" ht="15.75" customHeight="1" s="218"/>
    <row r="519" ht="15.75" customHeight="1" s="218"/>
    <row r="520" ht="15.75" customHeight="1" s="218"/>
    <row r="521" ht="15.75" customHeight="1" s="218"/>
    <row r="522" ht="15.75" customHeight="1" s="218"/>
    <row r="523" ht="15.75" customHeight="1" s="218"/>
    <row r="524" ht="15.75" customHeight="1" s="218"/>
    <row r="525" ht="15.75" customHeight="1" s="218"/>
    <row r="526" ht="15.75" customHeight="1" s="218"/>
    <row r="527" ht="15.75" customHeight="1" s="218"/>
    <row r="528" ht="15.75" customHeight="1" s="218"/>
    <row r="529" ht="15.75" customHeight="1" s="218"/>
    <row r="530" ht="15.75" customHeight="1" s="218"/>
    <row r="531" ht="15.75" customHeight="1" s="218"/>
    <row r="532" ht="15.75" customHeight="1" s="218"/>
    <row r="533" ht="15.75" customHeight="1" s="218"/>
    <row r="534" ht="15.75" customHeight="1" s="218"/>
    <row r="535" ht="15.75" customHeight="1" s="218"/>
    <row r="536" ht="15.75" customHeight="1" s="218"/>
    <row r="537" ht="15.75" customHeight="1" s="218"/>
    <row r="538" ht="15.75" customHeight="1" s="218"/>
    <row r="539" ht="15.75" customHeight="1" s="218"/>
    <row r="540" ht="15.75" customHeight="1" s="218"/>
    <row r="541" ht="15.75" customHeight="1" s="218"/>
    <row r="542" ht="15.75" customHeight="1" s="218"/>
    <row r="543" ht="15.75" customHeight="1" s="218"/>
    <row r="544" ht="15.75" customHeight="1" s="218"/>
    <row r="545" ht="15.75" customHeight="1" s="218"/>
    <row r="546" ht="15.75" customHeight="1" s="218"/>
    <row r="547" ht="15.75" customHeight="1" s="218"/>
    <row r="548" ht="15.75" customHeight="1" s="218"/>
    <row r="549" ht="15.75" customHeight="1" s="218"/>
    <row r="550" ht="15.75" customHeight="1" s="218"/>
    <row r="551" ht="15.75" customHeight="1" s="218"/>
    <row r="552" ht="15.75" customHeight="1" s="218"/>
    <row r="553" ht="15.75" customHeight="1" s="218"/>
    <row r="554" ht="15.75" customHeight="1" s="218"/>
    <row r="555" ht="15.75" customHeight="1" s="218"/>
    <row r="556" ht="15.75" customHeight="1" s="218"/>
    <row r="557" ht="15.75" customHeight="1" s="218"/>
    <row r="558" ht="15.75" customHeight="1" s="218"/>
    <row r="559" ht="15.75" customHeight="1" s="218"/>
    <row r="560" ht="15.75" customHeight="1" s="218"/>
    <row r="561" ht="15.75" customHeight="1" s="218"/>
    <row r="562" ht="15.75" customHeight="1" s="218"/>
    <row r="563" ht="15.75" customHeight="1" s="218"/>
    <row r="564" ht="15.75" customHeight="1" s="218"/>
    <row r="565" ht="15.75" customHeight="1" s="218"/>
    <row r="566" ht="15.75" customHeight="1" s="218"/>
    <row r="567" ht="15.75" customHeight="1" s="218"/>
    <row r="568" ht="15.75" customHeight="1" s="218"/>
    <row r="569" ht="15.75" customHeight="1" s="218"/>
    <row r="570" ht="15.75" customHeight="1" s="218"/>
    <row r="571" ht="15.75" customHeight="1" s="218"/>
    <row r="572" ht="15.75" customHeight="1" s="218"/>
    <row r="573" ht="15.75" customHeight="1" s="218"/>
    <row r="574" ht="15.75" customHeight="1" s="218"/>
    <row r="575" ht="15.75" customHeight="1" s="218"/>
    <row r="576" ht="15.75" customHeight="1" s="218"/>
    <row r="577" ht="15.75" customHeight="1" s="218"/>
    <row r="578" ht="15.75" customHeight="1" s="218"/>
    <row r="579" ht="15.75" customHeight="1" s="218"/>
    <row r="580" ht="15.75" customHeight="1" s="218"/>
    <row r="581" ht="15.75" customHeight="1" s="218"/>
    <row r="582" ht="15.75" customHeight="1" s="218"/>
    <row r="583" ht="15.75" customHeight="1" s="218"/>
    <row r="584" ht="15.75" customHeight="1" s="218"/>
    <row r="585" ht="15.75" customHeight="1" s="218"/>
    <row r="586" ht="15.75" customHeight="1" s="218"/>
    <row r="587" ht="15.75" customHeight="1" s="218"/>
    <row r="588" ht="15.75" customHeight="1" s="218"/>
    <row r="589" ht="15.75" customHeight="1" s="218"/>
    <row r="590" ht="15.75" customHeight="1" s="218"/>
    <row r="591" ht="15.75" customHeight="1" s="218"/>
    <row r="592" ht="15.75" customHeight="1" s="218"/>
    <row r="593" ht="15.75" customHeight="1" s="218"/>
    <row r="594" ht="15.75" customHeight="1" s="218"/>
    <row r="595" ht="15.75" customHeight="1" s="218"/>
    <row r="596" ht="15.75" customHeight="1" s="218"/>
    <row r="597" ht="15.75" customHeight="1" s="218"/>
    <row r="598" ht="15.75" customHeight="1" s="218"/>
    <row r="599" ht="15.75" customHeight="1" s="218"/>
    <row r="600" ht="15.75" customHeight="1" s="218"/>
    <row r="601" ht="15.75" customHeight="1" s="218"/>
    <row r="602" ht="15.75" customHeight="1" s="218"/>
    <row r="603" ht="15.75" customHeight="1" s="218"/>
    <row r="604" ht="15.75" customHeight="1" s="218"/>
    <row r="605" ht="15.75" customHeight="1" s="218"/>
    <row r="606" ht="15.75" customHeight="1" s="218"/>
    <row r="607" ht="15.75" customHeight="1" s="218"/>
    <row r="608" ht="15.75" customHeight="1" s="218"/>
    <row r="609" ht="15.75" customHeight="1" s="218"/>
    <row r="610" ht="15.75" customHeight="1" s="218"/>
    <row r="611" ht="15.75" customHeight="1" s="218"/>
    <row r="612" ht="15.75" customHeight="1" s="218"/>
    <row r="613" ht="15.75" customHeight="1" s="218"/>
    <row r="614" ht="15.75" customHeight="1" s="218"/>
    <row r="615" ht="15.75" customHeight="1" s="218"/>
    <row r="616" ht="15.75" customHeight="1" s="218"/>
    <row r="617" ht="15.75" customHeight="1" s="218"/>
    <row r="618" ht="15.75" customHeight="1" s="218"/>
    <row r="619" ht="15.75" customHeight="1" s="218"/>
    <row r="620" ht="15.75" customHeight="1" s="218"/>
    <row r="621" ht="15.75" customHeight="1" s="218"/>
    <row r="622" ht="15.75" customHeight="1" s="218"/>
    <row r="623" ht="15.75" customHeight="1" s="218"/>
    <row r="624" ht="15.75" customHeight="1" s="218"/>
    <row r="625" ht="15.75" customHeight="1" s="218"/>
    <row r="626" ht="15.75" customHeight="1" s="218"/>
    <row r="627" ht="15.75" customHeight="1" s="218"/>
    <row r="628" ht="15.75" customHeight="1" s="218"/>
    <row r="629" ht="15.75" customHeight="1" s="218"/>
    <row r="630" ht="15.75" customHeight="1" s="218"/>
    <row r="631" ht="15.75" customHeight="1" s="218"/>
    <row r="632" ht="15.75" customHeight="1" s="218"/>
    <row r="633" ht="15.75" customHeight="1" s="218"/>
    <row r="634" ht="15.75" customHeight="1" s="218"/>
    <row r="635" ht="15.75" customHeight="1" s="218"/>
    <row r="636" ht="15.75" customHeight="1" s="218"/>
    <row r="637" ht="15.75" customHeight="1" s="218"/>
    <row r="638" ht="15.75" customHeight="1" s="218"/>
    <row r="639" ht="15.75" customHeight="1" s="218"/>
    <row r="640" ht="15.75" customHeight="1" s="218"/>
    <row r="641" ht="15.75" customHeight="1" s="218"/>
    <row r="642" ht="15.75" customHeight="1" s="218"/>
    <row r="643" ht="15.75" customHeight="1" s="218"/>
    <row r="644" ht="15.75" customHeight="1" s="218"/>
    <row r="645" ht="15.75" customHeight="1" s="218"/>
    <row r="646" ht="15.75" customHeight="1" s="218"/>
    <row r="647" ht="15.75" customHeight="1" s="218"/>
    <row r="648" ht="15.75" customHeight="1" s="218"/>
    <row r="649" ht="15.75" customHeight="1" s="218"/>
    <row r="650" ht="15.75" customHeight="1" s="218"/>
    <row r="651" ht="15.75" customHeight="1" s="218"/>
    <row r="652" ht="15.75" customHeight="1" s="218"/>
    <row r="653" ht="15.75" customHeight="1" s="218"/>
    <row r="654" ht="15.75" customHeight="1" s="218"/>
    <row r="655" ht="15.75" customHeight="1" s="218"/>
    <row r="656" ht="15.75" customHeight="1" s="218"/>
    <row r="657" ht="15.75" customHeight="1" s="218"/>
    <row r="658" ht="15.75" customHeight="1" s="218"/>
    <row r="659" ht="15.75" customHeight="1" s="218"/>
    <row r="660" ht="15.75" customHeight="1" s="218"/>
    <row r="661" ht="15.75" customHeight="1" s="218"/>
    <row r="662" ht="15.75" customHeight="1" s="218"/>
    <row r="663" ht="15.75" customHeight="1" s="218"/>
    <row r="664" ht="15.75" customHeight="1" s="218"/>
    <row r="665" ht="15.75" customHeight="1" s="218"/>
    <row r="666" ht="15.75" customHeight="1" s="218"/>
    <row r="667" ht="15.75" customHeight="1" s="218"/>
    <row r="668" ht="15.75" customHeight="1" s="218"/>
    <row r="669" ht="15.75" customHeight="1" s="218"/>
    <row r="670" ht="15.75" customHeight="1" s="218"/>
    <row r="671" ht="15.75" customHeight="1" s="218"/>
    <row r="672" ht="15.75" customHeight="1" s="218"/>
    <row r="673" ht="15.75" customHeight="1" s="218"/>
    <row r="674" ht="15.75" customHeight="1" s="218"/>
    <row r="675" ht="15.75" customHeight="1" s="218"/>
    <row r="676" ht="15.75" customHeight="1" s="218"/>
    <row r="677" ht="15.75" customHeight="1" s="218"/>
    <row r="678" ht="15.75" customHeight="1" s="218"/>
    <row r="679" ht="15.75" customHeight="1" s="218"/>
    <row r="680" ht="15.75" customHeight="1" s="218"/>
    <row r="681" ht="15.75" customHeight="1" s="218"/>
    <row r="682" ht="15.75" customHeight="1" s="218"/>
    <row r="683" ht="15.75" customHeight="1" s="218"/>
    <row r="684" ht="15.75" customHeight="1" s="218"/>
    <row r="685" ht="15.75" customHeight="1" s="218"/>
    <row r="686" ht="15.75" customHeight="1" s="218"/>
    <row r="687" ht="15.75" customHeight="1" s="218"/>
    <row r="688" ht="15.75" customHeight="1" s="218"/>
    <row r="689" ht="15.75" customHeight="1" s="218"/>
    <row r="690" ht="15.75" customHeight="1" s="218"/>
    <row r="691" ht="15.75" customHeight="1" s="218"/>
    <row r="692" ht="15.75" customHeight="1" s="218"/>
    <row r="693" ht="15.75" customHeight="1" s="218"/>
    <row r="694" ht="15.75" customHeight="1" s="218"/>
    <row r="695" ht="15.75" customHeight="1" s="218"/>
    <row r="696" ht="15.75" customHeight="1" s="218"/>
    <row r="697" ht="15.75" customHeight="1" s="218"/>
    <row r="698" ht="15.75" customHeight="1" s="218"/>
    <row r="699" ht="15.75" customHeight="1" s="218"/>
    <row r="700" ht="15.75" customHeight="1" s="218"/>
    <row r="701" ht="15.75" customHeight="1" s="218"/>
    <row r="702" ht="15.75" customHeight="1" s="218"/>
    <row r="703" ht="15.75" customHeight="1" s="218"/>
    <row r="704" ht="15.75" customHeight="1" s="218"/>
    <row r="705" ht="15.75" customHeight="1" s="218"/>
    <row r="706" ht="15.75" customHeight="1" s="218"/>
    <row r="707" ht="15.75" customHeight="1" s="218"/>
    <row r="708" ht="15.75" customHeight="1" s="218"/>
    <row r="709" ht="15.75" customHeight="1" s="218"/>
    <row r="710" ht="15.75" customHeight="1" s="218"/>
    <row r="711" ht="15.75" customHeight="1" s="218"/>
    <row r="712" ht="15.75" customHeight="1" s="218"/>
    <row r="713" ht="15.75" customHeight="1" s="218"/>
    <row r="714" ht="15.75" customHeight="1" s="218"/>
    <row r="715" ht="15.75" customHeight="1" s="218"/>
    <row r="716" ht="15.75" customHeight="1" s="218"/>
    <row r="717" ht="15.75" customHeight="1" s="218"/>
    <row r="718" ht="15.75" customHeight="1" s="218"/>
    <row r="719" ht="15.75" customHeight="1" s="218"/>
    <row r="720" ht="15.75" customHeight="1" s="218"/>
    <row r="721" ht="15.75" customHeight="1" s="218"/>
    <row r="722" ht="15.75" customHeight="1" s="218"/>
    <row r="723" ht="15.75" customHeight="1" s="218"/>
    <row r="724" ht="15.75" customHeight="1" s="218"/>
    <row r="725" ht="15.75" customHeight="1" s="218"/>
    <row r="726" ht="15.75" customHeight="1" s="218"/>
    <row r="727" ht="15.75" customHeight="1" s="218"/>
    <row r="728" ht="15.75" customHeight="1" s="218"/>
    <row r="729" ht="15.75" customHeight="1" s="218"/>
    <row r="730" ht="15.75" customHeight="1" s="218"/>
    <row r="731" ht="15.75" customHeight="1" s="218"/>
    <row r="732" ht="15.75" customHeight="1" s="218"/>
    <row r="733" ht="15.75" customHeight="1" s="218"/>
    <row r="734" ht="15.75" customHeight="1" s="218"/>
    <row r="735" ht="15.75" customHeight="1" s="218"/>
    <row r="736" ht="15.75" customHeight="1" s="218"/>
    <row r="737" ht="15.75" customHeight="1" s="218"/>
    <row r="738" ht="15.75" customHeight="1" s="218"/>
    <row r="739" ht="15.75" customHeight="1" s="218"/>
    <row r="740" ht="15.75" customHeight="1" s="218"/>
    <row r="741" ht="15.75" customHeight="1" s="218"/>
    <row r="742" ht="15.75" customHeight="1" s="218"/>
    <row r="743" ht="15.75" customHeight="1" s="218"/>
    <row r="744" ht="15.75" customHeight="1" s="218"/>
    <row r="745" ht="15.75" customHeight="1" s="218"/>
    <row r="746" ht="15.75" customHeight="1" s="218"/>
    <row r="747" ht="15.75" customHeight="1" s="218"/>
    <row r="748" ht="15.75" customHeight="1" s="218"/>
    <row r="749" ht="15.75" customHeight="1" s="218"/>
    <row r="750" ht="15.75" customHeight="1" s="218"/>
    <row r="751" ht="15.75" customHeight="1" s="218"/>
    <row r="752" ht="15.75" customHeight="1" s="218"/>
    <row r="753" ht="15.75" customHeight="1" s="218"/>
    <row r="754" ht="15.75" customHeight="1" s="218"/>
    <row r="755" ht="15.75" customHeight="1" s="218"/>
    <row r="756" ht="15.75" customHeight="1" s="218"/>
    <row r="757" ht="15.75" customHeight="1" s="218"/>
    <row r="758" ht="15.75" customHeight="1" s="218"/>
    <row r="759" ht="15.75" customHeight="1" s="218"/>
    <row r="760" ht="15.75" customHeight="1" s="218"/>
    <row r="761" ht="15.75" customHeight="1" s="218"/>
    <row r="762" ht="15.75" customHeight="1" s="218"/>
    <row r="763" ht="15.75" customHeight="1" s="218"/>
    <row r="764" ht="15.75" customHeight="1" s="218"/>
    <row r="765" ht="15.75" customHeight="1" s="218"/>
    <row r="766" ht="15.75" customHeight="1" s="218"/>
    <row r="767" ht="15.75" customHeight="1" s="218"/>
    <row r="768" ht="15.75" customHeight="1" s="218"/>
    <row r="769" ht="15.75" customHeight="1" s="218"/>
    <row r="770" ht="15.75" customHeight="1" s="218"/>
    <row r="771" ht="15.75" customHeight="1" s="218"/>
    <row r="772" ht="15.75" customHeight="1" s="218"/>
    <row r="773" ht="15.75" customHeight="1" s="218"/>
    <row r="774" ht="15.75" customHeight="1" s="218"/>
    <row r="775" ht="15.75" customHeight="1" s="218"/>
    <row r="776" ht="15.75" customHeight="1" s="218"/>
    <row r="777" ht="15.75" customHeight="1" s="218"/>
    <row r="778" ht="15.75" customHeight="1" s="218"/>
    <row r="779" ht="15.75" customHeight="1" s="218"/>
    <row r="780" ht="15.75" customHeight="1" s="218"/>
    <row r="781" ht="15.75" customHeight="1" s="218"/>
    <row r="782" ht="15.75" customHeight="1" s="218"/>
    <row r="783" ht="15.75" customHeight="1" s="218"/>
    <row r="784" ht="15.75" customHeight="1" s="218"/>
    <row r="785" ht="15.75" customHeight="1" s="218"/>
    <row r="786" ht="15.75" customHeight="1" s="218"/>
    <row r="787" ht="15.75" customHeight="1" s="218"/>
    <row r="788" ht="15.75" customHeight="1" s="218"/>
    <row r="789" ht="15.75" customHeight="1" s="218"/>
    <row r="790" ht="15.75" customHeight="1" s="218"/>
    <row r="791" ht="15.75" customHeight="1" s="218"/>
    <row r="792" ht="15.75" customHeight="1" s="218"/>
    <row r="793" ht="15.75" customHeight="1" s="218"/>
    <row r="794" ht="15.75" customHeight="1" s="218"/>
    <row r="795" ht="15.75" customHeight="1" s="218"/>
    <row r="796" ht="15.75" customHeight="1" s="218"/>
    <row r="797" ht="15.75" customHeight="1" s="218"/>
    <row r="798" ht="15.75" customHeight="1" s="218"/>
    <row r="799" ht="15.75" customHeight="1" s="218"/>
    <row r="800" ht="15.75" customHeight="1" s="218"/>
    <row r="801" ht="15.75" customHeight="1" s="218"/>
    <row r="802" ht="15.75" customHeight="1" s="218"/>
    <row r="803" ht="15.75" customHeight="1" s="218"/>
    <row r="804" ht="15.75" customHeight="1" s="218"/>
    <row r="805" ht="15.75" customHeight="1" s="218"/>
    <row r="806" ht="15.75" customHeight="1" s="218"/>
    <row r="807" ht="15.75" customHeight="1" s="218"/>
    <row r="808" ht="15.75" customHeight="1" s="218"/>
    <row r="809" ht="15.75" customHeight="1" s="218"/>
    <row r="810" ht="15.75" customHeight="1" s="218"/>
    <row r="811" ht="15.75" customHeight="1" s="218"/>
    <row r="812" ht="15.75" customHeight="1" s="218"/>
    <row r="813" ht="15.75" customHeight="1" s="218"/>
    <row r="814" ht="15.75" customHeight="1" s="218"/>
    <row r="815" ht="15.75" customHeight="1" s="218"/>
    <row r="816" ht="15.75" customHeight="1" s="218"/>
    <row r="817" ht="15.75" customHeight="1" s="218"/>
    <row r="818" ht="15.75" customHeight="1" s="218"/>
    <row r="819" ht="15.75" customHeight="1" s="218"/>
    <row r="820" ht="15.75" customHeight="1" s="218"/>
    <row r="821" ht="15.75" customHeight="1" s="218"/>
    <row r="822" ht="15.75" customHeight="1" s="218"/>
    <row r="823" ht="15.75" customHeight="1" s="218"/>
    <row r="824" ht="15.75" customHeight="1" s="218"/>
    <row r="825" ht="15.75" customHeight="1" s="218"/>
    <row r="826" ht="15.75" customHeight="1" s="218"/>
    <row r="827" ht="15.75" customHeight="1" s="218"/>
    <row r="828" ht="15.75" customHeight="1" s="218"/>
    <row r="829" ht="15.75" customHeight="1" s="218"/>
    <row r="830" ht="15.75" customHeight="1" s="218"/>
    <row r="831" ht="15.75" customHeight="1" s="218"/>
    <row r="832" ht="15.75" customHeight="1" s="218"/>
    <row r="833" ht="15.75" customHeight="1" s="218"/>
    <row r="834" ht="15.75" customHeight="1" s="218"/>
    <row r="835" ht="15.75" customHeight="1" s="218"/>
    <row r="836" ht="15.75" customHeight="1" s="218"/>
    <row r="837" ht="15.75" customHeight="1" s="218"/>
    <row r="838" ht="15.75" customHeight="1" s="218"/>
    <row r="839" ht="15.75" customHeight="1" s="218"/>
    <row r="840" ht="15.75" customHeight="1" s="218"/>
    <row r="841" ht="15.75" customHeight="1" s="218"/>
    <row r="842" ht="15.75" customHeight="1" s="218"/>
    <row r="843" ht="15.75" customHeight="1" s="218"/>
    <row r="844" ht="15.75" customHeight="1" s="218"/>
    <row r="845" ht="15.75" customHeight="1" s="218"/>
    <row r="846" ht="15.75" customHeight="1" s="218"/>
    <row r="847" ht="15.75" customHeight="1" s="218"/>
    <row r="848" ht="15.75" customHeight="1" s="218"/>
    <row r="849" ht="15.75" customHeight="1" s="218"/>
    <row r="850" ht="15.75" customHeight="1" s="218"/>
    <row r="851" ht="15.75" customHeight="1" s="218"/>
    <row r="852" ht="15.75" customHeight="1" s="218"/>
    <row r="853" ht="15.75" customHeight="1" s="218"/>
    <row r="854" ht="15.75" customHeight="1" s="218"/>
    <row r="855" ht="15.75" customHeight="1" s="218"/>
    <row r="856" ht="15.75" customHeight="1" s="218"/>
    <row r="857" ht="15.75" customHeight="1" s="218"/>
    <row r="858" ht="15.75" customHeight="1" s="218"/>
    <row r="859" ht="15.75" customHeight="1" s="218"/>
    <row r="860" ht="15.75" customHeight="1" s="218"/>
    <row r="861" ht="15.75" customHeight="1" s="218"/>
    <row r="862" ht="15.75" customHeight="1" s="218"/>
    <row r="863" ht="15.75" customHeight="1" s="218"/>
    <row r="864" ht="15.75" customHeight="1" s="218"/>
    <row r="865" ht="15.75" customHeight="1" s="218"/>
    <row r="866" ht="15.75" customHeight="1" s="218"/>
    <row r="867" ht="15.75" customHeight="1" s="218"/>
    <row r="868" ht="15.75" customHeight="1" s="218"/>
    <row r="869" ht="15.75" customHeight="1" s="218"/>
    <row r="870" ht="15.75" customHeight="1" s="218"/>
    <row r="871" ht="15.75" customHeight="1" s="218"/>
    <row r="872" ht="15.75" customHeight="1" s="218"/>
    <row r="873" ht="15.75" customHeight="1" s="218"/>
    <row r="874" ht="15.75" customHeight="1" s="218"/>
    <row r="875" ht="15.75" customHeight="1" s="218"/>
    <row r="876" ht="15.75" customHeight="1" s="218"/>
    <row r="877" ht="15.75" customHeight="1" s="218"/>
    <row r="878" ht="15.75" customHeight="1" s="218"/>
    <row r="879" ht="15.75" customHeight="1" s="218"/>
    <row r="880" ht="15.75" customHeight="1" s="218"/>
    <row r="881" ht="15.75" customHeight="1" s="218"/>
    <row r="882" ht="15.75" customHeight="1" s="218"/>
    <row r="883" ht="15.75" customHeight="1" s="218"/>
    <row r="884" ht="15.75" customHeight="1" s="218"/>
    <row r="885" ht="15.75" customHeight="1" s="218"/>
    <row r="886" ht="15.75" customHeight="1" s="218"/>
    <row r="887" ht="15.75" customHeight="1" s="218"/>
    <row r="888" ht="15.75" customHeight="1" s="218"/>
    <row r="889" ht="15.75" customHeight="1" s="218"/>
    <row r="890" ht="15.75" customHeight="1" s="218"/>
    <row r="891" ht="15.75" customHeight="1" s="218"/>
    <row r="892" ht="15.75" customHeight="1" s="218"/>
    <row r="893" ht="15.75" customHeight="1" s="218"/>
    <row r="894" ht="15.75" customHeight="1" s="218"/>
    <row r="895" ht="15.75" customHeight="1" s="218"/>
    <row r="896" ht="15.75" customHeight="1" s="218"/>
    <row r="897" ht="15.75" customHeight="1" s="218"/>
    <row r="898" ht="15.75" customHeight="1" s="218"/>
    <row r="899" ht="15.75" customHeight="1" s="218"/>
    <row r="900" ht="15.75" customHeight="1" s="218"/>
    <row r="901" ht="15.75" customHeight="1" s="218"/>
    <row r="902" ht="15.75" customHeight="1" s="218"/>
    <row r="903" ht="15.75" customHeight="1" s="218"/>
    <row r="904" ht="15.75" customHeight="1" s="218"/>
    <row r="905" ht="15.75" customHeight="1" s="218"/>
    <row r="906" ht="15.75" customHeight="1" s="218"/>
    <row r="907" ht="15.75" customHeight="1" s="218"/>
    <row r="908" ht="15.75" customHeight="1" s="218"/>
    <row r="909" ht="15.75" customHeight="1" s="218"/>
    <row r="910" ht="15.75" customHeight="1" s="218"/>
    <row r="911" ht="15.75" customHeight="1" s="218"/>
    <row r="912" ht="15.75" customHeight="1" s="218"/>
    <row r="913" ht="15.75" customHeight="1" s="218"/>
    <row r="914" ht="15.75" customHeight="1" s="218"/>
    <row r="915" ht="15.75" customHeight="1" s="218"/>
    <row r="916" ht="15.75" customHeight="1" s="218"/>
    <row r="917" ht="15.75" customHeight="1" s="218"/>
    <row r="918" ht="15.75" customHeight="1" s="218"/>
    <row r="919" ht="15.75" customHeight="1" s="218"/>
    <row r="920" ht="15.75" customHeight="1" s="218"/>
    <row r="921" ht="15.75" customHeight="1" s="218"/>
    <row r="922" ht="15.75" customHeight="1" s="218"/>
    <row r="923" ht="15.75" customHeight="1" s="218"/>
    <row r="924" ht="15.75" customHeight="1" s="218"/>
    <row r="925" ht="15.75" customHeight="1" s="218"/>
    <row r="926" ht="15.75" customHeight="1" s="218"/>
    <row r="927" ht="15.75" customHeight="1" s="218"/>
    <row r="928" ht="15.75" customHeight="1" s="218"/>
    <row r="929" ht="15.75" customHeight="1" s="218"/>
    <row r="930" ht="15.75" customHeight="1" s="218"/>
    <row r="931" ht="15.75" customHeight="1" s="218"/>
    <row r="932" ht="15.75" customHeight="1" s="218"/>
    <row r="933" ht="15.75" customHeight="1" s="218"/>
    <row r="934" ht="15.75" customHeight="1" s="218"/>
    <row r="935" ht="15.75" customHeight="1" s="218"/>
    <row r="936" ht="15.75" customHeight="1" s="218"/>
    <row r="937" ht="15.75" customHeight="1" s="218"/>
    <row r="938" ht="15.75" customHeight="1" s="218"/>
    <row r="939" ht="15.75" customHeight="1" s="218"/>
    <row r="940" ht="15.75" customHeight="1" s="218"/>
    <row r="941" ht="15.75" customHeight="1" s="218"/>
    <row r="942" ht="15.75" customHeight="1" s="218"/>
    <row r="943" ht="15.75" customHeight="1" s="218"/>
    <row r="944" ht="15.75" customHeight="1" s="218"/>
    <row r="945" ht="15.75" customHeight="1" s="218"/>
    <row r="946" ht="15.75" customHeight="1" s="218"/>
    <row r="947" ht="15.75" customHeight="1" s="218"/>
    <row r="948" ht="15.75" customHeight="1" s="218"/>
    <row r="949" ht="15.75" customHeight="1" s="218"/>
    <row r="950" ht="15.75" customHeight="1" s="218"/>
    <row r="951" ht="15.75" customHeight="1" s="218"/>
    <row r="952" ht="15.75" customHeight="1" s="218"/>
    <row r="953" ht="15.75" customHeight="1" s="218"/>
    <row r="954" ht="15.75" customHeight="1" s="218"/>
    <row r="955" ht="15.75" customHeight="1" s="218"/>
    <row r="956" ht="15.75" customHeight="1" s="218"/>
    <row r="957" ht="15.75" customHeight="1" s="218"/>
    <row r="958" ht="15.75" customHeight="1" s="218"/>
    <row r="959" ht="15.75" customHeight="1" s="218"/>
    <row r="960" ht="15.75" customHeight="1" s="218"/>
    <row r="961" ht="15.75" customHeight="1" s="218"/>
    <row r="962" ht="15.75" customHeight="1" s="218"/>
    <row r="963" ht="15.75" customHeight="1" s="218"/>
    <row r="964" ht="15.75" customHeight="1" s="218"/>
    <row r="965" ht="15.75" customHeight="1" s="218"/>
    <row r="966" ht="15.75" customHeight="1" s="218"/>
    <row r="967" ht="15.75" customHeight="1" s="218"/>
    <row r="968" ht="15.75" customHeight="1" s="218"/>
    <row r="969" ht="15.75" customHeight="1" s="218"/>
    <row r="970" ht="15.75" customHeight="1" s="218"/>
    <row r="971" ht="15.75" customHeight="1" s="218"/>
    <row r="972" ht="15.75" customHeight="1" s="218"/>
    <row r="973" ht="15.75" customHeight="1" s="218"/>
    <row r="974" ht="15.75" customHeight="1" s="218"/>
    <row r="975" ht="15.75" customHeight="1" s="218"/>
    <row r="976" ht="15.75" customHeight="1" s="218"/>
    <row r="977" ht="15.75" customHeight="1" s="218"/>
    <row r="978" ht="15.75" customHeight="1" s="218"/>
    <row r="979" ht="15.75" customHeight="1" s="218"/>
    <row r="980" ht="15.75" customHeight="1" s="218"/>
    <row r="981" ht="15.75" customHeight="1" s="218"/>
    <row r="982" ht="15.75" customHeight="1" s="218"/>
    <row r="983" ht="15.75" customHeight="1" s="218"/>
    <row r="984" ht="15.75" customHeight="1" s="218"/>
    <row r="985" ht="15.75" customHeight="1" s="218"/>
    <row r="986" ht="15.75" customHeight="1" s="218"/>
    <row r="987" ht="15.75" customHeight="1" s="218"/>
    <row r="988" ht="15.75" customHeight="1" s="218"/>
    <row r="989" ht="15.75" customHeight="1" s="218"/>
    <row r="990" ht="15.75" customHeight="1" s="218"/>
    <row r="991" ht="15.75" customHeight="1" s="218"/>
    <row r="992" ht="15.75" customHeight="1" s="218"/>
    <row r="993" ht="15.75" customHeight="1" s="218"/>
    <row r="994" ht="15.75" customHeight="1" s="218"/>
    <row r="995" ht="15.75" customHeight="1" s="218"/>
    <row r="996" ht="15.75" customHeight="1" s="218"/>
    <row r="997" ht="15.75" customHeight="1" s="218"/>
    <row r="998" ht="15.75" customHeight="1" s="218"/>
    <row r="999" ht="15.75" customHeight="1" s="218"/>
    <row r="1000" ht="15.75" customHeight="1" s="218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I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2" customWidth="1" style="217" min="1" max="1"/>
    <col width="18" customWidth="1" style="217" min="2" max="8"/>
    <col width="0.52" customWidth="1" style="217" min="9" max="9"/>
  </cols>
  <sheetData>
    <row r="1" ht="18" customHeight="1" s="218">
      <c r="A1" s="377" t="inlineStr">
        <is>
          <t>CAP TABLE — FULLY DILUTED</t>
        </is>
      </c>
      <c r="B1" s="266" t="n"/>
      <c r="C1" s="266" t="n"/>
      <c r="D1" s="266" t="n"/>
      <c r="E1" s="266" t="n"/>
      <c r="F1" s="266" t="n"/>
      <c r="G1" s="266" t="n"/>
      <c r="H1" s="266" t="n"/>
    </row>
    <row r="2" ht="18" customHeight="1" s="218">
      <c r="A2" s="378" t="inlineStr">
        <is>
          <t>Enter share counts and prices. Shows ownership at each round. Yellow = your inputs.</t>
        </is>
      </c>
      <c r="B2" s="379" t="n"/>
      <c r="C2" s="379" t="n"/>
      <c r="D2" s="379" t="n"/>
      <c r="E2" s="379" t="n"/>
      <c r="F2" s="379" t="n"/>
      <c r="G2" s="379" t="n"/>
      <c r="H2" s="379" t="n"/>
    </row>
    <row r="3" ht="18" customHeight="1" s="218"/>
    <row r="4" ht="18" customHeight="1" s="218">
      <c r="A4" s="380" t="inlineStr">
        <is>
          <t>Shareholder / Round</t>
        </is>
      </c>
      <c r="B4" s="380" t="inlineStr">
        <is>
          <t>Shares</t>
        </is>
      </c>
      <c r="C4" s="380" t="inlineStr">
        <is>
          <t>Price/Share ($)</t>
        </is>
      </c>
      <c r="D4" s="380" t="inlineStr">
        <is>
          <t>Investment ($)</t>
        </is>
      </c>
      <c r="E4" s="380" t="inlineStr">
        <is>
          <t>% Ownership</t>
        </is>
      </c>
      <c r="F4" s="380" t="inlineStr">
        <is>
          <t>Value at $10M</t>
        </is>
      </c>
      <c r="G4" s="380" t="inlineStr">
        <is>
          <t>Value at $25M</t>
        </is>
      </c>
      <c r="H4" s="380" t="inlineStr">
        <is>
          <t>Value at $50M</t>
        </is>
      </c>
    </row>
    <row r="5" ht="18" customHeight="1" s="218">
      <c r="A5" s="381" t="inlineStr">
        <is>
          <t xml:space="preserve">  FOUNDERS</t>
        </is>
      </c>
      <c r="B5" s="382" t="n"/>
      <c r="C5" s="382" t="n"/>
      <c r="D5" s="382" t="n"/>
      <c r="E5" s="382" t="n"/>
      <c r="F5" s="382" t="n"/>
      <c r="G5" s="382" t="n"/>
      <c r="H5" s="382" t="n"/>
    </row>
    <row r="6" ht="15" customHeight="1" s="218">
      <c r="A6" s="383" t="inlineStr">
        <is>
          <t xml:space="preserve">  Founder 1</t>
        </is>
      </c>
      <c r="B6" s="384" t="n">
        <v>4000000</v>
      </c>
      <c r="C6" s="385" t="n">
        <v>0.001</v>
      </c>
      <c r="D6" s="386">
        <f>B6*C6</f>
        <v/>
      </c>
      <c r="E6" s="387">
        <f>IFERROR(B6/B17,0)</f>
        <v/>
      </c>
      <c r="F6" s="386">
        <f>IFERROR(E6*10000000,0)</f>
        <v/>
      </c>
      <c r="G6" s="386">
        <f>IFERROR(E6*25000000,0)</f>
        <v/>
      </c>
      <c r="H6" s="386">
        <f>IFERROR(E6*50000000,0)</f>
        <v/>
      </c>
    </row>
    <row r="7" ht="15" customHeight="1" s="218">
      <c r="A7" s="383" t="inlineStr">
        <is>
          <t xml:space="preserve">  Founder 2</t>
        </is>
      </c>
      <c r="B7" s="384" t="n">
        <v>4000000</v>
      </c>
      <c r="C7" s="385" t="n">
        <v>0.001</v>
      </c>
      <c r="D7" s="386">
        <f>B7*C7</f>
        <v/>
      </c>
      <c r="E7" s="387">
        <f>IFERROR(B7/B17,0)</f>
        <v/>
      </c>
      <c r="F7" s="386">
        <f>IFERROR(E7*10000000,0)</f>
        <v/>
      </c>
      <c r="G7" s="386">
        <f>IFERROR(E7*25000000,0)</f>
        <v/>
      </c>
      <c r="H7" s="386">
        <f>IFERROR(E7*50000000,0)</f>
        <v/>
      </c>
    </row>
    <row r="8" ht="15" customHeight="1" s="218">
      <c r="A8" s="381" t="inlineStr">
        <is>
          <t xml:space="preserve">  OPTION POOL</t>
        </is>
      </c>
      <c r="B8" s="382" t="n"/>
      <c r="C8" s="382" t="n"/>
      <c r="D8" s="382" t="n"/>
      <c r="E8" s="382" t="n"/>
      <c r="F8" s="382" t="n"/>
      <c r="G8" s="382" t="n"/>
      <c r="H8" s="382" t="n"/>
    </row>
    <row r="9" ht="15" customHeight="1" s="218">
      <c r="A9" s="383" t="inlineStr">
        <is>
          <t xml:space="preserve">  ESOP Reserved</t>
        </is>
      </c>
      <c r="B9" s="384" t="n">
        <v>1000000</v>
      </c>
      <c r="E9" s="387">
        <f>IFERROR(B9/B17,0)</f>
        <v/>
      </c>
      <c r="F9" s="386">
        <f>IFERROR(E9*10000000,0)</f>
        <v/>
      </c>
      <c r="G9" s="386">
        <f>IFERROR(E9*25000000,0)</f>
        <v/>
      </c>
      <c r="H9" s="386">
        <f>IFERROR(E9*50000000,0)</f>
        <v/>
      </c>
    </row>
    <row r="10" ht="15" customHeight="1" s="218">
      <c r="A10" s="381" t="inlineStr">
        <is>
          <t xml:space="preserve">  PRE-SEED / ANGEL</t>
        </is>
      </c>
      <c r="B10" s="382" t="n"/>
      <c r="C10" s="382" t="n"/>
      <c r="D10" s="382" t="n"/>
      <c r="E10" s="382" t="n"/>
      <c r="F10" s="382" t="n"/>
      <c r="G10" s="382" t="n"/>
      <c r="H10" s="382" t="n"/>
    </row>
    <row r="11" ht="15" customHeight="1" s="218">
      <c r="A11" s="383" t="inlineStr">
        <is>
          <t xml:space="preserve">  Angel Investors (SAFE)</t>
        </is>
      </c>
      <c r="B11" s="384" t="n">
        <v>500000</v>
      </c>
      <c r="C11" s="388" t="n">
        <v>0.5</v>
      </c>
      <c r="D11" s="386">
        <f>B11*C11</f>
        <v/>
      </c>
      <c r="E11" s="387">
        <f>IFERROR(B11/B17,0)</f>
        <v/>
      </c>
      <c r="F11" s="386">
        <f>IFERROR(E11*10000000,0)</f>
        <v/>
      </c>
      <c r="G11" s="386">
        <f>IFERROR(E11*25000000,0)</f>
        <v/>
      </c>
      <c r="H11" s="386">
        <f>IFERROR(E11*50000000,0)</f>
        <v/>
      </c>
    </row>
    <row r="12" ht="15" customHeight="1" s="218">
      <c r="A12" s="381" t="inlineStr">
        <is>
          <t xml:space="preserve">  SEED ROUND</t>
        </is>
      </c>
      <c r="B12" s="382" t="n"/>
      <c r="C12" s="382" t="n"/>
      <c r="D12" s="382" t="n"/>
      <c r="E12" s="382" t="n"/>
      <c r="F12" s="382" t="n"/>
      <c r="G12" s="382" t="n"/>
      <c r="H12" s="382" t="n"/>
    </row>
    <row r="13" ht="15" customHeight="1" s="218">
      <c r="A13" s="383" t="inlineStr">
        <is>
          <t xml:space="preserve">  Seed Investor</t>
        </is>
      </c>
      <c r="B13" s="384" t="n">
        <v>1500000</v>
      </c>
      <c r="C13" s="388" t="n">
        <v>1</v>
      </c>
      <c r="D13" s="386">
        <f>B13*C13</f>
        <v/>
      </c>
      <c r="E13" s="387">
        <f>IFERROR(B13/B17,0)</f>
        <v/>
      </c>
      <c r="F13" s="386">
        <f>IFERROR(E13*10000000,0)</f>
        <v/>
      </c>
      <c r="G13" s="386">
        <f>IFERROR(E13*25000000,0)</f>
        <v/>
      </c>
      <c r="H13" s="386">
        <f>IFERROR(E13*50000000,0)</f>
        <v/>
      </c>
    </row>
    <row r="14" ht="15" customHeight="1" s="218">
      <c r="A14" s="381" t="inlineStr">
        <is>
          <t xml:space="preserve">  SERIES A</t>
        </is>
      </c>
      <c r="B14" s="382" t="n"/>
      <c r="C14" s="382" t="n"/>
      <c r="D14" s="382" t="n"/>
      <c r="E14" s="382" t="n"/>
      <c r="F14" s="382" t="n"/>
      <c r="G14" s="382" t="n"/>
      <c r="H14" s="382" t="n"/>
    </row>
    <row r="15" ht="15" customHeight="1" s="218">
      <c r="A15" s="383" t="inlineStr">
        <is>
          <t xml:space="preserve">  Series A Lead</t>
        </is>
      </c>
      <c r="B15" s="384" t="n">
        <v>2500000</v>
      </c>
      <c r="C15" s="388" t="n">
        <v>2</v>
      </c>
      <c r="D15" s="386">
        <f>B15*C15</f>
        <v/>
      </c>
      <c r="E15" s="387">
        <f>IFERROR(B15/B17,0)</f>
        <v/>
      </c>
      <c r="F15" s="386">
        <f>IFERROR(E15*10000000,0)</f>
        <v/>
      </c>
      <c r="G15" s="386">
        <f>IFERROR(E15*25000000,0)</f>
        <v/>
      </c>
      <c r="H15" s="386">
        <f>IFERROR(E15*50000000,0)</f>
        <v/>
      </c>
    </row>
    <row r="17" ht="15" customHeight="1" s="218">
      <c r="A17" s="389" t="inlineStr">
        <is>
          <t>TOTAL SHARES</t>
        </is>
      </c>
      <c r="B17" s="390">
        <f>SUM(B6:B7)+B9+B11+B13+B15</f>
        <v/>
      </c>
      <c r="C17" s="391" t="n"/>
      <c r="D17" s="390">
        <f>SUM(D6:D15)</f>
        <v/>
      </c>
      <c r="E17" s="391" t="n"/>
      <c r="F17" s="391" t="n"/>
      <c r="G17" s="391" t="n"/>
      <c r="H17" s="391" t="n"/>
    </row>
    <row r="19" ht="15" customHeight="1" s="218">
      <c r="H19" s="217">
        <f>A6</f>
        <v/>
      </c>
      <c r="I19" s="392">
        <f>E6</f>
        <v/>
      </c>
    </row>
    <row r="20" ht="15" customHeight="1" s="218">
      <c r="H20" s="217">
        <f>A7</f>
        <v/>
      </c>
      <c r="I20" s="392">
        <f>E7</f>
        <v/>
      </c>
    </row>
    <row r="21" ht="15" customHeight="1" s="218">
      <c r="H21" s="217">
        <f>A9</f>
        <v/>
      </c>
      <c r="I21" s="392">
        <f>E9</f>
        <v/>
      </c>
    </row>
    <row r="22" ht="15" customHeight="1" s="218">
      <c r="H22" s="217">
        <f>A11</f>
        <v/>
      </c>
      <c r="I22" s="392">
        <f>E11</f>
        <v/>
      </c>
    </row>
    <row r="23" ht="15" customHeight="1" s="218">
      <c r="H23" s="217">
        <f>A13</f>
        <v/>
      </c>
      <c r="I23" s="392">
        <f>E13</f>
        <v/>
      </c>
    </row>
    <row r="24" ht="15" customHeight="1" s="218">
      <c r="H24" s="217">
        <f>A15</f>
        <v/>
      </c>
      <c r="I24" s="392">
        <f>E15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2" customWidth="1" style="217" min="1" max="1"/>
    <col width="20" customWidth="1" style="217" min="2" max="5"/>
  </cols>
  <sheetData>
    <row r="1" ht="17.25" customHeight="1" s="218">
      <c r="A1" s="377" t="inlineStr">
        <is>
          <t>FUNDRAISING SCENARIO PLANNER</t>
        </is>
      </c>
      <c r="B1" s="266" t="n"/>
      <c r="C1" s="266" t="n"/>
      <c r="D1" s="266" t="n"/>
      <c r="E1" s="266" t="n"/>
    </row>
    <row r="2" ht="15" customHeight="1" s="218">
      <c r="A2" s="378" t="inlineStr">
        <is>
          <t>Model dilution at different valuations and raise amounts.</t>
        </is>
      </c>
      <c r="B2" s="379" t="n"/>
      <c r="C2" s="379" t="n"/>
      <c r="D2" s="379" t="n"/>
      <c r="E2" s="379" t="n"/>
    </row>
    <row r="4" ht="15" customHeight="1" s="218">
      <c r="A4" s="393" t="inlineStr">
        <is>
          <t>Metric</t>
        </is>
      </c>
      <c r="B4" s="393" t="inlineStr">
        <is>
          <t>Floor</t>
        </is>
      </c>
      <c r="C4" s="393" t="inlineStr">
        <is>
          <t>Target</t>
        </is>
      </c>
      <c r="D4" s="393" t="inlineStr">
        <is>
          <t>Stretch</t>
        </is>
      </c>
    </row>
    <row r="6" ht="15" customHeight="1" s="218">
      <c r="A6" s="394" t="inlineStr">
        <is>
          <t>Pre-Money Valuation ($)</t>
        </is>
      </c>
      <c r="B6" s="384" t="n">
        <v>8000000</v>
      </c>
      <c r="C6" s="384" t="n">
        <v>12000000</v>
      </c>
      <c r="D6" s="384" t="n">
        <v>18000000</v>
      </c>
    </row>
    <row r="7" ht="15" customHeight="1" s="218">
      <c r="A7" s="395" t="inlineStr">
        <is>
          <t>Raise Amount ($)</t>
        </is>
      </c>
      <c r="B7" s="384" t="n">
        <v>2000000</v>
      </c>
      <c r="C7" s="384" t="n">
        <v>3000000</v>
      </c>
      <c r="D7" s="384" t="n">
        <v>5000000</v>
      </c>
    </row>
    <row r="8" ht="15" customHeight="1" s="218">
      <c r="A8" s="394" t="inlineStr">
        <is>
          <t>Post-Money Valuation ($)</t>
        </is>
      </c>
      <c r="B8" s="386">
        <f>B6+B7</f>
        <v/>
      </c>
      <c r="C8" s="386">
        <f>C6+C7</f>
        <v/>
      </c>
      <c r="D8" s="386">
        <f>D6+D7</f>
        <v/>
      </c>
    </row>
    <row r="9" ht="15" customHeight="1" s="218">
      <c r="A9" s="395" t="inlineStr">
        <is>
          <t>New Shares Issued</t>
        </is>
      </c>
    </row>
    <row r="10" ht="15" customHeight="1" s="218">
      <c r="A10" s="394" t="inlineStr">
        <is>
          <t>Dilution %</t>
        </is>
      </c>
      <c r="B10" s="387">
        <f>IFERROR(B7/B8,0)</f>
        <v/>
      </c>
      <c r="C10" s="387">
        <f>IFERROR(C7/C8,0)</f>
        <v/>
      </c>
      <c r="D10" s="387">
        <f>IFERROR(D7/D8,0)</f>
        <v/>
      </c>
    </row>
    <row r="11" ht="15" customHeight="1" s="218">
      <c r="A11" s="395" t="inlineStr">
        <is>
          <t>Founder Ownership After</t>
        </is>
      </c>
      <c r="B11" s="387">
        <f>IFERROR(0.6*(1-B10),0)</f>
        <v/>
      </c>
      <c r="C11" s="387">
        <f>IFERROR(0.6*(1-C10),0)</f>
        <v/>
      </c>
      <c r="D11" s="387">
        <f>IFERROR(0.6*(1-D10),0)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2" customWidth="1" style="217" min="1" max="1"/>
    <col width="16" customWidth="1" style="217" min="2" max="7"/>
  </cols>
  <sheetData>
    <row r="1" ht="27.75" customHeight="1" s="218">
      <c r="A1" s="396" t="inlineStr">
        <is>
          <t>SENSITIVITY ANALYSIS</t>
        </is>
      </c>
    </row>
    <row r="2" ht="18" customHeight="1" s="218">
      <c r="A2" s="397" t="inlineStr">
        <is>
          <t>Shows how Year 3 EBITDA changes with different growth and churn assumptions. Yellow cells are adjustable.</t>
        </is>
      </c>
    </row>
    <row r="3" ht="18" customHeight="1" s="218"/>
    <row r="4" ht="18" customHeight="1" s="218">
      <c r="A4" s="227" t="inlineStr">
        <is>
          <t>EBITDA SENSITIVITY — Buyer Growth vs Take Rate</t>
        </is>
      </c>
    </row>
    <row r="5" ht="18" customHeight="1" s="218"/>
    <row r="6" ht="18" customHeight="1" s="218">
      <c r="A6" s="343" t="inlineStr">
        <is>
          <t>KEY ANNUAL METRICS</t>
        </is>
      </c>
      <c r="B6" s="344" t="n"/>
      <c r="C6" s="344" t="n"/>
      <c r="D6" s="344" t="n"/>
      <c r="E6" s="344" t="n"/>
      <c r="F6" s="344" t="n"/>
      <c r="G6" s="344" t="n"/>
    </row>
    <row r="7" ht="18" customHeight="1" s="218">
      <c r="A7" s="340" t="inlineStr">
        <is>
          <t>Metric</t>
        </is>
      </c>
      <c r="B7" s="340" t="inlineStr">
        <is>
          <t>Year 1</t>
        </is>
      </c>
      <c r="C7" s="340" t="inlineStr">
        <is>
          <t>Year 2</t>
        </is>
      </c>
      <c r="D7" s="340" t="inlineStr">
        <is>
          <t>Year 3</t>
        </is>
      </c>
      <c r="E7" s="340" t="inlineStr">
        <is>
          <t>Year 4</t>
        </is>
      </c>
      <c r="F7" s="340" t="inlineStr">
        <is>
          <t>Year 5</t>
        </is>
      </c>
    </row>
    <row r="8" ht="18" customHeight="1" s="218">
      <c r="A8" s="398" t="inlineStr">
        <is>
          <t>Revenue</t>
        </is>
      </c>
      <c r="B8" s="346">
        <f>'P&amp;L'!N10</f>
        <v/>
      </c>
      <c r="C8" s="346">
        <f>'P&amp;L'!AA10</f>
        <v/>
      </c>
      <c r="D8" s="346">
        <f>'P&amp;L'!AN10</f>
        <v/>
      </c>
      <c r="E8" s="346">
        <f>'P&amp;L'!BA10</f>
        <v/>
      </c>
      <c r="F8" s="346">
        <f>'P&amp;L'!BN10</f>
        <v/>
      </c>
    </row>
    <row r="9" ht="18" customHeight="1" s="218">
      <c r="A9" s="399" t="inlineStr">
        <is>
          <t>Gross Profit</t>
        </is>
      </c>
      <c r="B9" s="371">
        <f>'P&amp;L'!N14</f>
        <v/>
      </c>
      <c r="C9" s="371">
        <f>'P&amp;L'!AA14</f>
        <v/>
      </c>
      <c r="D9" s="371">
        <f>'P&amp;L'!AN14</f>
        <v/>
      </c>
      <c r="E9" s="371">
        <f>'P&amp;L'!BA14</f>
        <v/>
      </c>
      <c r="F9" s="371">
        <f>'P&amp;L'!BN14</f>
        <v/>
      </c>
    </row>
    <row r="10" ht="18" customHeight="1" s="218">
      <c r="A10" s="400" t="inlineStr">
        <is>
          <t>Gross Margin %</t>
        </is>
      </c>
      <c r="B10" s="356">
        <f>'P&amp;L'!N15</f>
        <v/>
      </c>
      <c r="C10" s="356">
        <f>'P&amp;L'!AA15</f>
        <v/>
      </c>
      <c r="D10" s="356">
        <f>'P&amp;L'!AN15</f>
        <v/>
      </c>
      <c r="E10" s="356">
        <f>'P&amp;L'!BA15</f>
        <v/>
      </c>
      <c r="F10" s="356">
        <f>'P&amp;L'!BN15</f>
        <v/>
      </c>
    </row>
    <row r="11" ht="18" customHeight="1" s="218">
      <c r="A11" s="401" t="inlineStr">
        <is>
          <t>EBITDA</t>
        </is>
      </c>
      <c r="B11" s="371">
        <f>'P&amp;L'!N33</f>
        <v/>
      </c>
      <c r="C11" s="371">
        <f>'P&amp;L'!AA33</f>
        <v/>
      </c>
      <c r="D11" s="371">
        <f>'P&amp;L'!AN33</f>
        <v/>
      </c>
      <c r="E11" s="371">
        <f>'P&amp;L'!BA33</f>
        <v/>
      </c>
      <c r="F11" s="371">
        <f>'P&amp;L'!BN33</f>
        <v/>
      </c>
    </row>
    <row r="12" ht="18" customHeight="1" s="218">
      <c r="A12" s="400" t="inlineStr">
        <is>
          <t>EBITDA Margin %</t>
        </is>
      </c>
      <c r="B12" s="356">
        <f>'P&amp;L'!N34</f>
        <v/>
      </c>
      <c r="C12" s="356">
        <f>'P&amp;L'!AA34</f>
        <v/>
      </c>
      <c r="D12" s="356">
        <f>'P&amp;L'!AN34</f>
        <v/>
      </c>
      <c r="E12" s="356">
        <f>'P&amp;L'!BA34</f>
        <v/>
      </c>
      <c r="F12" s="356">
        <f>'P&amp;L'!BN34</f>
        <v/>
      </c>
    </row>
    <row r="13" ht="18" customHeight="1" s="218">
      <c r="A13" s="401" t="inlineStr">
        <is>
          <t>Net Income</t>
        </is>
      </c>
      <c r="B13" s="371">
        <f>'P&amp;L'!N37</f>
        <v/>
      </c>
      <c r="C13" s="371">
        <f>'P&amp;L'!AA37</f>
        <v/>
      </c>
      <c r="D13" s="371">
        <f>'P&amp;L'!AN37</f>
        <v/>
      </c>
      <c r="E13" s="371">
        <f>'P&amp;L'!BA37</f>
        <v/>
      </c>
      <c r="F13" s="371">
        <f>'P&amp;L'!BN37</f>
        <v/>
      </c>
    </row>
    <row r="14" ht="18" customHeight="1" s="218">
      <c r="A14" s="400" t="inlineStr">
        <is>
          <t>Closing Cash</t>
        </is>
      </c>
      <c r="B14" s="346">
        <f>'CASH FLOW'!M25</f>
        <v/>
      </c>
      <c r="C14" s="346">
        <f>'CASH FLOW'!Z25</f>
        <v/>
      </c>
      <c r="D14" s="346">
        <f>'CASH FLOW'!AM25</f>
        <v/>
      </c>
      <c r="E14" s="346">
        <f>'CASH FLOW'!AZ25</f>
        <v/>
      </c>
      <c r="F14" s="346">
        <f>'CASH FLOW'!BM25</f>
        <v/>
      </c>
    </row>
    <row r="15" ht="18" customHeight="1" s="218">
      <c r="A15" s="399" t="inlineStr">
        <is>
          <t>Active Buyers</t>
        </is>
      </c>
      <c r="B15" s="375">
        <f>REVENUE!M9</f>
        <v/>
      </c>
      <c r="C15" s="375">
        <f>REVENUE!Z9</f>
        <v/>
      </c>
      <c r="D15" s="375">
        <f>REVENUE!AM9</f>
        <v/>
      </c>
      <c r="E15" s="375">
        <f>REVENUE!AZ9</f>
        <v/>
      </c>
      <c r="F15" s="375">
        <f>REVENUE!BM9</f>
        <v/>
      </c>
    </row>
    <row r="16" ht="18" customHeight="1" s="218">
      <c r="A16" s="400" t="inlineStr">
        <is>
          <t>Active Sellers</t>
        </is>
      </c>
      <c r="B16" s="373">
        <f>REVENUE!M13</f>
        <v/>
      </c>
      <c r="C16" s="373">
        <f>REVENUE!Z13</f>
        <v/>
      </c>
      <c r="D16" s="373">
        <f>REVENUE!AM13</f>
        <v/>
      </c>
      <c r="E16" s="373">
        <f>REVENUE!AZ13</f>
        <v/>
      </c>
      <c r="F16" s="373">
        <f>REVENUE!BM13</f>
        <v/>
      </c>
    </row>
    <row r="17" ht="18" customHeight="1" s="218">
      <c r="A17" s="399" t="inlineStr">
        <is>
          <t>GMV</t>
        </is>
      </c>
      <c r="B17" s="371">
        <f>REVENUE!N16</f>
        <v/>
      </c>
      <c r="C17" s="371">
        <f>REVENUE!AA16</f>
        <v/>
      </c>
      <c r="D17" s="371">
        <f>REVENUE!AN16</f>
        <v/>
      </c>
      <c r="E17" s="371">
        <f>REVENUE!BA16</f>
        <v/>
      </c>
      <c r="F17" s="371">
        <f>REVENUE!BN16</f>
        <v/>
      </c>
    </row>
    <row r="18" ht="18" customHeight="1" s="218"/>
    <row r="19" ht="18" customHeight="1" s="218"/>
    <row r="20" ht="18" customHeight="1" s="218">
      <c r="A20" s="227" t="inlineStr">
        <is>
          <t>BREAKEVEN ANALYSIS</t>
        </is>
      </c>
    </row>
    <row r="21" ht="18" customHeight="1" s="218">
      <c r="A21" s="399" t="inlineStr">
        <is>
          <t>First EBITDA Positive Month</t>
        </is>
      </c>
      <c r="B21" s="402">
        <f>IFERROR(COUNTIF('P&amp;L'!B33:BM33,"&lt;0")+1,"Not in forecast")</f>
        <v/>
      </c>
    </row>
    <row r="22" ht="18" customHeight="1" s="218">
      <c r="A22" s="399" t="inlineStr">
        <is>
          <t>First Cash Flow Positive Month</t>
        </is>
      </c>
      <c r="B22" s="402">
        <f>IFERROR(COUNTIF('CASH FLOW'!B13:BM13,"&lt;0")+1,"Not in forecast")</f>
        <v/>
      </c>
    </row>
    <row r="23" ht="18" customHeight="1" s="218">
      <c r="A23" s="399" t="inlineStr">
        <is>
          <t>Peak Cash Burn (worst month)</t>
        </is>
      </c>
      <c r="B23" s="403">
        <f>MIN('CASH FLOW'!B27:BM27)</f>
        <v/>
      </c>
    </row>
    <row r="24" ht="18" customHeight="1" s="218">
      <c r="A24" s="401" t="inlineStr">
        <is>
          <t>Minimum Cash Balance</t>
        </is>
      </c>
      <c r="B24" s="403">
        <f>MIN('CASH FLOW'!B25:BM25)</f>
        <v/>
      </c>
    </row>
    <row r="25" ht="18" customHeight="1" s="218">
      <c r="A25" s="401" t="inlineStr">
        <is>
          <t>Total Funding Required</t>
        </is>
      </c>
      <c r="B25" s="403">
        <f>ASSUMPTIONS!B80+ASSUMPTIONS!B82</f>
        <v/>
      </c>
    </row>
    <row r="26" ht="18" customHeight="1" s="218"/>
    <row r="27" ht="18" customHeight="1" s="218"/>
    <row r="28" ht="18" customHeight="1" s="218">
      <c r="A28" s="227" t="inlineStr">
        <is>
          <t>SENSITIVITY MATRIX</t>
        </is>
      </c>
    </row>
    <row r="29" ht="18" customHeight="1" s="218">
      <c r="A29" s="397" t="inlineStr">
        <is>
          <t>Impact scenarios on Year 3 EBITDA based on growth and take rate changes.</t>
        </is>
      </c>
    </row>
    <row r="30" ht="18" customHeight="1" s="218">
      <c r="A30" s="404" t="inlineStr">
        <is>
          <t>Note: This is a static table showing multiplier effects. Change yellow cells in ASSUMPTIONS to run live scenarios.</t>
        </is>
      </c>
    </row>
    <row r="31" ht="18" customHeight="1" s="218"/>
    <row r="32" ht="18" customHeight="1" s="218">
      <c r="A32" s="401" t="inlineStr">
        <is>
          <t>Y3 EBITDA Base Case</t>
        </is>
      </c>
      <c r="B32" s="403">
        <f>'P&amp;L'!AN33</f>
        <v/>
      </c>
    </row>
    <row r="33" ht="18" customHeight="1" s="218"/>
    <row r="34" ht="18" customHeight="1" s="218">
      <c r="B34" s="405" t="inlineStr">
        <is>
          <t>Buyer Growth Rate Change</t>
        </is>
      </c>
    </row>
    <row r="35" ht="18" customHeight="1" s="218">
      <c r="A35" s="406" t="inlineStr">
        <is>
          <t>Take Rate Change</t>
        </is>
      </c>
      <c r="B35" s="340" t="inlineStr">
        <is>
          <t>-30%</t>
        </is>
      </c>
      <c r="C35" s="340" t="inlineStr">
        <is>
          <t>-15%</t>
        </is>
      </c>
      <c r="D35" s="340" t="inlineStr">
        <is>
          <t>+0%</t>
        </is>
      </c>
      <c r="E35" s="340" t="inlineStr">
        <is>
          <t>+15%</t>
        </is>
      </c>
      <c r="F35" s="340" t="inlineStr">
        <is>
          <t>+30%</t>
        </is>
      </c>
    </row>
    <row r="36" ht="18" customHeight="1" s="218">
      <c r="A36" s="340" t="inlineStr">
        <is>
          <t>-20%</t>
        </is>
      </c>
      <c r="B36" s="407">
        <f>IFERROR($B$32*(1+-0.3)*(1+-0.2),0)</f>
        <v/>
      </c>
      <c r="C36" s="407">
        <f>IFERROR($B$32*(1+-0.15)*(1+-0.2),0)</f>
        <v/>
      </c>
      <c r="D36" s="407">
        <f>IFERROR($B$32*(1+0)*(1+-0.2),0)</f>
        <v/>
      </c>
      <c r="E36" s="408">
        <f>IFERROR($B$32*(1+0.15)*(1+-0.2),0)</f>
        <v/>
      </c>
      <c r="F36" s="408">
        <f>IFERROR($B$32*(1+0.3)*(1+-0.2),0)</f>
        <v/>
      </c>
    </row>
    <row r="37" ht="18" customHeight="1" s="218">
      <c r="A37" s="340" t="inlineStr">
        <is>
          <t>-10%</t>
        </is>
      </c>
      <c r="B37" s="407">
        <f>IFERROR($B$32*(1+-0.3)*(1+-0.1),0)</f>
        <v/>
      </c>
      <c r="C37" s="407">
        <f>IFERROR($B$32*(1+-0.15)*(1+-0.1),0)</f>
        <v/>
      </c>
      <c r="D37" s="407">
        <f>IFERROR($B$32*(1+0)*(1+-0.1),0)</f>
        <v/>
      </c>
      <c r="E37" s="408">
        <f>IFERROR($B$32*(1+0.15)*(1+-0.1),0)</f>
        <v/>
      </c>
      <c r="F37" s="408">
        <f>IFERROR($B$32*(1+0.3)*(1+-0.1),0)</f>
        <v/>
      </c>
    </row>
    <row r="38" ht="18" customHeight="1" s="218">
      <c r="A38" s="340" t="inlineStr">
        <is>
          <t>+0%</t>
        </is>
      </c>
      <c r="B38" s="407">
        <f>IFERROR($B$32*(1+-0.3)*(1+0),0)</f>
        <v/>
      </c>
      <c r="C38" s="407">
        <f>IFERROR($B$32*(1+-0.15)*(1+0),0)</f>
        <v/>
      </c>
      <c r="D38" s="409">
        <f>IFERROR($B$32*(1+0)*(1+0),0)</f>
        <v/>
      </c>
      <c r="E38" s="409">
        <f>IFERROR($B$32*(1+0.15)*(1+0),0)</f>
        <v/>
      </c>
      <c r="F38" s="409">
        <f>IFERROR($B$32*(1+0.3)*(1+0),0)</f>
        <v/>
      </c>
    </row>
    <row r="39" ht="18" customHeight="1" s="218">
      <c r="A39" s="340" t="inlineStr">
        <is>
          <t>+10%</t>
        </is>
      </c>
      <c r="B39" s="408">
        <f>IFERROR($B$32*(1+-0.3)*(1+0.1),0)</f>
        <v/>
      </c>
      <c r="C39" s="408">
        <f>IFERROR($B$32*(1+-0.15)*(1+0.1),0)</f>
        <v/>
      </c>
      <c r="D39" s="409">
        <f>IFERROR($B$32*(1+0)*(1+0.1),0)</f>
        <v/>
      </c>
      <c r="E39" s="409">
        <f>IFERROR($B$32*(1+0.15)*(1+0.1),0)</f>
        <v/>
      </c>
      <c r="F39" s="409">
        <f>IFERROR($B$32*(1+0.3)*(1+0.1),0)</f>
        <v/>
      </c>
    </row>
    <row r="40" ht="18" customHeight="1" s="218">
      <c r="A40" s="340" t="inlineStr">
        <is>
          <t>+20%</t>
        </is>
      </c>
      <c r="B40" s="408">
        <f>IFERROR($B$32*(1+-0.3)*(1+0.2),0)</f>
        <v/>
      </c>
      <c r="C40" s="408">
        <f>IFERROR($B$32*(1+-0.15)*(1+0.2),0)</f>
        <v/>
      </c>
      <c r="D40" s="409">
        <f>IFERROR($B$32*(1+0)*(1+0.2),0)</f>
        <v/>
      </c>
      <c r="E40" s="409">
        <f>IFERROR($B$32*(1+0.15)*(1+0.2),0)</f>
        <v/>
      </c>
      <c r="F40" s="409">
        <f>IFERROR($B$32*(1+0.3)*(1+0.2),0)</f>
        <v/>
      </c>
    </row>
  </sheetData>
  <mergeCells count="2">
    <mergeCell ref="A4:H4"/>
    <mergeCell ref="B34:G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O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217" min="1" max="1"/>
    <col width="14" customWidth="1" style="217" min="2" max="2"/>
    <col width="12" customWidth="1" style="217" min="3" max="15"/>
  </cols>
  <sheetData>
    <row r="1" ht="27.75" customHeight="1" s="218">
      <c r="A1" s="396" t="inlineStr">
        <is>
          <t>COHORT ANALYSIS</t>
        </is>
      </c>
    </row>
    <row r="2" ht="18" customHeight="1" s="218">
      <c r="A2" s="397" t="inlineStr">
        <is>
          <t>Buyer retention curves by monthly acquisition cohort. Shows how churn affects cohort size over time.</t>
        </is>
      </c>
    </row>
    <row r="3" ht="18" customHeight="1" s="218"/>
    <row r="4" ht="18" customHeight="1" s="218">
      <c r="A4" s="227" t="inlineStr">
        <is>
          <t>BUYER RETENTION BY COHORT</t>
        </is>
      </c>
    </row>
    <row r="5" ht="18" customHeight="1" s="218">
      <c r="A5" s="340" t="inlineStr">
        <is>
          <t>Cohort</t>
        </is>
      </c>
      <c r="B5" s="340" t="inlineStr">
        <is>
          <t>New Buyers</t>
        </is>
      </c>
      <c r="C5" s="340" t="inlineStr">
        <is>
          <t>Month 0</t>
        </is>
      </c>
      <c r="D5" s="340" t="inlineStr">
        <is>
          <t>Month 1</t>
        </is>
      </c>
      <c r="E5" s="340" t="inlineStr">
        <is>
          <t>Month 2</t>
        </is>
      </c>
      <c r="F5" s="340" t="inlineStr">
        <is>
          <t>Month 3</t>
        </is>
      </c>
      <c r="G5" s="340" t="inlineStr">
        <is>
          <t>Month 4</t>
        </is>
      </c>
      <c r="H5" s="340" t="inlineStr">
        <is>
          <t>Month 5</t>
        </is>
      </c>
      <c r="I5" s="340" t="inlineStr">
        <is>
          <t>Month 6</t>
        </is>
      </c>
      <c r="J5" s="340" t="inlineStr">
        <is>
          <t>Month 7</t>
        </is>
      </c>
      <c r="K5" s="340" t="inlineStr">
        <is>
          <t>Month 8</t>
        </is>
      </c>
      <c r="L5" s="340" t="inlineStr">
        <is>
          <t>Month 9</t>
        </is>
      </c>
      <c r="M5" s="340" t="inlineStr">
        <is>
          <t>Month 10</t>
        </is>
      </c>
      <c r="N5" s="340" t="inlineStr">
        <is>
          <t>Month 11</t>
        </is>
      </c>
      <c r="O5" s="340" t="inlineStr">
        <is>
          <t>Month 12</t>
        </is>
      </c>
    </row>
    <row r="6" ht="18" customHeight="1" s="218">
      <c r="A6" s="400" t="inlineStr">
        <is>
          <t>Month 1</t>
        </is>
      </c>
      <c r="B6" s="410">
        <f>REVENUE!B7</f>
        <v/>
      </c>
      <c r="C6" s="410">
        <f>B6</f>
        <v/>
      </c>
      <c r="D6" s="411">
        <f>IFERROR(ROUND(C6*(1-ASSUMPTIONS!$B$14),0),0)</f>
        <v/>
      </c>
      <c r="E6" s="411">
        <f>IFERROR(ROUND(D6*(1-ASSUMPTIONS!$B$14),0),0)</f>
        <v/>
      </c>
      <c r="F6" s="411">
        <f>IFERROR(ROUND(E6*(1-ASSUMPTIONS!$B$14),0),0)</f>
        <v/>
      </c>
      <c r="G6" s="411">
        <f>IFERROR(ROUND(F6*(1-ASSUMPTIONS!$B$14),0),0)</f>
        <v/>
      </c>
      <c r="H6" s="411">
        <f>IFERROR(ROUND(G6*(1-ASSUMPTIONS!$B$14),0),0)</f>
        <v/>
      </c>
      <c r="I6" s="411">
        <f>IFERROR(ROUND(H6*(1-ASSUMPTIONS!$B$14),0),0)</f>
        <v/>
      </c>
      <c r="J6" s="411">
        <f>IFERROR(ROUND(I6*(1-ASSUMPTIONS!$B$14),0),0)</f>
        <v/>
      </c>
      <c r="K6" s="411">
        <f>IFERROR(ROUND(J6*(1-ASSUMPTIONS!$B$14),0),0)</f>
        <v/>
      </c>
      <c r="L6" s="411">
        <f>IFERROR(ROUND(K6*(1-ASSUMPTIONS!$B$14),0),0)</f>
        <v/>
      </c>
      <c r="M6" s="411">
        <f>IFERROR(ROUND(L6*(1-ASSUMPTIONS!$B$14),0),0)</f>
        <v/>
      </c>
      <c r="N6" s="411">
        <f>IFERROR(ROUND(M6*(1-ASSUMPTIONS!$B$14),0),0)</f>
        <v/>
      </c>
      <c r="O6" s="411">
        <f>IFERROR(ROUND(N6*(1-ASSUMPTIONS!$B$14),0),0)</f>
        <v/>
      </c>
    </row>
    <row r="7" ht="18" customHeight="1" s="218">
      <c r="A7" s="399" t="inlineStr">
        <is>
          <t>Month 2</t>
        </is>
      </c>
      <c r="B7" s="412">
        <f>REVENUE!C7</f>
        <v/>
      </c>
      <c r="C7" s="412">
        <f>B7</f>
        <v/>
      </c>
      <c r="D7" s="413">
        <f>IFERROR(ROUND(C7*(1-ASSUMPTIONS!$B$14),0),0)</f>
        <v/>
      </c>
      <c r="E7" s="413">
        <f>IFERROR(ROUND(D7*(1-ASSUMPTIONS!$B$14),0),0)</f>
        <v/>
      </c>
      <c r="F7" s="413">
        <f>IFERROR(ROUND(E7*(1-ASSUMPTIONS!$B$14),0),0)</f>
        <v/>
      </c>
      <c r="G7" s="413">
        <f>IFERROR(ROUND(F7*(1-ASSUMPTIONS!$B$14),0),0)</f>
        <v/>
      </c>
      <c r="H7" s="413">
        <f>IFERROR(ROUND(G7*(1-ASSUMPTIONS!$B$14),0),0)</f>
        <v/>
      </c>
      <c r="I7" s="413">
        <f>IFERROR(ROUND(H7*(1-ASSUMPTIONS!$B$14),0),0)</f>
        <v/>
      </c>
      <c r="J7" s="413">
        <f>IFERROR(ROUND(I7*(1-ASSUMPTIONS!$B$14),0),0)</f>
        <v/>
      </c>
      <c r="K7" s="413">
        <f>IFERROR(ROUND(J7*(1-ASSUMPTIONS!$B$14),0),0)</f>
        <v/>
      </c>
      <c r="L7" s="413">
        <f>IFERROR(ROUND(K7*(1-ASSUMPTIONS!$B$14),0),0)</f>
        <v/>
      </c>
      <c r="M7" s="413">
        <f>IFERROR(ROUND(L7*(1-ASSUMPTIONS!$B$14),0),0)</f>
        <v/>
      </c>
      <c r="N7" s="413">
        <f>IFERROR(ROUND(M7*(1-ASSUMPTIONS!$B$14),0),0)</f>
        <v/>
      </c>
    </row>
    <row r="8" ht="18" customHeight="1" s="218">
      <c r="A8" s="400" t="inlineStr">
        <is>
          <t>Month 3</t>
        </is>
      </c>
      <c r="B8" s="410">
        <f>REVENUE!D7</f>
        <v/>
      </c>
      <c r="C8" s="410">
        <f>B8</f>
        <v/>
      </c>
      <c r="D8" s="411">
        <f>IFERROR(ROUND(C8*(1-ASSUMPTIONS!$B$14),0),0)</f>
        <v/>
      </c>
      <c r="E8" s="411">
        <f>IFERROR(ROUND(D8*(1-ASSUMPTIONS!$B$14),0),0)</f>
        <v/>
      </c>
      <c r="F8" s="411">
        <f>IFERROR(ROUND(E8*(1-ASSUMPTIONS!$B$14),0),0)</f>
        <v/>
      </c>
      <c r="G8" s="411">
        <f>IFERROR(ROUND(F8*(1-ASSUMPTIONS!$B$14),0),0)</f>
        <v/>
      </c>
      <c r="H8" s="411">
        <f>IFERROR(ROUND(G8*(1-ASSUMPTIONS!$B$14),0),0)</f>
        <v/>
      </c>
      <c r="I8" s="411">
        <f>IFERROR(ROUND(H8*(1-ASSUMPTIONS!$B$14),0),0)</f>
        <v/>
      </c>
      <c r="J8" s="411">
        <f>IFERROR(ROUND(I8*(1-ASSUMPTIONS!$B$14),0),0)</f>
        <v/>
      </c>
      <c r="K8" s="411">
        <f>IFERROR(ROUND(J8*(1-ASSUMPTIONS!$B$14),0),0)</f>
        <v/>
      </c>
      <c r="L8" s="411">
        <f>IFERROR(ROUND(K8*(1-ASSUMPTIONS!$B$14),0),0)</f>
        <v/>
      </c>
      <c r="M8" s="411">
        <f>IFERROR(ROUND(L8*(1-ASSUMPTIONS!$B$14),0),0)</f>
        <v/>
      </c>
      <c r="N8" s="414" t="n"/>
      <c r="O8" s="414" t="n"/>
    </row>
    <row r="9" ht="18" customHeight="1" s="218">
      <c r="A9" s="399" t="inlineStr">
        <is>
          <t>Month 4</t>
        </is>
      </c>
      <c r="B9" s="412">
        <f>REVENUE!E7</f>
        <v/>
      </c>
      <c r="C9" s="412">
        <f>B9</f>
        <v/>
      </c>
      <c r="D9" s="413">
        <f>IFERROR(ROUND(C9*(1-ASSUMPTIONS!$B$14),0),0)</f>
        <v/>
      </c>
      <c r="E9" s="413">
        <f>IFERROR(ROUND(D9*(1-ASSUMPTIONS!$B$14),0),0)</f>
        <v/>
      </c>
      <c r="F9" s="413">
        <f>IFERROR(ROUND(E9*(1-ASSUMPTIONS!$B$14),0),0)</f>
        <v/>
      </c>
      <c r="G9" s="413">
        <f>IFERROR(ROUND(F9*(1-ASSUMPTIONS!$B$14),0),0)</f>
        <v/>
      </c>
      <c r="H9" s="413">
        <f>IFERROR(ROUND(G9*(1-ASSUMPTIONS!$B$14),0),0)</f>
        <v/>
      </c>
      <c r="I9" s="413">
        <f>IFERROR(ROUND(H9*(1-ASSUMPTIONS!$B$14),0),0)</f>
        <v/>
      </c>
      <c r="J9" s="413">
        <f>IFERROR(ROUND(I9*(1-ASSUMPTIONS!$B$14),0),0)</f>
        <v/>
      </c>
      <c r="K9" s="413">
        <f>IFERROR(ROUND(J9*(1-ASSUMPTIONS!$B$14),0),0)</f>
        <v/>
      </c>
      <c r="L9" s="413">
        <f>IFERROR(ROUND(K9*(1-ASSUMPTIONS!$B$14),0),0)</f>
        <v/>
      </c>
    </row>
    <row r="10" ht="18" customHeight="1" s="218">
      <c r="A10" s="400" t="inlineStr">
        <is>
          <t>Month 5</t>
        </is>
      </c>
      <c r="B10" s="410">
        <f>REVENUE!F7</f>
        <v/>
      </c>
      <c r="C10" s="410">
        <f>B10</f>
        <v/>
      </c>
      <c r="D10" s="411">
        <f>IFERROR(ROUND(C10*(1-ASSUMPTIONS!$B$14),0),0)</f>
        <v/>
      </c>
      <c r="E10" s="411">
        <f>IFERROR(ROUND(D10*(1-ASSUMPTIONS!$B$14),0),0)</f>
        <v/>
      </c>
      <c r="F10" s="411">
        <f>IFERROR(ROUND(E10*(1-ASSUMPTIONS!$B$14),0),0)</f>
        <v/>
      </c>
      <c r="G10" s="411">
        <f>IFERROR(ROUND(F10*(1-ASSUMPTIONS!$B$14),0),0)</f>
        <v/>
      </c>
      <c r="H10" s="411">
        <f>IFERROR(ROUND(G10*(1-ASSUMPTIONS!$B$14),0),0)</f>
        <v/>
      </c>
      <c r="I10" s="411">
        <f>IFERROR(ROUND(H10*(1-ASSUMPTIONS!$B$14),0),0)</f>
        <v/>
      </c>
      <c r="J10" s="411">
        <f>IFERROR(ROUND(I10*(1-ASSUMPTIONS!$B$14),0),0)</f>
        <v/>
      </c>
      <c r="K10" s="411">
        <f>IFERROR(ROUND(J10*(1-ASSUMPTIONS!$B$14),0),0)</f>
        <v/>
      </c>
      <c r="L10" s="414" t="n"/>
      <c r="M10" s="414" t="n"/>
      <c r="N10" s="414" t="n"/>
      <c r="O10" s="414" t="n"/>
    </row>
    <row r="11" ht="18" customHeight="1" s="218">
      <c r="A11" s="399" t="inlineStr">
        <is>
          <t>Month 6</t>
        </is>
      </c>
      <c r="B11" s="412">
        <f>REVENUE!G7</f>
        <v/>
      </c>
      <c r="C11" s="412">
        <f>B11</f>
        <v/>
      </c>
      <c r="D11" s="413">
        <f>IFERROR(ROUND(C11*(1-ASSUMPTIONS!$B$14),0),0)</f>
        <v/>
      </c>
      <c r="E11" s="413">
        <f>IFERROR(ROUND(D11*(1-ASSUMPTIONS!$B$14),0),0)</f>
        <v/>
      </c>
      <c r="F11" s="413">
        <f>IFERROR(ROUND(E11*(1-ASSUMPTIONS!$B$14),0),0)</f>
        <v/>
      </c>
      <c r="G11" s="413">
        <f>IFERROR(ROUND(F11*(1-ASSUMPTIONS!$B$14),0),0)</f>
        <v/>
      </c>
      <c r="H11" s="413">
        <f>IFERROR(ROUND(G11*(1-ASSUMPTIONS!$B$14),0),0)</f>
        <v/>
      </c>
      <c r="I11" s="413">
        <f>IFERROR(ROUND(H11*(1-ASSUMPTIONS!$B$14),0),0)</f>
        <v/>
      </c>
      <c r="J11" s="413">
        <f>IFERROR(ROUND(I11*(1-ASSUMPTIONS!$B$14),0),0)</f>
        <v/>
      </c>
    </row>
    <row r="12" ht="18" customHeight="1" s="218">
      <c r="A12" s="400" t="inlineStr">
        <is>
          <t>Month 7</t>
        </is>
      </c>
      <c r="B12" s="410">
        <f>REVENUE!H7</f>
        <v/>
      </c>
      <c r="C12" s="410">
        <f>B12</f>
        <v/>
      </c>
      <c r="D12" s="411">
        <f>IFERROR(ROUND(C12*(1-ASSUMPTIONS!$B$14),0),0)</f>
        <v/>
      </c>
      <c r="E12" s="411">
        <f>IFERROR(ROUND(D12*(1-ASSUMPTIONS!$B$14),0),0)</f>
        <v/>
      </c>
      <c r="F12" s="411">
        <f>IFERROR(ROUND(E12*(1-ASSUMPTIONS!$B$14),0),0)</f>
        <v/>
      </c>
      <c r="G12" s="411">
        <f>IFERROR(ROUND(F12*(1-ASSUMPTIONS!$B$14),0),0)</f>
        <v/>
      </c>
      <c r="H12" s="411">
        <f>IFERROR(ROUND(G12*(1-ASSUMPTIONS!$B$14),0),0)</f>
        <v/>
      </c>
      <c r="I12" s="411">
        <f>IFERROR(ROUND(H12*(1-ASSUMPTIONS!$B$14),0),0)</f>
        <v/>
      </c>
      <c r="J12" s="414" t="n"/>
      <c r="K12" s="414" t="n"/>
      <c r="L12" s="414" t="n"/>
      <c r="M12" s="414" t="n"/>
      <c r="N12" s="414" t="n"/>
      <c r="O12" s="414" t="n"/>
    </row>
    <row r="13" ht="18" customHeight="1" s="218">
      <c r="A13" s="399" t="inlineStr">
        <is>
          <t>Month 8</t>
        </is>
      </c>
      <c r="B13" s="412">
        <f>REVENUE!I7</f>
        <v/>
      </c>
      <c r="C13" s="412">
        <f>B13</f>
        <v/>
      </c>
      <c r="D13" s="413">
        <f>IFERROR(ROUND(C13*(1-ASSUMPTIONS!$B$14),0),0)</f>
        <v/>
      </c>
      <c r="E13" s="413">
        <f>IFERROR(ROUND(D13*(1-ASSUMPTIONS!$B$14),0),0)</f>
        <v/>
      </c>
      <c r="F13" s="413">
        <f>IFERROR(ROUND(E13*(1-ASSUMPTIONS!$B$14),0),0)</f>
        <v/>
      </c>
      <c r="G13" s="413">
        <f>IFERROR(ROUND(F13*(1-ASSUMPTIONS!$B$14),0),0)</f>
        <v/>
      </c>
      <c r="H13" s="413">
        <f>IFERROR(ROUND(G13*(1-ASSUMPTIONS!$B$14),0),0)</f>
        <v/>
      </c>
    </row>
    <row r="14" ht="18" customHeight="1" s="218">
      <c r="A14" s="400" t="inlineStr">
        <is>
          <t>Month 9</t>
        </is>
      </c>
      <c r="B14" s="410">
        <f>REVENUE!J7</f>
        <v/>
      </c>
      <c r="C14" s="410">
        <f>B14</f>
        <v/>
      </c>
      <c r="D14" s="411">
        <f>IFERROR(ROUND(C14*(1-ASSUMPTIONS!$B$14),0),0)</f>
        <v/>
      </c>
      <c r="E14" s="411">
        <f>IFERROR(ROUND(D14*(1-ASSUMPTIONS!$B$14),0),0)</f>
        <v/>
      </c>
      <c r="F14" s="411">
        <f>IFERROR(ROUND(E14*(1-ASSUMPTIONS!$B$14),0),0)</f>
        <v/>
      </c>
      <c r="G14" s="411">
        <f>IFERROR(ROUND(F14*(1-ASSUMPTIONS!$B$14),0),0)</f>
        <v/>
      </c>
      <c r="H14" s="414" t="n"/>
      <c r="I14" s="414" t="n"/>
      <c r="J14" s="414" t="n"/>
      <c r="K14" s="414" t="n"/>
      <c r="L14" s="414" t="n"/>
      <c r="M14" s="414" t="n"/>
      <c r="N14" s="414" t="n"/>
      <c r="O14" s="414" t="n"/>
    </row>
    <row r="15" ht="18" customHeight="1" s="218">
      <c r="A15" s="399" t="inlineStr">
        <is>
          <t>Month 10</t>
        </is>
      </c>
      <c r="B15" s="412">
        <f>REVENUE!K7</f>
        <v/>
      </c>
      <c r="C15" s="412">
        <f>B15</f>
        <v/>
      </c>
      <c r="D15" s="413">
        <f>IFERROR(ROUND(C15*(1-ASSUMPTIONS!$B$14),0),0)</f>
        <v/>
      </c>
      <c r="E15" s="413">
        <f>IFERROR(ROUND(D15*(1-ASSUMPTIONS!$B$14),0),0)</f>
        <v/>
      </c>
      <c r="F15" s="413">
        <f>IFERROR(ROUND(E15*(1-ASSUMPTIONS!$B$14),0),0)</f>
        <v/>
      </c>
    </row>
    <row r="16" ht="18" customHeight="1" s="218">
      <c r="A16" s="400" t="inlineStr">
        <is>
          <t>Month 11</t>
        </is>
      </c>
      <c r="B16" s="410">
        <f>REVENUE!L7</f>
        <v/>
      </c>
      <c r="C16" s="410">
        <f>B16</f>
        <v/>
      </c>
      <c r="D16" s="411">
        <f>IFERROR(ROUND(C16*(1-ASSUMPTIONS!$B$14),0),0)</f>
        <v/>
      </c>
      <c r="E16" s="411">
        <f>IFERROR(ROUND(D16*(1-ASSUMPTIONS!$B$14),0),0)</f>
        <v/>
      </c>
      <c r="F16" s="414" t="n"/>
      <c r="G16" s="414" t="n"/>
      <c r="H16" s="414" t="n"/>
      <c r="I16" s="414" t="n"/>
      <c r="J16" s="414" t="n"/>
      <c r="K16" s="414" t="n"/>
      <c r="L16" s="414" t="n"/>
      <c r="M16" s="414" t="n"/>
      <c r="N16" s="414" t="n"/>
      <c r="O16" s="414" t="n"/>
    </row>
    <row r="17" ht="18" customHeight="1" s="218">
      <c r="A17" s="399" t="inlineStr">
        <is>
          <t>Month 12</t>
        </is>
      </c>
      <c r="B17" s="412">
        <f>REVENUE!M7</f>
        <v/>
      </c>
      <c r="C17" s="412">
        <f>B17</f>
        <v/>
      </c>
      <c r="D17" s="413">
        <f>IFERROR(ROUND(C17*(1-ASSUMPTIONS!$B$14),0),0)</f>
        <v/>
      </c>
    </row>
    <row r="18" ht="18" customHeight="1" s="218"/>
    <row r="19" ht="18" customHeight="1" s="218">
      <c r="A19" s="401" t="inlineStr">
        <is>
          <t>AVG RETENTION %</t>
        </is>
      </c>
      <c r="C19" s="401" t="inlineStr">
        <is>
          <t>100%</t>
        </is>
      </c>
      <c r="D19" s="415">
        <f>IFERROR(AVERAGE(D6:D17)/(AVERAGE(C6:C17)),0)</f>
        <v/>
      </c>
      <c r="E19" s="415">
        <f>IFERROR(AVERAGE(E6:E17)/(AVERAGE(C6:C17)),0)</f>
        <v/>
      </c>
      <c r="F19" s="415">
        <f>IFERROR(AVERAGE(F6:F17)/(AVERAGE(C6:C17)),0)</f>
        <v/>
      </c>
      <c r="G19" s="415">
        <f>IFERROR(AVERAGE(G6:G17)/(AVERAGE(C6:C17)),0)</f>
        <v/>
      </c>
      <c r="H19" s="415">
        <f>IFERROR(AVERAGE(H6:H17)/(AVERAGE(C6:C17)),0)</f>
        <v/>
      </c>
      <c r="I19" s="415">
        <f>IFERROR(AVERAGE(I6:I17)/(AVERAGE(C6:C17)),0)</f>
        <v/>
      </c>
      <c r="J19" s="415">
        <f>IFERROR(AVERAGE(J6:J17)/(AVERAGE(C6:C17)),0)</f>
        <v/>
      </c>
      <c r="K19" s="415">
        <f>IFERROR(AVERAGE(K6:K17)/(AVERAGE(C6:C17)),0)</f>
        <v/>
      </c>
      <c r="L19" s="415">
        <f>IFERROR(AVERAGE(L6:L17)/(AVERAGE(C6:C17)),0)</f>
        <v/>
      </c>
      <c r="M19" s="415">
        <f>IFERROR(AVERAGE(M6:M17)/(AVERAGE(C6:C17)),0)</f>
        <v/>
      </c>
      <c r="N19" s="415">
        <f>IFERROR(AVERAGE(N6:N17)/(AVERAGE(C6:C17)),0)</f>
        <v/>
      </c>
      <c r="O19" s="415">
        <f>IFERROR(AVERAGE(O6:O17)/(AVERAGE(C6:C17)),0)</f>
        <v/>
      </c>
    </row>
    <row r="20" ht="18" customHeight="1" s="218"/>
    <row r="21" ht="18" customHeight="1" s="218"/>
    <row r="22" ht="18" customHeight="1" s="218">
      <c r="A22" s="227" t="inlineStr">
        <is>
          <t>UNIT ECONOMICS DERIVED</t>
        </is>
      </c>
    </row>
    <row r="23" ht="18" customHeight="1" s="218">
      <c r="A23" s="399" t="inlineStr">
        <is>
          <t>Monthly Churn Rate</t>
        </is>
      </c>
      <c r="C23" s="416">
        <f>ASSUMPTIONS!B14</f>
        <v/>
      </c>
    </row>
    <row r="24" ht="18" customHeight="1" s="218">
      <c r="A24" s="400" t="inlineStr">
        <is>
          <t>Avg Customer Lifetime (months)</t>
        </is>
      </c>
      <c r="B24" s="414" t="n"/>
      <c r="C24" s="417">
        <f>IFERROR(1/ASSUMPTIONS!B14,999)</f>
        <v/>
      </c>
      <c r="D24" s="414" t="n"/>
      <c r="E24" s="414" t="n"/>
      <c r="F24" s="414" t="n"/>
      <c r="G24" s="414" t="n"/>
      <c r="H24" s="414" t="n"/>
      <c r="I24" s="414" t="n"/>
      <c r="J24" s="414" t="n"/>
      <c r="K24" s="414" t="n"/>
      <c r="L24" s="414" t="n"/>
      <c r="M24" s="414" t="n"/>
      <c r="N24" s="414" t="n"/>
      <c r="O24" s="414" t="n"/>
    </row>
    <row r="25" ht="18" customHeight="1" s="218">
      <c r="A25" s="399" t="inlineStr">
        <is>
          <t>Monthly ARPU (Marketplace)</t>
        </is>
      </c>
      <c r="C25" s="418">
        <f>IFERROR(REVENUE!M19/REVENUE!M9,0)</f>
        <v/>
      </c>
    </row>
    <row r="26" ht="18" customHeight="1" s="218">
      <c r="A26" s="398" t="inlineStr">
        <is>
          <t>LTV (Marketplace Buyer)</t>
        </is>
      </c>
      <c r="B26" s="414" t="n"/>
      <c r="C26" s="419">
        <f>IFERROR(C25*C24,0)</f>
        <v/>
      </c>
      <c r="D26" s="414" t="n"/>
      <c r="E26" s="414" t="n"/>
      <c r="F26" s="414" t="n"/>
      <c r="G26" s="414" t="n"/>
      <c r="H26" s="414" t="n"/>
      <c r="I26" s="414" t="n"/>
      <c r="J26" s="414" t="n"/>
      <c r="K26" s="414" t="n"/>
      <c r="L26" s="414" t="n"/>
      <c r="M26" s="414" t="n"/>
      <c r="N26" s="414" t="n"/>
      <c r="O26" s="414" t="n"/>
    </row>
    <row r="27" ht="18" customHeight="1" s="218">
      <c r="A27" s="399" t="inlineStr">
        <is>
          <t>Blended CAC</t>
        </is>
      </c>
      <c r="C27" s="418">
        <f>ASSUMPTIONS!B36</f>
        <v/>
      </c>
    </row>
    <row r="28" ht="18" customHeight="1" s="218">
      <c r="A28" s="398" t="inlineStr">
        <is>
          <t>LTV : CAC Ratio</t>
        </is>
      </c>
      <c r="B28" s="414" t="n"/>
      <c r="C28" s="420">
        <f>IFERROR(C26/C27,0)</f>
        <v/>
      </c>
      <c r="D28" s="414" t="n"/>
      <c r="E28" s="414" t="n"/>
      <c r="F28" s="414" t="n"/>
      <c r="G28" s="414" t="n"/>
      <c r="H28" s="414" t="n"/>
      <c r="I28" s="414" t="n"/>
      <c r="J28" s="414" t="n"/>
      <c r="K28" s="414" t="n"/>
      <c r="L28" s="414" t="n"/>
      <c r="M28" s="414" t="n"/>
      <c r="N28" s="414" t="n"/>
      <c r="O28" s="414" t="n"/>
    </row>
    <row r="29" ht="18" customHeight="1" s="218">
      <c r="A29" s="399" t="inlineStr">
        <is>
          <t>CAC Payback (months)</t>
        </is>
      </c>
      <c r="C29" s="421">
        <f>IFERROR(C27/C25,0)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N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217" min="1" max="1"/>
    <col width="13" customWidth="1" style="217" min="2" max="14"/>
  </cols>
  <sheetData>
    <row r="1" ht="27.75" customHeight="1" s="218">
      <c r="A1" s="396" t="inlineStr">
        <is>
          <t>MONTHLY DASHBOARD</t>
        </is>
      </c>
    </row>
    <row r="2" ht="18" customHeight="1" s="218">
      <c r="A2" s="397" t="inlineStr">
        <is>
          <t>Month-by-month view of key operating metrics. All data auto-populated from model sheets.</t>
        </is>
      </c>
    </row>
    <row r="3" ht="18" customHeight="1" s="218"/>
    <row r="4" ht="18" customHeight="1" s="218">
      <c r="A4" s="340" t="inlineStr">
        <is>
          <t>Metric</t>
        </is>
      </c>
      <c r="B4" s="340" t="inlineStr">
        <is>
          <t>M1</t>
        </is>
      </c>
      <c r="C4" s="340" t="inlineStr">
        <is>
          <t>M2</t>
        </is>
      </c>
      <c r="D4" s="340" t="inlineStr">
        <is>
          <t>M3</t>
        </is>
      </c>
      <c r="E4" s="340" t="inlineStr">
        <is>
          <t>M4</t>
        </is>
      </c>
      <c r="F4" s="340" t="inlineStr">
        <is>
          <t>M5</t>
        </is>
      </c>
      <c r="G4" s="340" t="inlineStr">
        <is>
          <t>M6</t>
        </is>
      </c>
      <c r="H4" s="340" t="inlineStr">
        <is>
          <t>M7</t>
        </is>
      </c>
      <c r="I4" s="340" t="inlineStr">
        <is>
          <t>M8</t>
        </is>
      </c>
      <c r="J4" s="340" t="inlineStr">
        <is>
          <t>M9</t>
        </is>
      </c>
      <c r="K4" s="340" t="inlineStr">
        <is>
          <t>M10</t>
        </is>
      </c>
      <c r="L4" s="340" t="inlineStr">
        <is>
          <t>M11</t>
        </is>
      </c>
      <c r="M4" s="340" t="inlineStr">
        <is>
          <t>M12</t>
        </is>
      </c>
      <c r="N4" s="340" t="inlineStr">
        <is>
          <t>Year 1</t>
        </is>
      </c>
    </row>
    <row r="5" ht="18" customHeight="1" s="218">
      <c r="A5" s="343" t="inlineStr">
        <is>
          <t>REVENUE</t>
        </is>
      </c>
      <c r="B5" s="344" t="n"/>
      <c r="C5" s="344" t="n"/>
      <c r="D5" s="344" t="n"/>
      <c r="E5" s="344" t="n"/>
      <c r="F5" s="344" t="n"/>
      <c r="G5" s="344" t="n"/>
      <c r="H5" s="344" t="n"/>
      <c r="I5" s="344" t="n"/>
      <c r="J5" s="344" t="n"/>
      <c r="K5" s="344" t="n"/>
      <c r="L5" s="344" t="n"/>
      <c r="M5" s="344" t="n"/>
      <c r="N5" s="344" t="n"/>
    </row>
    <row r="6" ht="18" customHeight="1" s="218">
      <c r="A6" s="400" t="inlineStr">
        <is>
          <t>Total Revenue</t>
        </is>
      </c>
      <c r="B6" s="346">
        <f>'P&amp;L'!B10</f>
        <v/>
      </c>
      <c r="C6" s="346">
        <f>'P&amp;L'!C10</f>
        <v/>
      </c>
      <c r="D6" s="346">
        <f>'P&amp;L'!D10</f>
        <v/>
      </c>
      <c r="E6" s="346">
        <f>'P&amp;L'!E10</f>
        <v/>
      </c>
      <c r="F6" s="346">
        <f>'P&amp;L'!F10</f>
        <v/>
      </c>
      <c r="G6" s="346">
        <f>'P&amp;L'!G10</f>
        <v/>
      </c>
      <c r="H6" s="346">
        <f>'P&amp;L'!H10</f>
        <v/>
      </c>
      <c r="I6" s="346">
        <f>'P&amp;L'!I10</f>
        <v/>
      </c>
      <c r="J6" s="346">
        <f>'P&amp;L'!J10</f>
        <v/>
      </c>
      <c r="K6" s="346">
        <f>'P&amp;L'!K10</f>
        <v/>
      </c>
      <c r="L6" s="346">
        <f>'P&amp;L'!L10</f>
        <v/>
      </c>
      <c r="M6" s="346">
        <f>'P&amp;L'!M10</f>
        <v/>
      </c>
      <c r="N6" s="346">
        <f>'P&amp;L'!N10</f>
        <v/>
      </c>
    </row>
    <row r="7" ht="18" customHeight="1" s="218">
      <c r="A7" s="399" t="inlineStr">
        <is>
          <t>Marketplace Rev</t>
        </is>
      </c>
      <c r="B7" s="371">
        <f>'P&amp;L'!B8</f>
        <v/>
      </c>
      <c r="C7" s="371">
        <f>'P&amp;L'!C8</f>
        <v/>
      </c>
      <c r="D7" s="371">
        <f>'P&amp;L'!D8</f>
        <v/>
      </c>
      <c r="E7" s="371">
        <f>'P&amp;L'!E8</f>
        <v/>
      </c>
      <c r="F7" s="371">
        <f>'P&amp;L'!F8</f>
        <v/>
      </c>
      <c r="G7" s="371">
        <f>'P&amp;L'!G8</f>
        <v/>
      </c>
      <c r="H7" s="371">
        <f>'P&amp;L'!H8</f>
        <v/>
      </c>
      <c r="I7" s="371">
        <f>'P&amp;L'!I8</f>
        <v/>
      </c>
      <c r="J7" s="371">
        <f>'P&amp;L'!J8</f>
        <v/>
      </c>
      <c r="K7" s="371">
        <f>'P&amp;L'!K8</f>
        <v/>
      </c>
      <c r="L7" s="371">
        <f>'P&amp;L'!L8</f>
        <v/>
      </c>
      <c r="M7" s="371">
        <f>'P&amp;L'!M8</f>
        <v/>
      </c>
      <c r="N7" s="371">
        <f>'P&amp;L'!N8</f>
        <v/>
      </c>
    </row>
    <row r="8" ht="18" customHeight="1" s="218">
      <c r="A8" s="400" t="inlineStr">
        <is>
          <t>SaaS Rev</t>
        </is>
      </c>
      <c r="B8" s="346">
        <f>'P&amp;L'!B9</f>
        <v/>
      </c>
      <c r="C8" s="346">
        <f>'P&amp;L'!C9</f>
        <v/>
      </c>
      <c r="D8" s="346">
        <f>'P&amp;L'!D9</f>
        <v/>
      </c>
      <c r="E8" s="346">
        <f>'P&amp;L'!E9</f>
        <v/>
      </c>
      <c r="F8" s="346">
        <f>'P&amp;L'!F9</f>
        <v/>
      </c>
      <c r="G8" s="346">
        <f>'P&amp;L'!G9</f>
        <v/>
      </c>
      <c r="H8" s="346">
        <f>'P&amp;L'!H9</f>
        <v/>
      </c>
      <c r="I8" s="346">
        <f>'P&amp;L'!I9</f>
        <v/>
      </c>
      <c r="J8" s="346">
        <f>'P&amp;L'!J9</f>
        <v/>
      </c>
      <c r="K8" s="346">
        <f>'P&amp;L'!K9</f>
        <v/>
      </c>
      <c r="L8" s="346">
        <f>'P&amp;L'!L9</f>
        <v/>
      </c>
      <c r="M8" s="346">
        <f>'P&amp;L'!M9</f>
        <v/>
      </c>
      <c r="N8" s="346">
        <f>'P&amp;L'!N9</f>
        <v/>
      </c>
    </row>
    <row r="9" ht="18" customHeight="1" s="218">
      <c r="A9" s="399" t="inlineStr">
        <is>
          <t>MoM Growth %</t>
        </is>
      </c>
      <c r="B9" s="422" t="n">
        <v>0</v>
      </c>
      <c r="C9" s="422">
        <f>IFERROR((C6-B6)/B6,0)</f>
        <v/>
      </c>
      <c r="D9" s="422">
        <f>IFERROR((D6-C6)/C6,0)</f>
        <v/>
      </c>
      <c r="E9" s="422">
        <f>IFERROR((E6-D6)/D6,0)</f>
        <v/>
      </c>
      <c r="F9" s="422">
        <f>IFERROR((F6-E6)/E6,0)</f>
        <v/>
      </c>
      <c r="G9" s="422">
        <f>IFERROR((G6-F6)/F6,0)</f>
        <v/>
      </c>
      <c r="H9" s="422">
        <f>IFERROR((H6-G6)/G6,0)</f>
        <v/>
      </c>
      <c r="I9" s="422">
        <f>IFERROR((I6-H6)/H6,0)</f>
        <v/>
      </c>
      <c r="J9" s="422">
        <f>IFERROR((J6-I6)/I6,0)</f>
        <v/>
      </c>
      <c r="K9" s="422">
        <f>IFERROR((K6-J6)/J6,0)</f>
        <v/>
      </c>
      <c r="L9" s="422">
        <f>IFERROR((L6-K6)/K6,0)</f>
        <v/>
      </c>
      <c r="M9" s="422">
        <f>IFERROR((M6-L6)/L6,0)</f>
        <v/>
      </c>
    </row>
    <row r="10" ht="18" customHeight="1" s="218"/>
    <row r="11" ht="18" customHeight="1" s="218">
      <c r="A11" s="343" t="inlineStr">
        <is>
          <t>COSTS</t>
        </is>
      </c>
      <c r="B11" s="344" t="n"/>
      <c r="C11" s="344" t="n"/>
      <c r="D11" s="344" t="n"/>
      <c r="E11" s="344" t="n"/>
      <c r="F11" s="344" t="n"/>
      <c r="G11" s="344" t="n"/>
      <c r="H11" s="344" t="n"/>
      <c r="I11" s="344" t="n"/>
      <c r="J11" s="344" t="n"/>
      <c r="K11" s="344" t="n"/>
      <c r="L11" s="344" t="n"/>
      <c r="M11" s="344" t="n"/>
      <c r="N11" s="344" t="n"/>
    </row>
    <row r="12" ht="18" customHeight="1" s="218">
      <c r="A12" s="400" t="inlineStr">
        <is>
          <t>COGS</t>
        </is>
      </c>
      <c r="B12" s="346">
        <f>'P&amp;L'!B13</f>
        <v/>
      </c>
      <c r="C12" s="346">
        <f>'P&amp;L'!C13</f>
        <v/>
      </c>
      <c r="D12" s="346">
        <f>'P&amp;L'!D13</f>
        <v/>
      </c>
      <c r="E12" s="346">
        <f>'P&amp;L'!E13</f>
        <v/>
      </c>
      <c r="F12" s="346">
        <f>'P&amp;L'!F13</f>
        <v/>
      </c>
      <c r="G12" s="346">
        <f>'P&amp;L'!G13</f>
        <v/>
      </c>
      <c r="H12" s="346">
        <f>'P&amp;L'!H13</f>
        <v/>
      </c>
      <c r="I12" s="346">
        <f>'P&amp;L'!I13</f>
        <v/>
      </c>
      <c r="J12" s="346">
        <f>'P&amp;L'!J13</f>
        <v/>
      </c>
      <c r="K12" s="346">
        <f>'P&amp;L'!K13</f>
        <v/>
      </c>
      <c r="L12" s="346">
        <f>'P&amp;L'!L13</f>
        <v/>
      </c>
      <c r="M12" s="346">
        <f>'P&amp;L'!M13</f>
        <v/>
      </c>
      <c r="N12" s="346">
        <f>'P&amp;L'!N13</f>
        <v/>
      </c>
    </row>
    <row r="13" ht="18" customHeight="1" s="218">
      <c r="A13" s="401" t="inlineStr">
        <is>
          <t>Gross Profit</t>
        </is>
      </c>
      <c r="B13" s="371">
        <f>'P&amp;L'!B14</f>
        <v/>
      </c>
      <c r="C13" s="371">
        <f>'P&amp;L'!C14</f>
        <v/>
      </c>
      <c r="D13" s="371">
        <f>'P&amp;L'!D14</f>
        <v/>
      </c>
      <c r="E13" s="371">
        <f>'P&amp;L'!E14</f>
        <v/>
      </c>
      <c r="F13" s="371">
        <f>'P&amp;L'!F14</f>
        <v/>
      </c>
      <c r="G13" s="371">
        <f>'P&amp;L'!G14</f>
        <v/>
      </c>
      <c r="H13" s="371">
        <f>'P&amp;L'!H14</f>
        <v/>
      </c>
      <c r="I13" s="371">
        <f>'P&amp;L'!I14</f>
        <v/>
      </c>
      <c r="J13" s="371">
        <f>'P&amp;L'!J14</f>
        <v/>
      </c>
      <c r="K13" s="371">
        <f>'P&amp;L'!K14</f>
        <v/>
      </c>
      <c r="L13" s="371">
        <f>'P&amp;L'!L14</f>
        <v/>
      </c>
      <c r="M13" s="371">
        <f>'P&amp;L'!M14</f>
        <v/>
      </c>
      <c r="N13" s="371">
        <f>'P&amp;L'!N14</f>
        <v/>
      </c>
    </row>
    <row r="14" ht="18" customHeight="1" s="218">
      <c r="A14" s="400" t="inlineStr">
        <is>
          <t>Total OpEx</t>
        </is>
      </c>
      <c r="B14" s="346">
        <f>'P&amp;L'!B31</f>
        <v/>
      </c>
      <c r="C14" s="346">
        <f>'P&amp;L'!C31</f>
        <v/>
      </c>
      <c r="D14" s="346">
        <f>'P&amp;L'!D31</f>
        <v/>
      </c>
      <c r="E14" s="346">
        <f>'P&amp;L'!E31</f>
        <v/>
      </c>
      <c r="F14" s="346">
        <f>'P&amp;L'!F31</f>
        <v/>
      </c>
      <c r="G14" s="346">
        <f>'P&amp;L'!G31</f>
        <v/>
      </c>
      <c r="H14" s="346">
        <f>'P&amp;L'!H31</f>
        <v/>
      </c>
      <c r="I14" s="346">
        <f>'P&amp;L'!I31</f>
        <v/>
      </c>
      <c r="J14" s="346">
        <f>'P&amp;L'!J31</f>
        <v/>
      </c>
      <c r="K14" s="346">
        <f>'P&amp;L'!K31</f>
        <v/>
      </c>
      <c r="L14" s="346">
        <f>'P&amp;L'!L31</f>
        <v/>
      </c>
      <c r="M14" s="346">
        <f>'P&amp;L'!M31</f>
        <v/>
      </c>
      <c r="N14" s="346">
        <f>'P&amp;L'!N31</f>
        <v/>
      </c>
    </row>
    <row r="15" ht="18" customHeight="1" s="218">
      <c r="A15" s="399" t="inlineStr">
        <is>
          <t>Headcount Cost</t>
        </is>
      </c>
      <c r="B15" s="371">
        <f>'P&amp;L'!B25</f>
        <v/>
      </c>
      <c r="C15" s="371">
        <f>'P&amp;L'!C25</f>
        <v/>
      </c>
      <c r="D15" s="371">
        <f>'P&amp;L'!D25</f>
        <v/>
      </c>
      <c r="E15" s="371">
        <f>'P&amp;L'!E25</f>
        <v/>
      </c>
      <c r="F15" s="371">
        <f>'P&amp;L'!F25</f>
        <v/>
      </c>
      <c r="G15" s="371">
        <f>'P&amp;L'!G25</f>
        <v/>
      </c>
      <c r="H15" s="371">
        <f>'P&amp;L'!H25</f>
        <v/>
      </c>
      <c r="I15" s="371">
        <f>'P&amp;L'!I25</f>
        <v/>
      </c>
      <c r="J15" s="371">
        <f>'P&amp;L'!J25</f>
        <v/>
      </c>
      <c r="K15" s="371">
        <f>'P&amp;L'!K25</f>
        <v/>
      </c>
      <c r="L15" s="371">
        <f>'P&amp;L'!L25</f>
        <v/>
      </c>
      <c r="M15" s="371">
        <f>'P&amp;L'!M25</f>
        <v/>
      </c>
      <c r="N15" s="371">
        <f>'P&amp;L'!N25</f>
        <v/>
      </c>
    </row>
    <row r="16" ht="18" customHeight="1" s="218"/>
    <row r="17" ht="18" customHeight="1" s="218">
      <c r="A17" s="343" t="inlineStr">
        <is>
          <t>PROFITABILITY</t>
        </is>
      </c>
      <c r="B17" s="344" t="n"/>
      <c r="C17" s="344" t="n"/>
      <c r="D17" s="344" t="n"/>
      <c r="E17" s="344" t="n"/>
      <c r="F17" s="344" t="n"/>
      <c r="G17" s="344" t="n"/>
      <c r="H17" s="344" t="n"/>
      <c r="I17" s="344" t="n"/>
      <c r="J17" s="344" t="n"/>
      <c r="K17" s="344" t="n"/>
      <c r="L17" s="344" t="n"/>
      <c r="M17" s="344" t="n"/>
      <c r="N17" s="344" t="n"/>
    </row>
    <row r="18" ht="18" customHeight="1" s="218">
      <c r="A18" s="398" t="inlineStr">
        <is>
          <t>EBITDA</t>
        </is>
      </c>
      <c r="B18" s="346">
        <f>'P&amp;L'!B33</f>
        <v/>
      </c>
      <c r="C18" s="346">
        <f>'P&amp;L'!C33</f>
        <v/>
      </c>
      <c r="D18" s="346">
        <f>'P&amp;L'!D33</f>
        <v/>
      </c>
      <c r="E18" s="346">
        <f>'P&amp;L'!E33</f>
        <v/>
      </c>
      <c r="F18" s="346">
        <f>'P&amp;L'!F33</f>
        <v/>
      </c>
      <c r="G18" s="346">
        <f>'P&amp;L'!G33</f>
        <v/>
      </c>
      <c r="H18" s="346">
        <f>'P&amp;L'!H33</f>
        <v/>
      </c>
      <c r="I18" s="346">
        <f>'P&amp;L'!I33</f>
        <v/>
      </c>
      <c r="J18" s="346">
        <f>'P&amp;L'!J33</f>
        <v/>
      </c>
      <c r="K18" s="346">
        <f>'P&amp;L'!K33</f>
        <v/>
      </c>
      <c r="L18" s="346">
        <f>'P&amp;L'!L33</f>
        <v/>
      </c>
      <c r="M18" s="346">
        <f>'P&amp;L'!M33</f>
        <v/>
      </c>
      <c r="N18" s="346">
        <f>'P&amp;L'!N33</f>
        <v/>
      </c>
    </row>
    <row r="19" ht="18" customHeight="1" s="218">
      <c r="A19" s="399" t="inlineStr">
        <is>
          <t>EBITDA Margin %</t>
        </is>
      </c>
      <c r="B19" s="363">
        <f>'P&amp;L'!B34</f>
        <v/>
      </c>
      <c r="C19" s="363">
        <f>'P&amp;L'!C34</f>
        <v/>
      </c>
      <c r="D19" s="363">
        <f>'P&amp;L'!D34</f>
        <v/>
      </c>
      <c r="E19" s="363">
        <f>'P&amp;L'!E34</f>
        <v/>
      </c>
      <c r="F19" s="363">
        <f>'P&amp;L'!F34</f>
        <v/>
      </c>
      <c r="G19" s="363">
        <f>'P&amp;L'!G34</f>
        <v/>
      </c>
      <c r="H19" s="363">
        <f>'P&amp;L'!H34</f>
        <v/>
      </c>
      <c r="I19" s="363">
        <f>'P&amp;L'!I34</f>
        <v/>
      </c>
      <c r="J19" s="363">
        <f>'P&amp;L'!J34</f>
        <v/>
      </c>
      <c r="K19" s="363">
        <f>'P&amp;L'!K34</f>
        <v/>
      </c>
      <c r="L19" s="363">
        <f>'P&amp;L'!L34</f>
        <v/>
      </c>
      <c r="M19" s="363">
        <f>'P&amp;L'!M34</f>
        <v/>
      </c>
      <c r="N19" s="363">
        <f>'P&amp;L'!M34</f>
        <v/>
      </c>
    </row>
    <row r="20" ht="18" customHeight="1" s="218">
      <c r="A20" s="398" t="inlineStr">
        <is>
          <t>Net Income</t>
        </is>
      </c>
      <c r="B20" s="346">
        <f>'P&amp;L'!B37</f>
        <v/>
      </c>
      <c r="C20" s="346">
        <f>'P&amp;L'!C37</f>
        <v/>
      </c>
      <c r="D20" s="346">
        <f>'P&amp;L'!D37</f>
        <v/>
      </c>
      <c r="E20" s="346">
        <f>'P&amp;L'!E37</f>
        <v/>
      </c>
      <c r="F20" s="346">
        <f>'P&amp;L'!F37</f>
        <v/>
      </c>
      <c r="G20" s="346">
        <f>'P&amp;L'!G37</f>
        <v/>
      </c>
      <c r="H20" s="346">
        <f>'P&amp;L'!H37</f>
        <v/>
      </c>
      <c r="I20" s="346">
        <f>'P&amp;L'!I37</f>
        <v/>
      </c>
      <c r="J20" s="346">
        <f>'P&amp;L'!J37</f>
        <v/>
      </c>
      <c r="K20" s="346">
        <f>'P&amp;L'!K37</f>
        <v/>
      </c>
      <c r="L20" s="346">
        <f>'P&amp;L'!L37</f>
        <v/>
      </c>
      <c r="M20" s="346">
        <f>'P&amp;L'!M37</f>
        <v/>
      </c>
      <c r="N20" s="346">
        <f>'P&amp;L'!N37</f>
        <v/>
      </c>
    </row>
    <row r="21" ht="18" customHeight="1" s="218"/>
    <row r="22" ht="18" customHeight="1" s="218">
      <c r="A22" s="343" t="inlineStr">
        <is>
          <t>CASH</t>
        </is>
      </c>
      <c r="B22" s="344" t="n"/>
      <c r="C22" s="344" t="n"/>
      <c r="D22" s="344" t="n"/>
      <c r="E22" s="344" t="n"/>
      <c r="F22" s="344" t="n"/>
      <c r="G22" s="344" t="n"/>
      <c r="H22" s="344" t="n"/>
      <c r="I22" s="344" t="n"/>
      <c r="J22" s="344" t="n"/>
      <c r="K22" s="344" t="n"/>
      <c r="L22" s="344" t="n"/>
      <c r="M22" s="344" t="n"/>
      <c r="N22" s="344" t="n"/>
    </row>
    <row r="23" ht="18" customHeight="1" s="218">
      <c r="A23" s="401" t="inlineStr">
        <is>
          <t>Closing Cash</t>
        </is>
      </c>
      <c r="B23" s="371">
        <f>'CASH FLOW'!B25</f>
        <v/>
      </c>
      <c r="C23" s="371">
        <f>'CASH FLOW'!C25</f>
        <v/>
      </c>
      <c r="D23" s="371">
        <f>'CASH FLOW'!D25</f>
        <v/>
      </c>
      <c r="E23" s="371">
        <f>'CASH FLOW'!E25</f>
        <v/>
      </c>
      <c r="F23" s="371">
        <f>'CASH FLOW'!F25</f>
        <v/>
      </c>
      <c r="G23" s="371">
        <f>'CASH FLOW'!G25</f>
        <v/>
      </c>
      <c r="H23" s="371">
        <f>'CASH FLOW'!H25</f>
        <v/>
      </c>
      <c r="I23" s="371">
        <f>'CASH FLOW'!I25</f>
        <v/>
      </c>
      <c r="J23" s="371">
        <f>'CASH FLOW'!J25</f>
        <v/>
      </c>
      <c r="K23" s="371">
        <f>'CASH FLOW'!K25</f>
        <v/>
      </c>
      <c r="L23" s="371">
        <f>'CASH FLOW'!L25</f>
        <v/>
      </c>
      <c r="M23" s="371">
        <f>'CASH FLOW'!M25</f>
        <v/>
      </c>
      <c r="N23" s="371">
        <f>'CASH FLOW'!N25</f>
        <v/>
      </c>
    </row>
    <row r="24" ht="18" customHeight="1" s="218">
      <c r="A24" s="400" t="inlineStr">
        <is>
          <t>Monthly Burn</t>
        </is>
      </c>
      <c r="B24" s="346">
        <f>'CASH FLOW'!B27</f>
        <v/>
      </c>
      <c r="C24" s="346">
        <f>'CASH FLOW'!C27</f>
        <v/>
      </c>
      <c r="D24" s="346">
        <f>'CASH FLOW'!D27</f>
        <v/>
      </c>
      <c r="E24" s="346">
        <f>'CASH FLOW'!E27</f>
        <v/>
      </c>
      <c r="F24" s="346">
        <f>'CASH FLOW'!F27</f>
        <v/>
      </c>
      <c r="G24" s="346">
        <f>'CASH FLOW'!G27</f>
        <v/>
      </c>
      <c r="H24" s="346">
        <f>'CASH FLOW'!H27</f>
        <v/>
      </c>
      <c r="I24" s="346">
        <f>'CASH FLOW'!I27</f>
        <v/>
      </c>
      <c r="J24" s="346">
        <f>'CASH FLOW'!J27</f>
        <v/>
      </c>
      <c r="K24" s="346">
        <f>'CASH FLOW'!K27</f>
        <v/>
      </c>
      <c r="L24" s="346">
        <f>'CASH FLOW'!L27</f>
        <v/>
      </c>
      <c r="M24" s="346">
        <f>'CASH FLOW'!M27</f>
        <v/>
      </c>
      <c r="N24" s="346">
        <f>'CASH FLOW'!N27</f>
        <v/>
      </c>
    </row>
    <row r="25" ht="18" customHeight="1" s="218">
      <c r="A25" s="399" t="inlineStr">
        <is>
          <t>Runway (months)</t>
        </is>
      </c>
      <c r="B25" s="423">
        <f>'CASH FLOW'!B28</f>
        <v/>
      </c>
      <c r="C25" s="423">
        <f>'CASH FLOW'!C28</f>
        <v/>
      </c>
      <c r="D25" s="423">
        <f>'CASH FLOW'!D28</f>
        <v/>
      </c>
      <c r="E25" s="423">
        <f>'CASH FLOW'!E28</f>
        <v/>
      </c>
      <c r="F25" s="423">
        <f>'CASH FLOW'!F28</f>
        <v/>
      </c>
      <c r="G25" s="423">
        <f>'CASH FLOW'!G28</f>
        <v/>
      </c>
      <c r="H25" s="423">
        <f>'CASH FLOW'!H28</f>
        <v/>
      </c>
      <c r="I25" s="423">
        <f>'CASH FLOW'!I28</f>
        <v/>
      </c>
      <c r="J25" s="423">
        <f>'CASH FLOW'!J28</f>
        <v/>
      </c>
      <c r="K25" s="423">
        <f>'CASH FLOW'!K28</f>
        <v/>
      </c>
      <c r="L25" s="423">
        <f>'CASH FLOW'!L28</f>
        <v/>
      </c>
      <c r="M25" s="423">
        <f>'CASH FLOW'!M28</f>
        <v/>
      </c>
      <c r="N25" s="423">
        <f>'CASH FLOW'!M28</f>
        <v/>
      </c>
    </row>
    <row r="26" ht="18" customHeight="1" s="218"/>
    <row r="27" ht="18" customHeight="1" s="218">
      <c r="A27" s="343" t="inlineStr">
        <is>
          <t>USERS</t>
        </is>
      </c>
      <c r="B27" s="344" t="n"/>
      <c r="C27" s="344" t="n"/>
      <c r="D27" s="344" t="n"/>
      <c r="E27" s="344" t="n"/>
      <c r="F27" s="344" t="n"/>
      <c r="G27" s="344" t="n"/>
      <c r="H27" s="344" t="n"/>
      <c r="I27" s="344" t="n"/>
      <c r="J27" s="344" t="n"/>
      <c r="K27" s="344" t="n"/>
      <c r="L27" s="344" t="n"/>
      <c r="M27" s="344" t="n"/>
      <c r="N27" s="344" t="n"/>
    </row>
    <row r="28" ht="18" customHeight="1" s="218">
      <c r="A28" s="400" t="inlineStr">
        <is>
          <t>Active Buyers</t>
        </is>
      </c>
      <c r="B28" s="373">
        <f>REVENUE!B9</f>
        <v/>
      </c>
      <c r="C28" s="373">
        <f>REVENUE!C9</f>
        <v/>
      </c>
      <c r="D28" s="373">
        <f>REVENUE!D9</f>
        <v/>
      </c>
      <c r="E28" s="373">
        <f>REVENUE!E9</f>
        <v/>
      </c>
      <c r="F28" s="373">
        <f>REVENUE!F9</f>
        <v/>
      </c>
      <c r="G28" s="373">
        <f>REVENUE!G9</f>
        <v/>
      </c>
      <c r="H28" s="373">
        <f>REVENUE!H9</f>
        <v/>
      </c>
      <c r="I28" s="373">
        <f>REVENUE!I9</f>
        <v/>
      </c>
      <c r="J28" s="373">
        <f>REVENUE!J9</f>
        <v/>
      </c>
      <c r="K28" s="373">
        <f>REVENUE!K9</f>
        <v/>
      </c>
      <c r="L28" s="373">
        <f>REVENUE!L9</f>
        <v/>
      </c>
      <c r="M28" s="373">
        <f>REVENUE!M9</f>
        <v/>
      </c>
      <c r="N28" s="373">
        <f>REVENUE!N9</f>
        <v/>
      </c>
    </row>
    <row r="29" ht="18" customHeight="1" s="218">
      <c r="A29" s="399" t="inlineStr">
        <is>
          <t>Active Sellers</t>
        </is>
      </c>
      <c r="B29" s="375">
        <f>REVENUE!B13</f>
        <v/>
      </c>
      <c r="C29" s="375">
        <f>REVENUE!C13</f>
        <v/>
      </c>
      <c r="D29" s="375">
        <f>REVENUE!D13</f>
        <v/>
      </c>
      <c r="E29" s="375">
        <f>REVENUE!E13</f>
        <v/>
      </c>
      <c r="F29" s="375">
        <f>REVENUE!F13</f>
        <v/>
      </c>
      <c r="G29" s="375">
        <f>REVENUE!G13</f>
        <v/>
      </c>
      <c r="H29" s="375">
        <f>REVENUE!H13</f>
        <v/>
      </c>
      <c r="I29" s="375">
        <f>REVENUE!I13</f>
        <v/>
      </c>
      <c r="J29" s="375">
        <f>REVENUE!J13</f>
        <v/>
      </c>
      <c r="K29" s="375">
        <f>REVENUE!K13</f>
        <v/>
      </c>
      <c r="L29" s="375">
        <f>REVENUE!L13</f>
        <v/>
      </c>
      <c r="M29" s="375">
        <f>REVENUE!M13</f>
        <v/>
      </c>
      <c r="N29" s="375">
        <f>REVENUE!N13</f>
        <v/>
      </c>
    </row>
    <row r="30" ht="18" customHeight="1" s="218">
      <c r="A30" s="400" t="inlineStr">
        <is>
          <t>SaaS Subscribers</t>
        </is>
      </c>
      <c r="B30" s="373">
        <f>REVENUE!B24</f>
        <v/>
      </c>
      <c r="C30" s="373">
        <f>REVENUE!C24</f>
        <v/>
      </c>
      <c r="D30" s="373">
        <f>REVENUE!D24</f>
        <v/>
      </c>
      <c r="E30" s="373">
        <f>REVENUE!E24</f>
        <v/>
      </c>
      <c r="F30" s="373">
        <f>REVENUE!F24</f>
        <v/>
      </c>
      <c r="G30" s="373">
        <f>REVENUE!G24</f>
        <v/>
      </c>
      <c r="H30" s="373">
        <f>REVENUE!H24</f>
        <v/>
      </c>
      <c r="I30" s="373">
        <f>REVENUE!I24</f>
        <v/>
      </c>
      <c r="J30" s="373">
        <f>REVENUE!J24</f>
        <v/>
      </c>
      <c r="K30" s="373">
        <f>REVENUE!K24</f>
        <v/>
      </c>
      <c r="L30" s="373">
        <f>REVENUE!L24</f>
        <v/>
      </c>
      <c r="M30" s="373">
        <f>REVENUE!M24</f>
        <v/>
      </c>
      <c r="N30" s="373">
        <f>REVENUE!N24</f>
        <v/>
      </c>
    </row>
    <row r="31" ht="18" customHeight="1" s="218">
      <c r="A31" s="399" t="inlineStr">
        <is>
          <t>GMV</t>
        </is>
      </c>
      <c r="B31" s="371">
        <f>REVENUE!B16</f>
        <v/>
      </c>
      <c r="C31" s="371">
        <f>REVENUE!C16</f>
        <v/>
      </c>
      <c r="D31" s="371">
        <f>REVENUE!D16</f>
        <v/>
      </c>
      <c r="E31" s="371">
        <f>REVENUE!E16</f>
        <v/>
      </c>
      <c r="F31" s="371">
        <f>REVENUE!F16</f>
        <v/>
      </c>
      <c r="G31" s="371">
        <f>REVENUE!G16</f>
        <v/>
      </c>
      <c r="H31" s="371">
        <f>REVENUE!H16</f>
        <v/>
      </c>
      <c r="I31" s="371">
        <f>REVENUE!I16</f>
        <v/>
      </c>
      <c r="J31" s="371">
        <f>REVENUE!J16</f>
        <v/>
      </c>
      <c r="K31" s="371">
        <f>REVENUE!K16</f>
        <v/>
      </c>
      <c r="L31" s="371">
        <f>REVENUE!L16</f>
        <v/>
      </c>
      <c r="M31" s="371">
        <f>REVENUE!M16</f>
        <v/>
      </c>
      <c r="N31" s="371">
        <f>REVENUE!N16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D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217" min="1" max="1"/>
    <col width="18" customWidth="1" style="217" min="2" max="4"/>
  </cols>
  <sheetData>
    <row r="1" ht="27.75" customHeight="1" s="218">
      <c r="A1" s="396" t="inlineStr">
        <is>
          <t>SCENARIO COMPARISON</t>
        </is>
      </c>
    </row>
    <row r="2" ht="18" customHeight="1" s="218">
      <c r="A2" s="397" t="inlineStr">
        <is>
          <t>Three scenarios showing impact of different growth assumptions on key metrics. Yellow cells are adjustable multipliers.</t>
        </is>
      </c>
    </row>
    <row r="3" ht="18" customHeight="1" s="218"/>
    <row r="4" ht="18" customHeight="1" s="218">
      <c r="A4" s="227" t="inlineStr">
        <is>
          <t>SCENARIO MULTIPLIERS</t>
        </is>
      </c>
    </row>
    <row r="5" ht="18" customHeight="1" s="218">
      <c r="A5" s="340" t="inlineStr">
        <is>
          <t>Parameter</t>
        </is>
      </c>
      <c r="B5" s="340" t="inlineStr">
        <is>
          <t>Bear Case</t>
        </is>
      </c>
      <c r="C5" s="340" t="inlineStr">
        <is>
          <t>Base Case</t>
        </is>
      </c>
      <c r="D5" s="340" t="inlineStr">
        <is>
          <t>Bull Case</t>
        </is>
      </c>
    </row>
    <row r="6" ht="18" customHeight="1" s="218">
      <c r="A6" s="399" t="inlineStr">
        <is>
          <t>Buyer Growth Multiplier</t>
        </is>
      </c>
      <c r="B6" s="424" t="n">
        <v>0.6</v>
      </c>
      <c r="C6" s="424" t="n">
        <v>1</v>
      </c>
      <c r="D6" s="424" t="n">
        <v>1.5</v>
      </c>
    </row>
    <row r="7" ht="18" customHeight="1" s="218">
      <c r="A7" s="399" t="inlineStr">
        <is>
          <t>Seller Growth Multiplier</t>
        </is>
      </c>
      <c r="B7" s="424" t="n">
        <v>0.6</v>
      </c>
      <c r="C7" s="424" t="n">
        <v>1</v>
      </c>
      <c r="D7" s="424" t="n">
        <v>1.4</v>
      </c>
    </row>
    <row r="8" ht="18" customHeight="1" s="218">
      <c r="A8" s="399" t="inlineStr">
        <is>
          <t>SaaS Growth Multiplier</t>
        </is>
      </c>
      <c r="B8" s="424" t="n">
        <v>0.5</v>
      </c>
      <c r="C8" s="424" t="n">
        <v>1</v>
      </c>
      <c r="D8" s="424" t="n">
        <v>1.6</v>
      </c>
    </row>
    <row r="9" ht="18" customHeight="1" s="218">
      <c r="A9" s="399" t="inlineStr">
        <is>
          <t>Churn Multiplier</t>
        </is>
      </c>
      <c r="B9" s="424" t="n">
        <v>1.5</v>
      </c>
      <c r="C9" s="424" t="n">
        <v>1</v>
      </c>
      <c r="D9" s="424" t="n">
        <v>0.7</v>
      </c>
    </row>
    <row r="10" ht="18" customHeight="1" s="218">
      <c r="A10" s="399" t="inlineStr">
        <is>
          <t>Take Rate Multiplier</t>
        </is>
      </c>
      <c r="B10" s="424" t="n">
        <v>0.9</v>
      </c>
      <c r="C10" s="424" t="n">
        <v>1</v>
      </c>
      <c r="D10" s="424" t="n">
        <v>1.1</v>
      </c>
    </row>
    <row r="11" ht="18" customHeight="1" s="218">
      <c r="A11" s="399" t="inlineStr">
        <is>
          <t>OpEx Multiplier</t>
        </is>
      </c>
      <c r="B11" s="424" t="n">
        <v>1.2</v>
      </c>
      <c r="C11" s="424" t="n">
        <v>1</v>
      </c>
      <c r="D11" s="424" t="n">
        <v>0.9</v>
      </c>
    </row>
    <row r="12" ht="18" customHeight="1" s="218"/>
    <row r="13" ht="18" customHeight="1" s="218"/>
    <row r="14" ht="18" customHeight="1" s="218">
      <c r="A14" s="227" t="inlineStr">
        <is>
          <t>YEAR 3 PROJECTED OUTCOMES</t>
        </is>
      </c>
    </row>
    <row r="15" ht="18" customHeight="1" s="218">
      <c r="A15" s="340" t="inlineStr">
        <is>
          <t>Metric</t>
        </is>
      </c>
      <c r="B15" s="340" t="inlineStr">
        <is>
          <t>Bear Case</t>
        </is>
      </c>
      <c r="C15" s="340" t="inlineStr">
        <is>
          <t>Base Case</t>
        </is>
      </c>
      <c r="D15" s="340" t="inlineStr">
        <is>
          <t>Bull Case</t>
        </is>
      </c>
    </row>
    <row r="16" ht="18" customHeight="1" s="218">
      <c r="A16" s="398" t="inlineStr">
        <is>
          <t>Revenue</t>
        </is>
      </c>
      <c r="B16" s="425">
        <f>IFERROR(C16*B6,0)</f>
        <v/>
      </c>
      <c r="C16" s="346">
        <f>'P&amp;L'!AN10</f>
        <v/>
      </c>
      <c r="D16" s="425">
        <f>IFERROR(C16*D6,0)</f>
        <v/>
      </c>
    </row>
    <row r="17" ht="18" customHeight="1" s="218">
      <c r="A17" s="399" t="inlineStr">
        <is>
          <t>Gross Profit</t>
        </is>
      </c>
      <c r="B17" s="426">
        <f>IFERROR(C17*B6,0)</f>
        <v/>
      </c>
      <c r="C17" s="371">
        <f>'P&amp;L'!AN14</f>
        <v/>
      </c>
      <c r="D17" s="426">
        <f>IFERROR(C17*D6,0)</f>
        <v/>
      </c>
    </row>
    <row r="18" ht="18" customHeight="1" s="218">
      <c r="A18" s="398" t="inlineStr">
        <is>
          <t>EBITDA</t>
        </is>
      </c>
      <c r="B18" s="425">
        <f>IFERROR(C18*B6,0)</f>
        <v/>
      </c>
      <c r="C18" s="346">
        <f>'P&amp;L'!AN33</f>
        <v/>
      </c>
      <c r="D18" s="425">
        <f>IFERROR(C18*D6,0)</f>
        <v/>
      </c>
    </row>
    <row r="19" ht="18" customHeight="1" s="218">
      <c r="A19" s="401" t="inlineStr">
        <is>
          <t>Net Income</t>
        </is>
      </c>
      <c r="B19" s="426">
        <f>IFERROR(C19*B6,0)</f>
        <v/>
      </c>
      <c r="C19" s="371">
        <f>'P&amp;L'!AN37</f>
        <v/>
      </c>
      <c r="D19" s="426">
        <f>IFERROR(C19*D6,0)</f>
        <v/>
      </c>
    </row>
    <row r="20" ht="18" customHeight="1" s="218">
      <c r="A20" s="400" t="inlineStr">
        <is>
          <t>Active Buyers (EoY)</t>
        </is>
      </c>
      <c r="B20" s="427">
        <f>IFERROR(C20*B6,0)</f>
        <v/>
      </c>
      <c r="C20" s="373">
        <f>REVENUE!AM9</f>
        <v/>
      </c>
      <c r="D20" s="427">
        <f>IFERROR(C20*D6,0)</f>
        <v/>
      </c>
    </row>
    <row r="21" ht="18" customHeight="1" s="218">
      <c r="A21" s="399" t="inlineStr">
        <is>
          <t>Active Sellers (EoY)</t>
        </is>
      </c>
      <c r="B21" s="428">
        <f>IFERROR(C21*B7,0)</f>
        <v/>
      </c>
      <c r="C21" s="375">
        <f>REVENUE!AM13</f>
        <v/>
      </c>
      <c r="D21" s="428">
        <f>IFERROR(C21*D7,0)</f>
        <v/>
      </c>
    </row>
    <row r="22" ht="18" customHeight="1" s="218">
      <c r="A22" s="400" t="inlineStr">
        <is>
          <t>Closing Cash</t>
        </is>
      </c>
      <c r="B22" s="425">
        <f>C22</f>
        <v/>
      </c>
      <c r="C22" s="346">
        <f>'CASH FLOW'!AM25</f>
        <v/>
      </c>
      <c r="D22" s="425">
        <f>C22</f>
        <v/>
      </c>
    </row>
    <row r="23" ht="18" customHeight="1" s="218">
      <c r="A23" s="399" t="inlineStr">
        <is>
          <t>EBITDA Margin %</t>
        </is>
      </c>
      <c r="B23" s="422">
        <f>C23</f>
        <v/>
      </c>
      <c r="C23" s="363">
        <f>'P&amp;L'!AN34</f>
        <v/>
      </c>
      <c r="D23" s="422">
        <f>C23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6" customWidth="1" style="217" min="1" max="1"/>
    <col width="20" customWidth="1" style="217" min="2" max="2"/>
    <col width="60" customWidth="1" style="217" min="3" max="3"/>
  </cols>
  <sheetData>
    <row r="1" ht="17.25" customHeight="1" s="218">
      <c r="A1" s="377" t="inlineStr">
        <is>
          <t>DATA ROOM CHECKLIST &amp; METRICS</t>
        </is>
      </c>
      <c r="B1" s="266" t="n"/>
      <c r="C1" s="266" t="n"/>
    </row>
    <row r="2" ht="15" customHeight="1" s="218">
      <c r="A2" s="378" t="inlineStr">
        <is>
          <t>Items to prepare for investor due diligence. Check off as completed.</t>
        </is>
      </c>
      <c r="B2" s="379" t="n"/>
      <c r="C2" s="379" t="n"/>
    </row>
    <row r="4" ht="15" customHeight="1" s="218">
      <c r="A4" s="393" t="inlineStr">
        <is>
          <t>FINANCIAL DATA ROOM</t>
        </is>
      </c>
      <c r="B4" s="266" t="n"/>
      <c r="C4" s="266" t="n"/>
    </row>
    <row r="5" ht="15" customHeight="1" s="218">
      <c r="A5" s="381" t="inlineStr">
        <is>
          <t xml:space="preserve">  Financial Model</t>
        </is>
      </c>
      <c r="B5" s="382" t="n"/>
      <c r="C5" s="382" t="n"/>
    </row>
    <row r="6" ht="15" customHeight="1" s="218">
      <c r="A6" s="394" t="inlineStr">
        <is>
          <t xml:space="preserve">    5-year P&amp;L model</t>
        </is>
      </c>
      <c r="B6" s="429" t="n"/>
      <c r="C6" s="378" t="inlineStr">
        <is>
          <t>Enter status: Done / In Progress / Not Started</t>
        </is>
      </c>
    </row>
    <row r="7" ht="15" customHeight="1" s="218">
      <c r="A7" s="395" t="inlineStr">
        <is>
          <t xml:space="preserve">    Cash flow forecast</t>
        </is>
      </c>
      <c r="B7" s="429" t="n"/>
      <c r="C7" s="378" t="inlineStr">
        <is>
          <t>Enter status: Done / In Progress / Not Started</t>
        </is>
      </c>
    </row>
    <row r="8" ht="15" customHeight="1" s="218">
      <c r="A8" s="394" t="inlineStr">
        <is>
          <t xml:space="preserve">    Balance sheet</t>
        </is>
      </c>
      <c r="B8" s="429" t="n"/>
      <c r="C8" s="378" t="inlineStr">
        <is>
          <t>Enter status: Done / In Progress / Not Started</t>
        </is>
      </c>
    </row>
    <row r="9" ht="15" customHeight="1" s="218">
      <c r="A9" s="395" t="inlineStr">
        <is>
          <t xml:space="preserve">    Assumptions documentation</t>
        </is>
      </c>
      <c r="B9" s="429" t="n"/>
      <c r="C9" s="378" t="inlineStr">
        <is>
          <t>Enter status: Done / In Progress / Not Started</t>
        </is>
      </c>
    </row>
    <row r="10" ht="15" customHeight="1" s="218">
      <c r="A10" s="394" t="inlineStr">
        <is>
          <t xml:space="preserve">    Scenario analysis (3 scenarios)</t>
        </is>
      </c>
      <c r="B10" s="429" t="n"/>
      <c r="C10" s="378" t="inlineStr">
        <is>
          <t>Enter status: Done / In Progress / Not Started</t>
        </is>
      </c>
    </row>
    <row r="12" ht="15" customHeight="1" s="218">
      <c r="A12" s="381" t="inlineStr">
        <is>
          <t xml:space="preserve">  Revenue &amp; Metrics</t>
        </is>
      </c>
      <c r="B12" s="382" t="n"/>
      <c r="C12" s="382" t="n"/>
    </row>
    <row r="13" ht="15" customHeight="1" s="218">
      <c r="A13" s="395" t="inlineStr">
        <is>
          <t xml:space="preserve">    MRR/ARR trend (12+ months)</t>
        </is>
      </c>
      <c r="B13" s="429" t="n"/>
      <c r="C13" s="378" t="inlineStr">
        <is>
          <t>Enter status: Done / In Progress / Not Started</t>
        </is>
      </c>
    </row>
    <row r="14" ht="15" customHeight="1" s="218">
      <c r="A14" s="394" t="inlineStr">
        <is>
          <t xml:space="preserve">    Cohort retention analysis</t>
        </is>
      </c>
      <c r="B14" s="429" t="n"/>
      <c r="C14" s="378" t="inlineStr">
        <is>
          <t>Enter status: Done / In Progress / Not Started</t>
        </is>
      </c>
    </row>
    <row r="15" ht="15" customHeight="1" s="218">
      <c r="A15" s="395" t="inlineStr">
        <is>
          <t xml:space="preserve">    Unit economics (CAC, LTV, payback)</t>
        </is>
      </c>
      <c r="B15" s="429" t="n"/>
      <c r="C15" s="378" t="inlineStr">
        <is>
          <t>Enter status: Done / In Progress / Not Started</t>
        </is>
      </c>
    </row>
    <row r="16" ht="15" customHeight="1" s="218">
      <c r="A16" s="394" t="inlineStr">
        <is>
          <t xml:space="preserve">    Revenue by segment/product</t>
        </is>
      </c>
      <c r="B16" s="429" t="n"/>
      <c r="C16" s="378" t="inlineStr">
        <is>
          <t>Enter status: Done / In Progress / Not Started</t>
        </is>
      </c>
    </row>
    <row r="17" ht="15" customHeight="1" s="218">
      <c r="A17" s="395" t="inlineStr">
        <is>
          <t xml:space="preserve">    Churn rate by cohort</t>
        </is>
      </c>
      <c r="B17" s="429" t="n"/>
      <c r="C17" s="378" t="inlineStr">
        <is>
          <t>Enter status: Done / In Progress / Not Started</t>
        </is>
      </c>
    </row>
    <row r="19" ht="15" customHeight="1" s="218">
      <c r="A19" s="381" t="inlineStr">
        <is>
          <t xml:space="preserve">  Cap Table &amp; Legal</t>
        </is>
      </c>
      <c r="B19" s="382" t="n"/>
      <c r="C19" s="382" t="n"/>
    </row>
    <row r="20" ht="15" customHeight="1" s="218">
      <c r="A20" s="394" t="inlineStr">
        <is>
          <t xml:space="preserve">    Current cap table (fully diluted)</t>
        </is>
      </c>
      <c r="B20" s="429" t="n"/>
      <c r="C20" s="378" t="inlineStr">
        <is>
          <t>Enter status: Done / In Progress / Not Started</t>
        </is>
      </c>
    </row>
    <row r="21" ht="15" customHeight="1" s="218">
      <c r="A21" s="395" t="inlineStr">
        <is>
          <t xml:space="preserve">    SAFE/note conversion schedule</t>
        </is>
      </c>
      <c r="B21" s="429" t="n"/>
      <c r="C21" s="378" t="inlineStr">
        <is>
          <t>Enter status: Done / In Progress / Not Started</t>
        </is>
      </c>
    </row>
    <row r="22" ht="15" customHeight="1" s="218">
      <c r="A22" s="394" t="inlineStr">
        <is>
          <t xml:space="preserve">    Option pool breakdown</t>
        </is>
      </c>
      <c r="B22" s="429" t="n"/>
      <c r="C22" s="378" t="inlineStr">
        <is>
          <t>Enter status: Done / In Progress / Not Started</t>
        </is>
      </c>
    </row>
    <row r="23" ht="15" customHeight="1" s="218">
      <c r="A23" s="395" t="inlineStr">
        <is>
          <t xml:space="preserve">    Vesting schedules</t>
        </is>
      </c>
      <c r="B23" s="429" t="n"/>
      <c r="C23" s="378" t="inlineStr">
        <is>
          <t>Enter status: Done / In Progress / Not Started</t>
        </is>
      </c>
    </row>
    <row r="24" ht="15" customHeight="1" s="218">
      <c r="A24" s="394" t="inlineStr">
        <is>
          <t xml:space="preserve">    Pro-forma post-round cap table</t>
        </is>
      </c>
      <c r="B24" s="429" t="n"/>
      <c r="C24" s="378" t="inlineStr">
        <is>
          <t>Enter status: Done / In Progress / Not Started</t>
        </is>
      </c>
    </row>
    <row r="26" ht="15" customHeight="1" s="218">
      <c r="A26" s="381" t="inlineStr">
        <is>
          <t xml:space="preserve">  Operations</t>
        </is>
      </c>
      <c r="B26" s="382" t="n"/>
      <c r="C26" s="382" t="n"/>
    </row>
    <row r="27" ht="15" customHeight="1" s="218">
      <c r="A27" s="395" t="inlineStr">
        <is>
          <t xml:space="preserve">    Headcount plan by department</t>
        </is>
      </c>
      <c r="B27" s="429" t="n"/>
      <c r="C27" s="378" t="inlineStr">
        <is>
          <t>Enter status: Done / In Progress / Not Started</t>
        </is>
      </c>
    </row>
    <row r="28" ht="15" customHeight="1" s="218">
      <c r="A28" s="394" t="inlineStr">
        <is>
          <t xml:space="preserve">    Hiring timeline</t>
        </is>
      </c>
      <c r="B28" s="429" t="n"/>
      <c r="C28" s="378" t="inlineStr">
        <is>
          <t>Enter status: Done / In Progress / Not Started</t>
        </is>
      </c>
    </row>
    <row r="29" ht="15" customHeight="1" s="218">
      <c r="A29" s="395" t="inlineStr">
        <is>
          <t xml:space="preserve">    Key contracts/partnerships</t>
        </is>
      </c>
      <c r="B29" s="429" t="n"/>
      <c r="C29" s="378" t="inlineStr">
        <is>
          <t>Enter status: Done / In Progress / Not Started</t>
        </is>
      </c>
    </row>
    <row r="30" ht="15" customHeight="1" s="218">
      <c r="A30" s="394" t="inlineStr">
        <is>
          <t xml:space="preserve">    Product roadmap</t>
        </is>
      </c>
      <c r="B30" s="429" t="n"/>
      <c r="C30" s="378" t="inlineStr">
        <is>
          <t>Enter status: Done / In Progress / Not Started</t>
        </is>
      </c>
    </row>
    <row r="31" ht="15" customHeight="1" s="218">
      <c r="A31" s="395" t="inlineStr">
        <is>
          <t xml:space="preserve">    Competitive landscape overview</t>
        </is>
      </c>
      <c r="B31" s="429" t="n"/>
      <c r="C31" s="378" t="inlineStr">
        <is>
          <t>Enter status: Done / In Progress / Not Started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2026-03-08T23:04:41Z</dcterms:created>
  <dcterms:modified xmlns:dcterms="http://purl.org/dc/terms/" xmlns:xsi="http://www.w3.org/2001/XMLSchema-instance" xsi:type="dcterms:W3CDTF">2026-03-16T11:33:56Z</dcterms:modified>
  <cp:revision>4</cp:revision>
</cp:coreProperties>
</file>