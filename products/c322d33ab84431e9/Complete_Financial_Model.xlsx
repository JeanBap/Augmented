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REVENUE" sheetId="3" state="visible" r:id="rId5"/>
    <sheet name="HEADCOUNT" sheetId="4" state="visible" r:id="rId6"/>
    <sheet name="P&amp;L" sheetId="5" state="visible" r:id="rId7"/>
    <sheet name="CASH FLOW" sheetId="6" state="visible" r:id="rId8"/>
    <sheet name="BALANCE SHEET" sheetId="7" state="visible" r:id="rId9"/>
    <sheet name="KPI DASHBOARD" sheetId="8" state="visible" r:id="rId10"/>
    <sheet name="CAP TABLE" sheetId="9" state="visible" r:id="rId11"/>
    <sheet name="FUNDRAISE SCENARIOS" sheetId="10" state="visible" r:id="rId12"/>
    <sheet name="DATA ROOM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<sst xmlns="http://schemas.openxmlformats.org/spreadsheetml/2006/main" count="833" uniqueCount="400">
  <si>
    <t xml:space="preserve">Raise Ready</t>
  </si>
  <si>
    <t xml:space="preserve">Complete Financial Model — Everything</t>
  </si>
  <si>
    <t xml:space="preserve">HOW TO USE THIS MODEL</t>
  </si>
  <si>
    <t xml:space="preserve">Step 01: ASSUMPTIONS</t>
  </si>
  <si>
    <t xml:space="preserve">Enter all your business inputs here. Every cell with a yellow background is yours to fill in. Pre-loaded with example values — replace with your actuals.</t>
  </si>
  <si>
    <t xml:space="preserve">Step 02: REVENUE</t>
  </si>
  <si>
    <t xml:space="preserve">Driver-based revenue model. Marketplace GMV, take rate, seller subscriptions, and SaaS subscription revenue — all calculated from your assumptions.</t>
  </si>
  <si>
    <t xml:space="preserve">Step 03: HEADCOUNT</t>
  </si>
  <si>
    <t xml:space="preserve">Monthly staff costs by department, driven by start month and salary from the Assumptions tab. Add or remove roles in Assumptions section 6.</t>
  </si>
  <si>
    <t xml:space="preserve">Step 04: P&amp;L</t>
  </si>
  <si>
    <t xml:space="preserve">Full Profit and Loss statement — revenue, COGS, headcount, and operating expenses. Generates EBITDA and net income automatically.</t>
  </si>
  <si>
    <t xml:space="preserve">Step 05: CASH FLOW</t>
  </si>
  <si>
    <t xml:space="preserve">Operating, investing and financing cash flows. Opening balance, equity rounds, and closing cash. Runway calculated automatically.</t>
  </si>
  <si>
    <t xml:space="preserve">Step 06: BALANCE SHEET</t>
  </si>
  <si>
    <t xml:space="preserve">Assets, liabilities and equity. Includes a balance check row — it should always show zero. If not, check your inputs.</t>
  </si>
  <si>
    <t xml:space="preserve">Step 07: KPI DASHBOARD</t>
  </si>
  <si>
    <t xml:space="preserve">Annual summary of every investor-relevant metric. Use this as your model output page for board packs and investor updates.</t>
  </si>
  <si>
    <t xml:space="preserve">COLOR CODING</t>
  </si>
  <si>
    <t xml:space="preserve">Yellow background + blue text</t>
  </si>
  <si>
    <t xml:space="preserve">Your input — enter your numbers here</t>
  </si>
  <si>
    <t xml:space="preserve">White background + black text</t>
  </si>
  <si>
    <t xml:space="preserve">Formula — calculated automatically, do not edit</t>
  </si>
  <si>
    <t xml:space="preserve">Green background + green text</t>
  </si>
  <si>
    <t xml:space="preserve">Total or cross-sheet link — auto-populated</t>
  </si>
  <si>
    <t xml:space="preserve">Blue shaded column</t>
  </si>
  <si>
    <t xml:space="preserve">Year total — sum or closing balance of the year</t>
  </si>
  <si>
    <t xml:space="preserve">ASSUMPTIONS — All Model Inputs</t>
  </si>
  <si>
    <t xml:space="preserve">Yellow cells = your inputs (blue text).   Replace example values with your own data.   Do not edit white/green cells — these are formulas.</t>
  </si>
  <si>
    <t xml:space="preserve">SECTION 1 — COMPANY INFORMATION</t>
  </si>
  <si>
    <t xml:space="preserve">Company Name</t>
  </si>
  <si>
    <t xml:space="preserve">My Marketplace Ltd</t>
  </si>
  <si>
    <t xml:space="preserve">Your legal trading name</t>
  </si>
  <si>
    <t xml:space="preserve">Reporting Currency</t>
  </si>
  <si>
    <t xml:space="preserve">£</t>
  </si>
  <si>
    <t xml:space="preserve">Currency symbol used throughout the model</t>
  </si>
  <si>
    <t xml:space="preserve">Model Start Month &amp; Year</t>
  </si>
  <si>
    <t xml:space="preserve">Jan 2025</t>
  </si>
  <si>
    <t xml:space="preserve">Text label for display — e.g. Jan 2025</t>
  </si>
  <si>
    <t xml:space="preserve">SECTION 2 — MARKETPLACE REVENUE DRIVERS</t>
  </si>
  <si>
    <t xml:space="preserve">Parameter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</si>
  <si>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</si>
  <si>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</si>
  <si>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</si>
  <si>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</si>
  <si>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</si>
  <si>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Source / Research Note</t>
  </si>
  <si>
    <t xml:space="preserve">Initial Active Buyers (Month 0 — your starting base)</t>
  </si>
  <si>
    <t xml:space="preserve">Existing buyers before model starts. If pre-launch, enter 0.</t>
  </si>
  <si>
    <t xml:space="preserve">New Buyers Added — Month 1</t>
  </si>
  <si>
    <t xml:space="preserve">Gross new buyers in the first month. Model grows this at the rate below.</t>
  </si>
  <si>
    <t xml:space="preserve">Monthly New Buyer Growth Rate %</t>
  </si>
  <si>
    <t xml:space="preserve">Month-on-month growth of new buyers added. 10% = compounding adds each month.</t>
  </si>
  <si>
    <t xml:space="preserve">Monthly Buyer Churn Rate %</t>
  </si>
  <si>
    <t xml:space="preserve">% of active buyers who stop transacting each month. Marketplace avg: 3–8%.</t>
  </si>
  <si>
    <t xml:space="preserve">Average Order Value (£)</t>
  </si>
  <si>
    <t xml:space="preserve">Average basket size per transaction. Source: Shopify 2024 SMB avg £140–£180.</t>
  </si>
  <si>
    <t xml:space="preserve">Average Orders per Active Buyer/Month</t>
  </si>
  <si>
    <t xml:space="preserve">How often buyers transact. Increases with engagement and product depth.</t>
  </si>
  <si>
    <t xml:space="preserve">Marketplace Take Rate (% of GMV)</t>
  </si>
  <si>
    <t xml:space="preserve">Platform commission. UK marketplaces avg 12–20%. Indeed Flex: ~18%.</t>
  </si>
  <si>
    <t xml:space="preserve">Initial Active Sellers (Month 0)</t>
  </si>
  <si>
    <t xml:space="preserve">Sellers listed on platform at model start.</t>
  </si>
  <si>
    <t xml:space="preserve">New Sellers Added — Month 1</t>
  </si>
  <si>
    <t xml:space="preserve">Gross new sellers in month 1.</t>
  </si>
  <si>
    <t xml:space="preserve">Monthly Seller Growth Rate %</t>
  </si>
  <si>
    <t xml:space="preserve">Month-on-month growth of new sellers added.</t>
  </si>
  <si>
    <t xml:space="preserve">Monthly Seller Churn Rate %</t>
  </si>
  <si>
    <t xml:space="preserve">% of active sellers who leave each month.</t>
  </si>
  <si>
    <t xml:space="preserve">Seller Monthly Subscription Fee (£)</t>
  </si>
  <si>
    <t xml:space="preserve">If you charge sellers a SaaS fee to list. Enter 0 if marketplace-only model.</t>
  </si>
  <si>
    <t xml:space="preserve">SECTION 3 — SAAS SUBSCRIPTION REVENUE</t>
  </si>
  <si>
    <t xml:space="preserve">Initial SaaS Subscribers (Month 0)</t>
  </si>
  <si>
    <t xml:space="preserve">Existing paying SaaS subscribers at model start.</t>
  </si>
  <si>
    <t xml:space="preserve">New Subscribers Added — Month 1</t>
  </si>
  <si>
    <t xml:space="preserve">New paying SaaS subscribers in month 1.</t>
  </si>
  <si>
    <t xml:space="preserve">Monthly New Subscriber Growth Rate %</t>
  </si>
  <si>
    <t xml:space="preserve">Month-on-month growth of new SaaS subscribers. 15% = aggressive early-stage growth.</t>
  </si>
  <si>
    <t xml:space="preserve">Monthly SaaS Subscriber Churn Rate %</t>
  </si>
  <si>
    <t xml:space="preserve">% of SaaS subscribers who cancel each month. World-class = &lt;1%. Good = &lt;2%.</t>
  </si>
  <si>
    <t xml:space="preserve">Monthly ARPU — SaaS (£)</t>
  </si>
  <si>
    <t xml:space="preserve">Average monthly revenue per SaaS subscriber. Check vs your pricing tiers.</t>
  </si>
  <si>
    <t xml:space="preserve">SECTION 4 — UNIT ECONOMICS</t>
  </si>
  <si>
    <t xml:space="preserve">CAC — Paid Channel (£ per customer)</t>
  </si>
  <si>
    <t xml:space="preserve">Fully loaded cost to acquire 1 customer via paid ads/sales. Include agency fees.</t>
  </si>
  <si>
    <t xml:space="preserve">CAC — Organic / Content (£ per customer)</t>
  </si>
  <si>
    <t xml:space="preserve">Cost per customer via SEO/content/referral. Include team time.</t>
  </si>
  <si>
    <t xml:space="preserve">% of New Customers from Paid Channel</t>
  </si>
  <si>
    <t xml:space="preserve">Split between paid and organic acquisition.</t>
  </si>
  <si>
    <t xml:space="preserve">Blended CAC (£) — calculated</t>
  </si>
  <si>
    <t xml:space="preserve">SECTION 5 — COST OF GOODS SOLD (COGS)</t>
  </si>
  <si>
    <t xml:space="preserve">Payment Processing Fee (% of GMV)</t>
  </si>
  <si>
    <t xml:space="preserve">Stripe/Adyen/Checkout typically 1.4–2.5% + fixed. Model as % of GMV.</t>
  </si>
  <si>
    <t xml:space="preserve">Cloud / Infrastructure — Fixed (£/mo)</t>
  </si>
  <si>
    <t xml:space="preserve">Fixed monthly server/cloud cost at current scale. AWS/GCP/Azure baseline.</t>
  </si>
  <si>
    <t xml:space="preserve">Infrastructure Variable (£ per 1k transactions)</t>
  </si>
  <si>
    <t xml:space="preserve">Variable cloud cost per 1,000 transactions processed.</t>
  </si>
  <si>
    <t xml:space="preserve">Customer Support Cost (£ per 100 active users/mo)</t>
  </si>
  <si>
    <t xml:space="preserve">Combined marketplace buyers + sellers support cost per 100 active.</t>
  </si>
  <si>
    <t xml:space="preserve">Fraud &amp; Risk Cost (% of GMV)</t>
  </si>
  <si>
    <t xml:space="preserve">Chargebacks, fraud losses, risk ops. Typical range: 0.1–0.5% of GMV.</t>
  </si>
  <si>
    <t xml:space="preserve">SECTION 6 — HEADCOUNT PLAN</t>
  </si>
  <si>
    <t xml:space="preserve">Role / Position</t>
  </si>
  <si>
    <t xml:space="preserve">Department</t>
  </si>
  <si>
    <t xml:space="preserve">Start Month #</t>
  </si>
  <si>
    <t xml:space="preserve">Monthly Salary (£)</t>
  </si>
  <si>
    <t xml:space="preserve">Notes</t>
  </si>
  <si>
    <t xml:space="preserve">CTO / Head of Engineering</t>
  </si>
  <si>
    <t xml:space="preserve">Engineering</t>
  </si>
  <si>
    <t xml:space="preserve">Replace with your hire plan</t>
  </si>
  <si>
    <t xml:space="preserve">Senior Engineer</t>
  </si>
  <si>
    <t xml:space="preserve">Engineer</t>
  </si>
  <si>
    <t xml:space="preserve">QA / Test Engineer</t>
  </si>
  <si>
    <t xml:space="preserve">VP Product / CPO</t>
  </si>
  <si>
    <t xml:space="preserve">Product</t>
  </si>
  <si>
    <t xml:space="preserve">Product Manager</t>
  </si>
  <si>
    <t xml:space="preserve">UX / Designer</t>
  </si>
  <si>
    <t xml:space="preserve">VP Sales / Head of Growth</t>
  </si>
  <si>
    <t xml:space="preserve">Sales</t>
  </si>
  <si>
    <t xml:space="preserve">Account Executive</t>
  </si>
  <si>
    <t xml:space="preserve">SDR / BDR</t>
  </si>
  <si>
    <t xml:space="preserve">CMO / Head of Marketing</t>
  </si>
  <si>
    <t xml:space="preserve">Marketing</t>
  </si>
  <si>
    <t xml:space="preserve">Content &amp; SEO Lead</t>
  </si>
  <si>
    <t xml:space="preserve">Growth Manager</t>
  </si>
  <si>
    <t xml:space="preserve">Head of Customer Success</t>
  </si>
  <si>
    <t xml:space="preserve">CS</t>
  </si>
  <si>
    <t xml:space="preserve">CS Manager</t>
  </si>
  <si>
    <t xml:space="preserve">CS Executive</t>
  </si>
  <si>
    <t xml:space="preserve">CEO / Founder</t>
  </si>
  <si>
    <t xml:space="preserve">G&amp;A</t>
  </si>
  <si>
    <t xml:space="preserve">Employer NI Rate %</t>
  </si>
  <si>
    <t xml:space="preserve">UK: 13.8% on salaries above £9,100/yr. Update for your jurisdiction.</t>
  </si>
  <si>
    <t xml:space="preserve">SECTION 7 — OPERATING EXPENSES (NON-HEADCOUNT)</t>
  </si>
  <si>
    <t xml:space="preserve">Sales &amp; Marketing Non-HC — Monthly Spend (£)</t>
  </si>
  <si>
    <t xml:space="preserve">Paid ads, events, PR, tools. Excludes marketing headcount.</t>
  </si>
  <si>
    <t xml:space="preserve">S&amp;M: enter each year's monthly amount in row 70 above</t>
  </si>
  <si>
    <t xml:space="preserve">Month-on-month compound growth of S&amp;M non-HC spend.</t>
  </si>
  <si>
    <t xml:space="preserve">Research &amp; Development Non-HC — Monthly Spend (£)</t>
  </si>
  <si>
    <t xml:space="preserve">Software licences, dev tools, hosting for dev. Excludes eng headcount.</t>
  </si>
  <si>
    <t xml:space="preserve">R&amp;D: enter each year's monthly amount in row 72 above</t>
  </si>
  <si>
    <t xml:space="preserve">Month-on-month compound growth of R&amp;D non-HC spend.</t>
  </si>
  <si>
    <t xml:space="preserve">General &amp; Administrative Non-HC — Monthly Spend (£)</t>
  </si>
  <si>
    <t xml:space="preserve">Legal, insurance, accountancy, office. Excludes G&amp;A headcount.</t>
  </si>
  <si>
    <t xml:space="preserve">G&amp;A: enter each year's monthly amount in row 74 above</t>
  </si>
  <si>
    <t xml:space="preserve">Month-on-month compound growth of G&amp;A non-HC spend.</t>
  </si>
  <si>
    <t xml:space="preserve">SECTION 8 — CAPITAL, FUNDING &amp; WORKING CAPITAL</t>
  </si>
  <si>
    <t xml:space="preserve">Opening Cash Balance (£)</t>
  </si>
  <si>
    <t xml:space="preserve">Cash in bank at start of model (Month 1 opening).</t>
  </si>
  <si>
    <t xml:space="preserve">Funding Round 1 — Amount (£)</t>
  </si>
  <si>
    <t xml:space="preserve">Equity raised in Round 1. Enter 0 if no round planned.</t>
  </si>
  <si>
    <t xml:space="preserve">Funding Round 1 — Month Number</t>
  </si>
  <si>
    <t xml:space="preserve">Month in which Round 1 cash is received (1–60).</t>
  </si>
  <si>
    <t xml:space="preserve">Funding Round 2 — Amount (£)</t>
  </si>
  <si>
    <t xml:space="preserve">Equity raised in Round 2. Enter 0 if no round planned.</t>
  </si>
  <si>
    <t xml:space="preserve">Funding Round 2 — Month Number</t>
  </si>
  <si>
    <t xml:space="preserve">Month in which Round 2 cash is received (1–60).</t>
  </si>
  <si>
    <t xml:space="preserve">Debtor Days (avg days to collect cash)</t>
  </si>
  <si>
    <t xml:space="preserve">Marketplace: typically 1–7 days (card payment). SaaS: 30 days invoiced.</t>
  </si>
  <si>
    <t xml:space="preserve">Creditor Days (avg days to pay suppliers)</t>
  </si>
  <si>
    <t xml:space="preserve">Average payment terms to suppliers.</t>
  </si>
  <si>
    <t xml:space="preserve">Corporation Tax Rate %</t>
  </si>
  <si>
    <t xml:space="preserve">UK: 25% above £250k profit. Enter your jurisdiction rate.</t>
  </si>
  <si>
    <t xml:space="preserve">REVENUE MODEL — Marketplace + SaaS</t>
  </si>
  <si>
    <t xml:space="preserve">Driver-based model. All inputs flow from ASSUMPTIONS tab. White cells = formulas (do not edit).</t>
  </si>
  <si>
    <t xml:space="preserve">  YEAR 1</t>
  </si>
  <si>
    <t xml:space="preserve">Y1</t>
  </si>
  <si>
    <t xml:space="preserve">  YEAR 2</t>
  </si>
  <si>
    <t xml:space="preserve">Y2</t>
  </si>
  <si>
    <t xml:space="preserve">  YEAR 3</t>
  </si>
  <si>
    <t xml:space="preserve">Y3</t>
  </si>
  <si>
    <t xml:space="preserve">  YEAR 4</t>
  </si>
  <si>
    <t xml:space="preserve">Y4</t>
  </si>
  <si>
    <t xml:space="preserve">  YEAR 5</t>
  </si>
  <si>
    <t xml:space="preserve">Y5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</si>
  <si>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</si>
  <si>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</si>
  <si>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</si>
  <si>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</si>
  <si>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</si>
  <si>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</si>
  <si>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</si>
  <si>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</si>
  <si>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</si>
  <si>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</si>
  <si>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</si>
  <si>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</si>
  <si>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Y1 Total</t>
  </si>
  <si>
    <t xml:space="preserve">Y2 Total</t>
  </si>
  <si>
    <t xml:space="preserve">Y3 Total</t>
  </si>
  <si>
    <t xml:space="preserve">Y4 Total</t>
  </si>
  <si>
    <t xml:space="preserve">Y5 Total</t>
  </si>
  <si>
    <t xml:space="preserve">MARKETPLACE — BUYERS &amp; SELLERS</t>
  </si>
  <si>
    <t xml:space="preserve">  New Buyers Added</t>
  </si>
  <si>
    <t xml:space="preserve">  Buyers Churned</t>
  </si>
  <si>
    <t xml:space="preserve">  Active Buyers — End of Month</t>
  </si>
  <si>
    <t xml:space="preserve">  New Sellers Added</t>
  </si>
  <si>
    <t xml:space="preserve">  Sellers Churned</t>
  </si>
  <si>
    <t xml:space="preserve">  Active Sellers — End of Month</t>
  </si>
  <si>
    <t xml:space="preserve">MARKETPLACE REVENUE</t>
  </si>
  <si>
    <t xml:space="preserve">  Gross Merchandise Value — GMV (£)</t>
  </si>
  <si>
    <t xml:space="preserve">  Transaction Revenue (GMV × Take Rate)</t>
  </si>
  <si>
    <t xml:space="preserve">  Seller Subscription Revenue (£)</t>
  </si>
  <si>
    <t xml:space="preserve">TOTAL MARKETPLACE REVENUE (£)</t>
  </si>
  <si>
    <t xml:space="preserve">SAAS SUBSCRIPTION REVENUE</t>
  </si>
  <si>
    <t xml:space="preserve">  New SaaS Subscribers Added</t>
  </si>
  <si>
    <t xml:space="preserve">  SaaS Subscribers Churned</t>
  </si>
  <si>
    <t xml:space="preserve">  Active SaaS Subscribers — End of Month</t>
  </si>
  <si>
    <t xml:space="preserve">  Monthly ARPU (£)</t>
  </si>
  <si>
    <t xml:space="preserve">TOTAL SAAS REVENUE (£)</t>
  </si>
  <si>
    <t xml:space="preserve">TOTAL REVENUE SUMMARY</t>
  </si>
  <si>
    <t xml:space="preserve">  Marketplace Revenue (£)</t>
  </si>
  <si>
    <t xml:space="preserve">  SaaS Revenue (£)</t>
  </si>
  <si>
    <t xml:space="preserve">TOTAL REVENUE (£)</t>
  </si>
  <si>
    <t xml:space="preserve">  Month-on-Month Revenue Growth %</t>
  </si>
  <si>
    <t xml:space="preserve">COST OF GOODS SOLD (COGS)</t>
  </si>
  <si>
    <t xml:space="preserve">  Payment Processing (% of GMV)</t>
  </si>
  <si>
    <t xml:space="preserve">  Cloud Infrastructure — Fixed</t>
  </si>
  <si>
    <t xml:space="preserve">  Cloud Infrastructure — Variable</t>
  </si>
  <si>
    <t xml:space="preserve">  Customer Support &amp; Operations</t>
  </si>
  <si>
    <t xml:space="preserve">  Fraud &amp; Risk (% of GMV)</t>
  </si>
  <si>
    <t xml:space="preserve">TOTAL COGS (£)</t>
  </si>
  <si>
    <t xml:space="preserve">GROSS PROFIT (£)</t>
  </si>
  <si>
    <t xml:space="preserve">Gross Margin %</t>
  </si>
  <si>
    <t xml:space="preserve">HEADCOUNT — Staff Costs by Department</t>
  </si>
  <si>
    <t xml:space="preserve">All values auto-calculated from Assumptions Section 6. Edit roles, start months, and salaries there.</t>
  </si>
  <si>
    <t xml:space="preserve">ENGINEERING</t>
  </si>
  <si>
    <t xml:space="preserve">ENGINEERING — TOTAL (£)</t>
  </si>
  <si>
    <t xml:space="preserve">PRODUCT</t>
  </si>
  <si>
    <t xml:space="preserve">PRODUCT — TOTAL (£)</t>
  </si>
  <si>
    <t xml:space="preserve">SALES</t>
  </si>
  <si>
    <t xml:space="preserve">SALES — TOTAL (£)</t>
  </si>
  <si>
    <t xml:space="preserve">MARKETING</t>
  </si>
  <si>
    <t xml:space="preserve">MARKETING — TOTAL (£)</t>
  </si>
  <si>
    <t xml:space="preserve">CUSTOMER SUCCESS</t>
  </si>
  <si>
    <t xml:space="preserve">CUSTOMER SUCCESS — TOTAL (£)</t>
  </si>
  <si>
    <t xml:space="preserve">G&amp;A — TOTAL (£)</t>
  </si>
  <si>
    <t xml:space="preserve">TOTAL HEADCOUNT COST (£)</t>
  </si>
  <si>
    <t xml:space="preserve">PROFIT &amp; LOSS STATEMENT</t>
  </si>
  <si>
    <t xml:space="preserve">All figures auto-populated from REVENUE and HEADCOUNT sheets. Green text = cross-sheet links. Do not edit.</t>
  </si>
  <si>
    <t xml:space="preserve">REVENUE</t>
  </si>
  <si>
    <t xml:space="preserve">  SaaS Subscription Revenue (£)</t>
  </si>
  <si>
    <t xml:space="preserve">COST OF GOODS SOLD</t>
  </si>
  <si>
    <t xml:space="preserve">OPERATING EXPENSES</t>
  </si>
  <si>
    <t xml:space="preserve">  Headcount Costs</t>
  </si>
  <si>
    <t xml:space="preserve">  Engineering HC (£)</t>
  </si>
  <si>
    <t xml:space="preserve">  Product HC (£)</t>
  </si>
  <si>
    <t xml:space="preserve">  Sales HC (£)</t>
  </si>
  <si>
    <t xml:space="preserve">  Marketing HC (£)</t>
  </si>
  <si>
    <t xml:space="preserve">  Customer Success HC (£)</t>
  </si>
  <si>
    <t xml:space="preserve">  G&amp;A HC (£)</t>
  </si>
  <si>
    <t xml:space="preserve">  Total Headcount (£)</t>
  </si>
  <si>
    <t xml:space="preserve">  Non-Headcount OpEx</t>
  </si>
  <si>
    <t xml:space="preserve">  Sales &amp; Marketing (non-HC) (£)</t>
  </si>
  <si>
    <t xml:space="preserve">  R&amp;D (non-HC) (£)</t>
  </si>
  <si>
    <t xml:space="preserve">  G&amp;A (non-HC) (£)</t>
  </si>
  <si>
    <t xml:space="preserve">  Total Non-HC OpEx (£)</t>
  </si>
  <si>
    <t xml:space="preserve">TOTAL OPERATING EXPENSES (£)</t>
  </si>
  <si>
    <t xml:space="preserve">EBITDA (£)</t>
  </si>
  <si>
    <t xml:space="preserve">EBITDA Margin %</t>
  </si>
  <si>
    <t xml:space="preserve">  Corporation Tax Provision (£)</t>
  </si>
  <si>
    <t xml:space="preserve">NET INCOME / (LOSS) (£)</t>
  </si>
  <si>
    <t xml:space="preserve">Net Margin %</t>
  </si>
  <si>
    <t xml:space="preserve">CASH FLOW STATEMENT</t>
  </si>
  <si>
    <t xml:space="preserve">Monthly cash in / out. Opening balance from prior month. Yellow = your inputs (CAPEX). Everything else auto-calculated.</t>
  </si>
  <si>
    <t xml:space="preserve">OPENING CASH BALANCE</t>
  </si>
  <si>
    <t xml:space="preserve">OPERATING ACTIVITIES</t>
  </si>
  <si>
    <t xml:space="preserve">  EBITDA (from P&amp;L)</t>
  </si>
  <si>
    <t xml:space="preserve">  Change in Accounts Receivable</t>
  </si>
  <si>
    <t xml:space="preserve">  Change in Accounts Payable</t>
  </si>
  <si>
    <t xml:space="preserve">CASH FROM OPERATIONS (£)</t>
  </si>
  <si>
    <t xml:space="preserve">INVESTING ACTIVITIES</t>
  </si>
  <si>
    <t xml:space="preserve">  Capital Expenditure (enter as negative £)</t>
  </si>
  <si>
    <t xml:space="preserve">CASH FROM INVESTING (£)</t>
  </si>
  <si>
    <t xml:space="preserve">FINANCING ACTIVITIES</t>
  </si>
  <si>
    <t xml:space="preserve">  Equity Raised — Round 1 (£)</t>
  </si>
  <si>
    <t xml:space="preserve">  Equity Raised — Round 2 (£)</t>
  </si>
  <si>
    <t xml:space="preserve">CASH FROM FINANCING (£)</t>
  </si>
  <si>
    <t xml:space="preserve">NET CASH MOVEMENT (£)</t>
  </si>
  <si>
    <t xml:space="preserve">CLOSING CASH BALANCE (£)</t>
  </si>
  <si>
    <t xml:space="preserve">  Monthly Cash Burn (£)</t>
  </si>
  <si>
    <t xml:space="preserve">  Runway — Months Remaining</t>
  </si>
  <si>
    <t xml:space="preserve">BALANCE SHEET</t>
  </si>
  <si>
    <t xml:space="preserve">Auto-populated from P&amp;L and Cash Flow. Balance check row must always show 0 (or close to 0). If not, check assumptions for data integrity.</t>
  </si>
  <si>
    <t xml:space="preserve">ASSETS</t>
  </si>
  <si>
    <t xml:space="preserve">  Current Assets</t>
  </si>
  <si>
    <t xml:space="preserve">  Cash &amp; Cash Equivalents (£)</t>
  </si>
  <si>
    <t xml:space="preserve">  Accounts Receivable / Debtors (£)</t>
  </si>
  <si>
    <t xml:space="preserve">  Total Current Assets (£)</t>
  </si>
  <si>
    <t xml:space="preserve">  Non-Current Assets</t>
  </si>
  <si>
    <t xml:space="preserve">  Intangible / Fixed Assets (£) — enter if applicable</t>
  </si>
  <si>
    <t xml:space="preserve">TOTAL ASSETS (£)</t>
  </si>
  <si>
    <t xml:space="preserve">LIABILITIES</t>
  </si>
  <si>
    <t xml:space="preserve">  Accounts Payable / Creditors (£)</t>
  </si>
  <si>
    <t xml:space="preserve">  Deferred Revenue (£) — enter if applicable</t>
  </si>
  <si>
    <t xml:space="preserve">  Total Liabilities (£)</t>
  </si>
  <si>
    <t xml:space="preserve">EQUITY</t>
  </si>
  <si>
    <t xml:space="preserve">  Share Capital — Paid In (£)</t>
  </si>
  <si>
    <t xml:space="preserve">  Retained Earnings / (Loss) (£)</t>
  </si>
  <si>
    <t xml:space="preserve">  Total Equity (£)</t>
  </si>
  <si>
    <t xml:space="preserve">TOTAL LIABILITIES + EQUITY (£)</t>
  </si>
  <si>
    <t xml:space="preserve">BALANCE CHECK (must = 0)</t>
  </si>
  <si>
    <t xml:space="preserve">KPI Dashboard — Raise Ready</t>
  </si>
  <si>
    <t xml:space="preserve">Year-end metrics | Auto-populated from P&amp;L, Revenue, Cash Flow and Balance Sheet</t>
  </si>
  <si>
    <t xml:space="preserve">Metric</t>
  </si>
  <si>
    <t xml:space="preserve">Change Y1-Y5</t>
  </si>
  <si>
    <t xml:space="preserve">Investor Benchmark</t>
  </si>
  <si>
    <t xml:space="preserve">Signal</t>
  </si>
  <si>
    <t xml:space="preserve">REVENUE &amp; GROWTH</t>
  </si>
  <si>
    <t xml:space="preserve">Total Revenue (£)</t>
  </si>
  <si>
    <t xml:space="preserve">£1M Y1, £5M Y2 seed targets</t>
  </si>
  <si>
    <t xml:space="preserve">Gross Merchandise Value — GMV (£)</t>
  </si>
  <si>
    <t xml:space="preserve">GMV growth &gt; 100% Y1-Y2</t>
  </si>
  <si>
    <t xml:space="preserve">—</t>
  </si>
  <si>
    <t xml:space="preserve">Active Buyers (year-end)</t>
  </si>
  <si>
    <t xml:space="preserve">Showing strong network growth</t>
  </si>
  <si>
    <t xml:space="preserve">Active SaaS Subscribers (year-end)</t>
  </si>
  <si>
    <t xml:space="preserve">Compounding growth expected</t>
  </si>
  <si>
    <t xml:space="preserve">MARGINS</t>
  </si>
  <si>
    <t xml:space="preserve">Marketplace: &gt;40% | SaaS: &gt;70%</t>
  </si>
  <si>
    <t xml:space="preserve">Negative Y1-Y2 OK. &gt;-20% Y2 good.</t>
  </si>
  <si>
    <t xml:space="preserve">Net Income (£)</t>
  </si>
  <si>
    <t xml:space="preserve">Path to breakeven critical for Series A</t>
  </si>
  <si>
    <t xml:space="preserve">UNIT ECONOMICS</t>
  </si>
  <si>
    <t xml:space="preserve">Blended CAC (£)</t>
  </si>
  <si>
    <t xml:space="preserve">Marketplace: &lt;£100 | SaaS: &lt;£1k</t>
  </si>
  <si>
    <t xml:space="preserve">LTV — SaaS (£)</t>
  </si>
  <si>
    <t xml:space="preserve">LTV = (ARPU × GM) / Monthly Churn</t>
  </si>
  <si>
    <t xml:space="preserve">LTV:CAC Ratio</t>
  </si>
  <si>
    <t xml:space="preserve">&gt;3x good | &gt;5x excellent Series A</t>
  </si>
  <si>
    <t xml:space="preserve">Payback Period (months)</t>
  </si>
  <si>
    <t xml:space="preserve">&lt;12 months excellent | &lt;18 good</t>
  </si>
  <si>
    <t xml:space="preserve">CASH &amp; RUNWAY</t>
  </si>
  <si>
    <t xml:space="preserve">Closing Cash (£)</t>
  </si>
  <si>
    <t xml:space="preserve">Always &gt;6 months runway</t>
  </si>
  <si>
    <t xml:space="preserve">Runway (months)</t>
  </si>
  <si>
    <t xml:space="preserve">&gt;18 months before next raise</t>
  </si>
  <si>
    <t xml:space="preserve">Monthly Burn Rate (£)</t>
  </si>
  <si>
    <t xml:space="preserve">Decreasing trend expected Y2-Y3</t>
  </si>
  <si>
    <t xml:space="preserve">HOW TO READ THIS DASHBOARD
Year 1/2/3 columns = annual totals for flow metrics (revenue, profit) or year-end values for stock metrics (subscribers, cash).
LTV:CAC uses SaaS metrics — add marketplace LTV separately if retention data is available.
Benchmarks are indicative. Context-adjust for your specific market and model.</t>
  </si>
  <si>
    <t xml:space="preserve">CAP TABLE — FULLY DILUTED</t>
  </si>
  <si>
    <t xml:space="preserve">Enter share counts and prices. Shows ownership at each round. Yellow = your inputs.</t>
  </si>
  <si>
    <t xml:space="preserve">Shareholder / Round</t>
  </si>
  <si>
    <t xml:space="preserve">Shares</t>
  </si>
  <si>
    <t xml:space="preserve">Price/Share ($)</t>
  </si>
  <si>
    <t xml:space="preserve">Investment ($)</t>
  </si>
  <si>
    <t xml:space="preserve">% Ownership</t>
  </si>
  <si>
    <t xml:space="preserve">Value at $10M</t>
  </si>
  <si>
    <t xml:space="preserve">Value at $25M</t>
  </si>
  <si>
    <t xml:space="preserve">Value at $50M</t>
  </si>
  <si>
    <t xml:space="preserve">  FOUNDERS</t>
  </si>
  <si>
    <t xml:space="preserve">  Founder 1</t>
  </si>
  <si>
    <t xml:space="preserve">  Founder 2</t>
  </si>
  <si>
    <t xml:space="preserve">  OPTION POOL</t>
  </si>
  <si>
    <t xml:space="preserve">  ESOP Reserved</t>
  </si>
  <si>
    <t xml:space="preserve">  PRE-SEED / ANGEL</t>
  </si>
  <si>
    <t xml:space="preserve">  Angel Investors (SAFE)</t>
  </si>
  <si>
    <t xml:space="preserve">  SEED ROUND</t>
  </si>
  <si>
    <t xml:space="preserve">  Seed Investor</t>
  </si>
  <si>
    <t xml:space="preserve">  SERIES A</t>
  </si>
  <si>
    <t xml:space="preserve">  Series A Lead</t>
  </si>
  <si>
    <t xml:space="preserve">TOTAL SHARES</t>
  </si>
  <si>
    <t xml:space="preserve">FUNDRAISING SCENARIO PLANNER</t>
  </si>
  <si>
    <t xml:space="preserve">Model dilution at different valuations and raise amounts.</t>
  </si>
  <si>
    <t xml:space="preserve">Floor</t>
  </si>
  <si>
    <t xml:space="preserve">Target</t>
  </si>
  <si>
    <t xml:space="preserve">Stretch</t>
  </si>
  <si>
    <t xml:space="preserve">Pre-Money Valuation ($)</t>
  </si>
  <si>
    <t xml:space="preserve">Raise Amount ($)</t>
  </si>
  <si>
    <t xml:space="preserve">Post-Money Valuation ($)</t>
  </si>
  <si>
    <t xml:space="preserve">New Shares Issued</t>
  </si>
  <si>
    <t xml:space="preserve">Dilution %</t>
  </si>
  <si>
    <t xml:space="preserve">Founder Ownership After</t>
  </si>
  <si>
    <t xml:space="preserve">DATA ROOM CHECKLIST &amp; METRICS</t>
  </si>
  <si>
    <t xml:space="preserve">Items to prepare for investor due diligence. Check off as completed.</t>
  </si>
  <si>
    <t xml:space="preserve">FINANCIAL DATA ROOM</t>
  </si>
  <si>
    <t xml:space="preserve">  Financial Model</t>
  </si>
  <si>
    <t xml:space="preserve">    5-year P&amp;L model</t>
  </si>
  <si>
    <t xml:space="preserve">Enter status: Done / In Progress / Not Started</t>
  </si>
  <si>
    <t xml:space="preserve">    Cash flow forecast</t>
  </si>
  <si>
    <t xml:space="preserve">    Balance sheet</t>
  </si>
  <si>
    <t xml:space="preserve">    Assumptions documentation</t>
  </si>
  <si>
    <t xml:space="preserve">    Scenario analysis (3 scenarios)</t>
  </si>
  <si>
    <t xml:space="preserve">  Revenue &amp; Metrics</t>
  </si>
  <si>
    <t xml:space="preserve">    MRR/ARR trend (12+ months)</t>
  </si>
  <si>
    <t xml:space="preserve">    Cohort retention analysis</t>
  </si>
  <si>
    <t xml:space="preserve">    Unit economics (CAC, LTV, payback)</t>
  </si>
  <si>
    <t xml:space="preserve">    Revenue by segment/product</t>
  </si>
  <si>
    <t xml:space="preserve">    Churn rate by cohort</t>
  </si>
  <si>
    <t xml:space="preserve">  Cap Table &amp; Legal</t>
  </si>
  <si>
    <t xml:space="preserve">    Current cap table (fully diluted)</t>
  </si>
  <si>
    <t xml:space="preserve">    SAFE/note conversion schedule</t>
  </si>
  <si>
    <t xml:space="preserve">    Option pool breakdown</t>
  </si>
  <si>
    <t xml:space="preserve">    Vesting schedules</t>
  </si>
  <si>
    <t xml:space="preserve">    Pro-forma post-round cap table</t>
  </si>
  <si>
    <t xml:space="preserve">  Operations</t>
  </si>
  <si>
    <t xml:space="preserve">    Headcount plan by department</t>
  </si>
  <si>
    <t xml:space="preserve">    Hiring timeline</t>
  </si>
  <si>
    <t xml:space="preserve">    Key contracts/partnerships</t>
  </si>
  <si>
    <t xml:space="preserve">    Product roadmap</t>
  </si>
  <si>
    <t xml:space="preserve">    Competitive landscape overview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</si>
</sst>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@"/>
    <numFmt numFmtId="166" formatCode="#,##0;\(#,##0\);\-"/>
    <numFmt numFmtId="167" formatCode="0.0%;\(0.0%\);\-"/>
    <numFmt numFmtId="168" formatCode="0.00"/>
    <numFmt numFmtId="169" formatCode="General"/>
    <numFmt numFmtId="170" formatCode="[$£-809]#,##0"/>
    <numFmt numFmtId="171" formatCode="#,##0"/>
    <numFmt numFmtId="172" formatCode="0.0&quot; mo&quot;"/>
    <numFmt numFmtId="173" formatCode="0.0\x"/>
    <numFmt numFmtId="174" formatCode="#,##0;\(#,##0\);\-"/>
    <numFmt numFmtId="175" formatCode="\$#,##0.0000"/>
    <numFmt numFmtId="176" formatCode="0.0%;\(0.0%\);\-"/>
    <numFmt numFmtId="177" formatCode="\$#,##0.00"/>
  </numFmts>
  <fonts count="2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FFFFFF"/>
      <name val="Arial"/>
      <family val="0"/>
      <charset val="1"/>
    </font>
    <font>
      <sz val="14"/>
      <color rgb="FF595959"/>
      <name val="Georgia"/>
      <family val="0"/>
      <charset val="1"/>
    </font>
    <font>
      <b val="true"/>
      <sz val="12"/>
      <color rgb="FF1B3A5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B3A5C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21734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21734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1B3A5C"/>
      <name val="Arial"/>
      <family val="0"/>
      <charset val="1"/>
    </font>
    <font>
      <b val="true"/>
      <sz val="11"/>
      <color rgb="FF217346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sz val="10"/>
      <color rgb="FF595959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BF4FB"/>
        <bgColor rgb="FFF2F2F2"/>
      </patternFill>
    </fill>
    <fill>
      <patternFill patternType="solid">
        <fgColor rgb="FFD9D9D9"/>
        <bgColor rgb="FFD6E4F0"/>
      </patternFill>
    </fill>
    <fill>
      <patternFill patternType="solid">
        <fgColor rgb="FF2E75B6"/>
        <bgColor rgb="FF0066CC"/>
      </patternFill>
    </fill>
    <fill>
      <patternFill patternType="solid">
        <fgColor rgb="FF217346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F5F5F5"/>
        <bgColor rgb="FFF2F2F2"/>
      </patternFill>
    </fill>
    <fill>
      <patternFill patternType="solid">
        <fgColor rgb="FFFFFFFF"/>
        <bgColor rgb="FFF5F5F5"/>
      </patternFill>
    </fill>
    <fill>
      <patternFill patternType="solid">
        <fgColor rgb="FFE2EFDA"/>
        <bgColor rgb="FFF2F2F2"/>
      </patternFill>
    </fill>
    <fill>
      <patternFill patternType="solid">
        <fgColor rgb="FFD6E4F0"/>
        <bgColor rgb="FFD9D9D9"/>
      </patternFill>
    </fill>
    <fill>
      <patternFill patternType="solid">
        <fgColor rgb="FFF2F2F2"/>
        <bgColor rgb="FFF5F5F5"/>
      </patternFill>
    </fill>
    <fill>
      <patternFill patternType="solid">
        <fgColor rgb="FFFCE4D6"/>
        <bgColor rgb="FFF2F2F2"/>
      </patternFill>
    </fill>
    <fill>
      <patternFill patternType="solid">
        <fgColor rgb="FFC00000"/>
        <bgColor rgb="FF800000"/>
      </patternFill>
    </fill>
    <fill>
      <patternFill patternType="solid">
        <fgColor rgb="FFED7D31"/>
        <bgColor rgb="FFFF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medium">
        <color rgb="FF888888"/>
      </top>
      <bottom style="medium">
        <color rgb="FF88888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1" fillId="1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1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11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2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24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1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3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2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17346"/>
      <rgbColor rgb="FFC0C0C0"/>
      <rgbColor rgb="FF888888"/>
      <rgbColor rgb="FF9999FF"/>
      <rgbColor rgb="FF7030A0"/>
      <rgbColor rgb="FFF5F5F5"/>
      <rgbColor rgb="FFEBF4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2F2F2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ED7D31"/>
      <rgbColor rgb="FF595959"/>
      <rgbColor rgb="FFAAAAAA"/>
      <rgbColor rgb="FF1B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D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52"/>
    <col collapsed="false" customWidth="true" hidden="false" outlineLevel="0" max="4" min="4" style="0" width="20"/>
    <col collapsed="false" customWidth="true" hidden="false" outlineLevel="0" max="26" min="5" style="0" width="8.71"/>
  </cols>
  <sheetData>
    <row r="1" customFormat="false" ht="9.75" hidden="false" customHeight="true" outlineLevel="0" collapsed="false">
      <c r="A1" s="1"/>
      <c r="B1" s="1"/>
      <c r="C1" s="1"/>
      <c r="D1" s="1"/>
    </row>
    <row r="2" customFormat="false" ht="60" hidden="false" customHeight="true" outlineLevel="0" collapsed="false">
      <c r="A2" s="1"/>
      <c r="B2" s="2" t="s">
        <v>0</v>
      </c>
      <c r="C2" s="2"/>
      <c r="D2" s="2"/>
    </row>
    <row r="3" customFormat="false" ht="30" hidden="false" customHeight="true" outlineLevel="0" collapsed="false">
      <c r="A3" s="1"/>
      <c r="B3" s="3" t="s">
        <v>1</v>
      </c>
      <c r="C3" s="3"/>
      <c r="D3" s="3"/>
    </row>
    <row r="4" customFormat="false" ht="9.75" hidden="false" customHeight="true" outlineLevel="0" collapsed="false">
      <c r="A4" s="1"/>
      <c r="B4" s="4"/>
      <c r="C4" s="1"/>
      <c r="D4" s="1"/>
    </row>
    <row r="5" customFormat="false" ht="15" hidden="false" customHeight="false" outlineLevel="0" collapsed="false">
      <c r="A5" s="1"/>
      <c r="B5" s="1"/>
      <c r="C5" s="1"/>
      <c r="D5" s="1"/>
    </row>
    <row r="6" customFormat="false" ht="19.5" hidden="false" customHeight="true" outlineLevel="0" collapsed="false">
      <c r="A6" s="1"/>
      <c r="B6" s="5" t="s">
        <v>2</v>
      </c>
      <c r="C6" s="1"/>
      <c r="D6" s="1"/>
    </row>
    <row r="7" customFormat="false" ht="15" hidden="false" customHeight="false" outlineLevel="0" collapsed="false">
      <c r="A7" s="1"/>
      <c r="B7" s="1"/>
      <c r="C7" s="1"/>
      <c r="D7" s="1"/>
    </row>
    <row r="8" customFormat="false" ht="42" hidden="false" customHeight="true" outlineLevel="0" collapsed="false">
      <c r="A8" s="1"/>
      <c r="B8" s="6" t="s">
        <v>3</v>
      </c>
      <c r="C8" s="7" t="s">
        <v>4</v>
      </c>
      <c r="D8" s="1"/>
    </row>
    <row r="9" customFormat="false" ht="42" hidden="false" customHeight="true" outlineLevel="0" collapsed="false">
      <c r="A9" s="1"/>
      <c r="B9" s="6" t="s">
        <v>5</v>
      </c>
      <c r="C9" s="7" t="s">
        <v>6</v>
      </c>
      <c r="D9" s="1"/>
    </row>
    <row r="10" customFormat="false" ht="42" hidden="false" customHeight="true" outlineLevel="0" collapsed="false">
      <c r="A10" s="1"/>
      <c r="B10" s="6" t="s">
        <v>7</v>
      </c>
      <c r="C10" s="7" t="s">
        <v>8</v>
      </c>
      <c r="D10" s="1"/>
    </row>
    <row r="11" customFormat="false" ht="42" hidden="false" customHeight="true" outlineLevel="0" collapsed="false">
      <c r="A11" s="1"/>
      <c r="B11" s="8" t="s">
        <v>9</v>
      </c>
      <c r="C11" s="7" t="s">
        <v>10</v>
      </c>
      <c r="D11" s="1"/>
    </row>
    <row r="12" customFormat="false" ht="42" hidden="false" customHeight="true" outlineLevel="0" collapsed="false">
      <c r="A12" s="1"/>
      <c r="B12" s="8" t="s">
        <v>11</v>
      </c>
      <c r="C12" s="7" t="s">
        <v>12</v>
      </c>
      <c r="D12" s="1"/>
    </row>
    <row r="13" customFormat="false" ht="42" hidden="false" customHeight="true" outlineLevel="0" collapsed="false">
      <c r="A13" s="1"/>
      <c r="B13" s="8" t="s">
        <v>13</v>
      </c>
      <c r="C13" s="7" t="s">
        <v>14</v>
      </c>
      <c r="D13" s="1"/>
    </row>
    <row r="14" customFormat="false" ht="42" hidden="false" customHeight="true" outlineLevel="0" collapsed="false">
      <c r="A14" s="1"/>
      <c r="B14" s="9" t="s">
        <v>15</v>
      </c>
      <c r="C14" s="7" t="s">
        <v>16</v>
      </c>
      <c r="D14" s="1"/>
    </row>
    <row r="15" customFormat="false" ht="15" hidden="false" customHeight="false" outlineLevel="0" collapsed="false">
      <c r="A15" s="1"/>
      <c r="B15" s="1"/>
      <c r="C15" s="1"/>
      <c r="D15" s="1"/>
    </row>
    <row r="16" customFormat="false" ht="19.5" hidden="false" customHeight="true" outlineLevel="0" collapsed="false">
      <c r="A16" s="1"/>
      <c r="B16" s="1"/>
      <c r="C16" s="1"/>
      <c r="D16" s="1"/>
    </row>
    <row r="17" customFormat="false" ht="30" hidden="false" customHeight="true" outlineLevel="0" collapsed="false">
      <c r="A17" s="1"/>
      <c r="B17" s="10" t="s">
        <v>17</v>
      </c>
      <c r="C17" s="1"/>
      <c r="D17" s="1"/>
    </row>
    <row r="18" customFormat="false" ht="21.75" hidden="false" customHeight="true" outlineLevel="0" collapsed="false">
      <c r="A18" s="1"/>
      <c r="B18" s="11" t="s">
        <v>18</v>
      </c>
      <c r="C18" s="12" t="s">
        <v>19</v>
      </c>
      <c r="D18" s="1"/>
    </row>
    <row r="19" customFormat="false" ht="21.75" hidden="false" customHeight="true" outlineLevel="0" collapsed="false">
      <c r="A19" s="1"/>
      <c r="B19" s="13" t="s">
        <v>20</v>
      </c>
      <c r="C19" s="12" t="s">
        <v>21</v>
      </c>
      <c r="D19" s="1"/>
    </row>
    <row r="20" customFormat="false" ht="21.75" hidden="false" customHeight="true" outlineLevel="0" collapsed="false">
      <c r="A20" s="1"/>
      <c r="B20" s="14" t="s">
        <v>22</v>
      </c>
      <c r="C20" s="12" t="s">
        <v>23</v>
      </c>
      <c r="D20" s="1"/>
    </row>
    <row r="21" customFormat="false" ht="21.75" hidden="false" customHeight="true" outlineLevel="0" collapsed="false">
      <c r="A21" s="1"/>
      <c r="B21" s="15" t="s">
        <v>24</v>
      </c>
      <c r="C21" s="12" t="s">
        <v>25</v>
      </c>
      <c r="D21" s="1"/>
    </row>
    <row r="22" customFormat="false" ht="15.75" hidden="false" customHeight="true" outlineLevel="0" collapsed="false">
      <c r="A22" s="1"/>
      <c r="B22" s="1"/>
      <c r="C22" s="1"/>
      <c r="D22" s="1"/>
    </row>
    <row r="23" customFormat="false" ht="15.75" hidden="false" customHeight="true" outlineLevel="0" collapsed="false">
      <c r="A23" s="1"/>
      <c r="B23" s="1"/>
      <c r="C23" s="1"/>
      <c r="D23" s="1"/>
    </row>
    <row r="24" customFormat="false" ht="15.75" hidden="false" customHeight="true" outlineLevel="0" collapsed="false">
      <c r="A24" s="1"/>
      <c r="B24" s="1"/>
      <c r="C24" s="1"/>
      <c r="D24" s="1"/>
    </row>
    <row r="25" customFormat="false" ht="15.75" hidden="false" customHeight="true" outlineLevel="0" collapsed="false">
      <c r="A25" s="1"/>
      <c r="B25" s="1"/>
      <c r="C25" s="1"/>
      <c r="D25" s="1"/>
    </row>
    <row r="26" customFormat="false" ht="15.75" hidden="false" customHeight="true" outlineLevel="0" collapsed="false">
      <c r="A26" s="1"/>
      <c r="B26" s="1"/>
      <c r="C26" s="1"/>
      <c r="D26" s="1"/>
    </row>
    <row r="27" customFormat="false" ht="15.75" hidden="false" customHeight="true" outlineLevel="0" collapsed="false">
      <c r="A27" s="1"/>
      <c r="B27" s="1"/>
      <c r="C27" s="1"/>
      <c r="D27" s="1"/>
    </row>
    <row r="28" customFormat="false" ht="15.75" hidden="false" customHeight="true" outlineLevel="0" collapsed="false">
      <c r="A28" s="1"/>
      <c r="B28" s="1"/>
      <c r="C28" s="1"/>
      <c r="D28" s="1"/>
    </row>
    <row r="29" customFormat="false" ht="15.75" hidden="false" customHeight="true" outlineLevel="0" collapsed="false">
      <c r="A29" s="1"/>
      <c r="B29" s="1"/>
      <c r="C29" s="1"/>
      <c r="D29" s="1"/>
    </row>
    <row r="30" customFormat="false" ht="15.75" hidden="false" customHeight="true" outlineLevel="0" collapsed="false">
      <c r="A30" s="1"/>
      <c r="B30" s="1"/>
      <c r="C30" s="1"/>
      <c r="D30" s="1"/>
    </row>
    <row r="31" customFormat="false" ht="15.75" hidden="false" customHeight="true" outlineLevel="0" collapsed="false">
      <c r="A31" s="1"/>
      <c r="B31" s="1"/>
      <c r="C31" s="1"/>
      <c r="D31" s="1"/>
    </row>
    <row r="32" customFormat="false" ht="15.75" hidden="false" customHeight="true" outlineLevel="0" collapsed="false">
      <c r="A32" s="1"/>
      <c r="B32" s="1"/>
      <c r="C32" s="1"/>
      <c r="D32" s="1"/>
    </row>
    <row r="33" customFormat="false" ht="15.75" hidden="false" customHeight="true" outlineLevel="0" collapsed="false">
      <c r="A33" s="1"/>
      <c r="B33" s="1"/>
      <c r="C33" s="1"/>
      <c r="D33" s="1"/>
    </row>
    <row r="34" customFormat="false" ht="15.75" hidden="false" customHeight="true" outlineLevel="0" collapsed="false">
      <c r="A34" s="1"/>
      <c r="B34" s="1"/>
      <c r="C34" s="1"/>
      <c r="D34" s="1"/>
    </row>
    <row r="35" customFormat="false" ht="15.75" hidden="false" customHeight="true" outlineLevel="0" collapsed="false">
      <c r="A35" s="1"/>
      <c r="B35" s="1"/>
      <c r="C35" s="1"/>
      <c r="D35" s="1"/>
    </row>
    <row r="36" customFormat="false" ht="15.75" hidden="false" customHeight="true" outlineLevel="0" collapsed="false">
      <c r="A36" s="1"/>
      <c r="B36" s="1"/>
      <c r="C36" s="1"/>
      <c r="D36" s="1"/>
    </row>
    <row r="37" customFormat="false" ht="15.75" hidden="false" customHeight="true" outlineLevel="0" collapsed="false">
      <c r="A37" s="1"/>
      <c r="B37" s="1"/>
      <c r="C37" s="1"/>
      <c r="D37" s="1"/>
    </row>
    <row r="38" customFormat="false" ht="15.75" hidden="false" customHeight="true" outlineLevel="0" collapsed="false">
      <c r="A38" s="1"/>
      <c r="B38" s="1"/>
      <c r="C38" s="1"/>
      <c r="D38" s="1"/>
    </row>
    <row r="39" customFormat="false" ht="15.75" hidden="false" customHeight="true" outlineLevel="0" collapsed="false">
      <c r="A39" s="1"/>
      <c r="B39" s="1"/>
      <c r="C39" s="1"/>
      <c r="D39" s="1"/>
    </row>
    <row r="40" customFormat="false" ht="15.75" hidden="false" customHeight="true" outlineLevel="0" collapsed="false">
      <c r="A40" s="1"/>
      <c r="B40" s="1"/>
      <c r="C40" s="1"/>
      <c r="D40" s="1"/>
    </row>
    <row r="41" customFormat="false" ht="15.75" hidden="false" customHeight="true" outlineLevel="0" collapsed="false">
      <c r="A41" s="1"/>
      <c r="B41" s="1"/>
      <c r="C41" s="1"/>
      <c r="D41" s="1"/>
    </row>
    <row r="42" customFormat="false" ht="15.75" hidden="false" customHeight="true" outlineLevel="0" collapsed="false">
      <c r="A42" s="1"/>
      <c r="B42" s="1"/>
      <c r="C42" s="1"/>
      <c r="D42" s="1"/>
    </row>
    <row r="43" customFormat="false" ht="15.75" hidden="false" customHeight="true" outlineLevel="0" collapsed="false">
      <c r="A43" s="1"/>
      <c r="B43" s="1"/>
      <c r="C43" s="1"/>
      <c r="D43" s="1"/>
    </row>
    <row r="44" customFormat="false" ht="15.75" hidden="false" customHeight="true" outlineLevel="0" collapsed="false">
      <c r="A44" s="1"/>
      <c r="B44" s="1"/>
      <c r="C44" s="1"/>
      <c r="D44" s="1"/>
    </row>
    <row r="45" customFormat="false" ht="15.75" hidden="false" customHeight="true" outlineLevel="0" collapsed="false">
      <c r="A45" s="1"/>
      <c r="B45" s="1"/>
      <c r="C45" s="1"/>
      <c r="D45" s="1"/>
    </row>
    <row r="46" customFormat="false" ht="15.75" hidden="false" customHeight="true" outlineLevel="0" collapsed="false">
      <c r="A46" s="1"/>
      <c r="B46" s="1"/>
      <c r="C46" s="1"/>
      <c r="D46" s="1"/>
    </row>
    <row r="47" customFormat="false" ht="15.75" hidden="false" customHeight="true" outlineLevel="0" collapsed="false">
      <c r="A47" s="1"/>
      <c r="B47" s="1"/>
      <c r="C47" s="1"/>
      <c r="D47" s="1"/>
    </row>
    <row r="48" customFormat="false" ht="15.75" hidden="false" customHeight="true" outlineLevel="0" collapsed="false">
      <c r="A48" s="1"/>
      <c r="B48" s="1"/>
      <c r="C48" s="1"/>
      <c r="D48" s="1"/>
    </row>
    <row r="49" customFormat="false" ht="15.75" hidden="false" customHeight="true" outlineLevel="0" collapsed="false">
      <c r="A49" s="1"/>
      <c r="B49" s="1"/>
      <c r="C49" s="1"/>
      <c r="D49" s="1"/>
    </row>
    <row r="50" customFormat="false" ht="15.75" hidden="false" customHeight="true" outlineLevel="0" collapsed="false">
      <c r="A50" s="1"/>
      <c r="B50" s="1"/>
      <c r="C50" s="1"/>
      <c r="D50" s="1"/>
    </row>
    <row r="51" customFormat="false" ht="15.75" hidden="false" customHeight="true" outlineLevel="0" collapsed="false">
      <c r="A51" s="1"/>
      <c r="B51" s="1"/>
      <c r="C51" s="1"/>
      <c r="D51" s="1"/>
    </row>
    <row r="52" customFormat="false" ht="15.75" hidden="false" customHeight="true" outlineLevel="0" collapsed="false">
      <c r="A52" s="1"/>
      <c r="B52" s="1"/>
      <c r="C52" s="1"/>
      <c r="D52" s="1"/>
    </row>
    <row r="53" customFormat="false" ht="15.75" hidden="false" customHeight="true" outlineLevel="0" collapsed="false">
      <c r="A53" s="1"/>
      <c r="B53" s="1"/>
      <c r="C53" s="1"/>
      <c r="D53" s="1"/>
    </row>
    <row r="54" customFormat="false" ht="15.75" hidden="false" customHeight="true" outlineLevel="0" collapsed="false">
      <c r="A54" s="1"/>
      <c r="B54" s="1"/>
      <c r="C54" s="1"/>
      <c r="D54" s="1"/>
    </row>
    <row r="55" customFormat="false" ht="15.75" hidden="false" customHeight="true" outlineLevel="0" collapsed="false">
      <c r="A55" s="1"/>
      <c r="B55" s="1"/>
      <c r="C55" s="1"/>
      <c r="D55" s="1"/>
    </row>
    <row r="56" customFormat="false" ht="15.75" hidden="false" customHeight="true" outlineLevel="0" collapsed="false">
      <c r="A56" s="1"/>
      <c r="B56" s="1"/>
      <c r="C56" s="1"/>
      <c r="D56" s="1"/>
    </row>
    <row r="57" customFormat="false" ht="15.75" hidden="false" customHeight="true" outlineLevel="0" collapsed="false">
      <c r="A57" s="1"/>
      <c r="B57" s="1"/>
      <c r="C57" s="1"/>
      <c r="D57" s="1"/>
    </row>
    <row r="58" customFormat="false" ht="15.75" hidden="false" customHeight="true" outlineLevel="0" collapsed="false">
      <c r="A58" s="1"/>
      <c r="B58" s="1"/>
      <c r="C58" s="1"/>
      <c r="D58" s="1"/>
    </row>
    <row r="59" customFormat="false" ht="15.75" hidden="false" customHeight="true" outlineLevel="0" collapsed="false">
      <c r="A59" s="1"/>
      <c r="B59" s="1"/>
      <c r="C59" s="1"/>
      <c r="D59" s="1"/>
    </row>
    <row r="60" customFormat="false" ht="15.75" hidden="false" customHeight="true" outlineLevel="0" collapsed="false">
      <c r="A60" s="1"/>
      <c r="B60" s="1"/>
      <c r="C60" s="1"/>
      <c r="D60" s="1"/>
    </row>
    <row r="61" customFormat="false" ht="15.75" hidden="false" customHeight="true" outlineLevel="0" collapsed="false">
      <c r="A61" s="1"/>
      <c r="B61" s="1"/>
      <c r="C61" s="1"/>
      <c r="D61" s="1"/>
    </row>
    <row r="62" customFormat="false" ht="15.75" hidden="false" customHeight="true" outlineLevel="0" collapsed="false">
      <c r="A62" s="1"/>
      <c r="B62" s="1"/>
      <c r="C62" s="1"/>
      <c r="D62" s="1"/>
    </row>
    <row r="63" customFormat="false" ht="15.75" hidden="false" customHeight="true" outlineLevel="0" collapsed="false">
      <c r="A63" s="1"/>
      <c r="B63" s="1"/>
      <c r="C63" s="1"/>
      <c r="D63" s="1"/>
    </row>
    <row r="64" customFormat="false" ht="15.75" hidden="false" customHeight="true" outlineLevel="0" collapsed="false">
      <c r="A64" s="1"/>
      <c r="B64" s="1"/>
      <c r="C64" s="1"/>
      <c r="D64" s="1"/>
    </row>
    <row r="65" customFormat="false" ht="15.75" hidden="false" customHeight="true" outlineLevel="0" collapsed="false">
      <c r="A65" s="1"/>
      <c r="B65" s="1"/>
      <c r="C65" s="1"/>
      <c r="D65" s="1"/>
    </row>
    <row r="66" customFormat="false" ht="15.75" hidden="false" customHeight="true" outlineLevel="0" collapsed="false">
      <c r="A66" s="1"/>
      <c r="B66" s="1"/>
      <c r="C66" s="1"/>
      <c r="D66" s="1"/>
    </row>
    <row r="67" customFormat="false" ht="15.75" hidden="false" customHeight="true" outlineLevel="0" collapsed="false">
      <c r="A67" s="1"/>
      <c r="B67" s="1"/>
      <c r="C67" s="1"/>
      <c r="D67" s="1"/>
    </row>
    <row r="68" customFormat="false" ht="15.75" hidden="false" customHeight="true" outlineLevel="0" collapsed="false">
      <c r="A68" s="1"/>
      <c r="B68" s="1"/>
      <c r="C68" s="1"/>
      <c r="D68" s="1"/>
    </row>
    <row r="69" customFormat="false" ht="15.75" hidden="false" customHeight="true" outlineLevel="0" collapsed="false">
      <c r="A69" s="1"/>
      <c r="B69" s="1"/>
      <c r="C69" s="1"/>
      <c r="D69" s="1"/>
    </row>
    <row r="70" customFormat="false" ht="15.75" hidden="false" customHeight="true" outlineLevel="0" collapsed="false">
      <c r="A70" s="1"/>
      <c r="B70" s="1"/>
      <c r="C70" s="1"/>
      <c r="D70" s="1"/>
    </row>
    <row r="71" customFormat="false" ht="15.75" hidden="false" customHeight="true" outlineLevel="0" collapsed="false">
      <c r="A71" s="1"/>
      <c r="B71" s="1"/>
      <c r="C71" s="1"/>
      <c r="D71" s="1"/>
    </row>
    <row r="72" customFormat="false" ht="15.75" hidden="false" customHeight="true" outlineLevel="0" collapsed="false">
      <c r="A72" s="1"/>
      <c r="B72" s="1"/>
      <c r="C72" s="1"/>
      <c r="D72" s="1"/>
    </row>
    <row r="73" customFormat="false" ht="15.75" hidden="false" customHeight="true" outlineLevel="0" collapsed="false">
      <c r="A73" s="1"/>
      <c r="B73" s="1"/>
      <c r="C73" s="1"/>
      <c r="D73" s="1"/>
    </row>
    <row r="74" customFormat="false" ht="15.75" hidden="false" customHeight="true" outlineLevel="0" collapsed="false">
      <c r="A74" s="1"/>
      <c r="B74" s="1"/>
      <c r="C74" s="1"/>
      <c r="D74" s="1"/>
    </row>
    <row r="75" customFormat="false" ht="15.75" hidden="false" customHeight="true" outlineLevel="0" collapsed="false">
      <c r="A75" s="1"/>
      <c r="B75" s="1"/>
      <c r="C75" s="1"/>
      <c r="D75" s="1"/>
    </row>
    <row r="76" customFormat="false" ht="15.75" hidden="false" customHeight="true" outlineLevel="0" collapsed="false">
      <c r="A76" s="1"/>
      <c r="B76" s="1"/>
      <c r="C76" s="1"/>
      <c r="D76" s="1"/>
    </row>
    <row r="77" customFormat="false" ht="15.75" hidden="false" customHeight="true" outlineLevel="0" collapsed="false">
      <c r="A77" s="1"/>
      <c r="B77" s="1"/>
      <c r="C77" s="1"/>
      <c r="D77" s="1"/>
    </row>
    <row r="78" customFormat="false" ht="15.75" hidden="false" customHeight="true" outlineLevel="0" collapsed="false">
      <c r="A78" s="1"/>
      <c r="B78" s="1"/>
      <c r="C78" s="1"/>
      <c r="D78" s="1"/>
    </row>
    <row r="79" customFormat="false" ht="15.75" hidden="false" customHeight="true" outlineLevel="0" collapsed="false">
      <c r="A79" s="1"/>
      <c r="B79" s="1"/>
      <c r="C79" s="1"/>
      <c r="D79" s="1"/>
    </row>
    <row r="80" customFormat="false" ht="15.75" hidden="false" customHeight="true" outlineLevel="0" collapsed="false">
      <c r="A80" s="1"/>
      <c r="B80" s="1"/>
      <c r="C80" s="1"/>
      <c r="D80" s="1"/>
    </row>
    <row r="81" customFormat="false" ht="15.75" hidden="false" customHeight="true" outlineLevel="0" collapsed="false">
      <c r="A81" s="1"/>
      <c r="B81" s="1"/>
      <c r="C81" s="1"/>
      <c r="D81" s="1"/>
    </row>
    <row r="82" customFormat="false" ht="15.75" hidden="false" customHeight="true" outlineLevel="0" collapsed="false">
      <c r="A82" s="1"/>
      <c r="B82" s="1"/>
      <c r="C82" s="1"/>
      <c r="D82" s="1"/>
    </row>
    <row r="83" customFormat="false" ht="15.75" hidden="false" customHeight="true" outlineLevel="0" collapsed="false">
      <c r="A83" s="1"/>
      <c r="B83" s="1"/>
      <c r="C83" s="1"/>
      <c r="D83" s="1"/>
    </row>
    <row r="84" customFormat="false" ht="15.75" hidden="false" customHeight="true" outlineLevel="0" collapsed="false">
      <c r="A84" s="1"/>
      <c r="B84" s="1"/>
      <c r="C84" s="1"/>
      <c r="D84" s="1"/>
    </row>
    <row r="85" customFormat="false" ht="15.75" hidden="false" customHeight="true" outlineLevel="0" collapsed="false">
      <c r="A85" s="1"/>
      <c r="B85" s="1"/>
      <c r="C85" s="1"/>
      <c r="D85" s="1"/>
    </row>
    <row r="86" customFormat="false" ht="15.75" hidden="false" customHeight="true" outlineLevel="0" collapsed="false">
      <c r="A86" s="1"/>
      <c r="B86" s="1"/>
      <c r="C86" s="1"/>
      <c r="D86" s="1"/>
    </row>
    <row r="87" customFormat="false" ht="15.75" hidden="false" customHeight="true" outlineLevel="0" collapsed="false">
      <c r="A87" s="1"/>
      <c r="B87" s="1"/>
      <c r="C87" s="1"/>
      <c r="D87" s="1"/>
    </row>
    <row r="88" customFormat="false" ht="15.75" hidden="false" customHeight="true" outlineLevel="0" collapsed="false">
      <c r="A88" s="1"/>
      <c r="B88" s="1"/>
      <c r="C88" s="1"/>
      <c r="D88" s="1"/>
    </row>
    <row r="89" customFormat="false" ht="15.75" hidden="false" customHeight="true" outlineLevel="0" collapsed="false">
      <c r="A89" s="1"/>
      <c r="B89" s="1"/>
      <c r="C89" s="1"/>
      <c r="D89" s="1"/>
    </row>
    <row r="90" customFormat="false" ht="15.75" hidden="false" customHeight="true" outlineLevel="0" collapsed="false">
      <c r="A90" s="1"/>
      <c r="B90" s="1"/>
      <c r="C90" s="1"/>
      <c r="D90" s="1"/>
    </row>
    <row r="91" customFormat="false" ht="15.75" hidden="false" customHeight="true" outlineLevel="0" collapsed="false">
      <c r="A91" s="1"/>
      <c r="B91" s="1"/>
      <c r="C91" s="1"/>
      <c r="D91" s="1"/>
    </row>
    <row r="92" customFormat="false" ht="15.75" hidden="false" customHeight="true" outlineLevel="0" collapsed="false">
      <c r="A92" s="1"/>
      <c r="B92" s="1"/>
      <c r="C92" s="1"/>
      <c r="D92" s="1"/>
    </row>
    <row r="93" customFormat="false" ht="15.75" hidden="false" customHeight="true" outlineLevel="0" collapsed="false">
      <c r="A93" s="1"/>
      <c r="B93" s="1"/>
      <c r="C93" s="1"/>
      <c r="D93" s="1"/>
    </row>
    <row r="94" customFormat="false" ht="15.75" hidden="false" customHeight="true" outlineLevel="0" collapsed="false">
      <c r="A94" s="1"/>
      <c r="B94" s="1"/>
      <c r="C94" s="1"/>
      <c r="D94" s="1"/>
    </row>
    <row r="95" customFormat="false" ht="15.75" hidden="false" customHeight="true" outlineLevel="0" collapsed="false">
      <c r="A95" s="1"/>
      <c r="B95" s="1"/>
      <c r="C95" s="1"/>
      <c r="D95" s="1"/>
    </row>
    <row r="96" customFormat="false" ht="15.75" hidden="false" customHeight="true" outlineLevel="0" collapsed="false">
      <c r="A96" s="1"/>
      <c r="B96" s="1"/>
      <c r="C96" s="1"/>
      <c r="D96" s="1"/>
    </row>
    <row r="97" customFormat="false" ht="15.75" hidden="false" customHeight="true" outlineLevel="0" collapsed="false">
      <c r="A97" s="1"/>
      <c r="B97" s="1"/>
      <c r="C97" s="1"/>
      <c r="D97" s="1"/>
    </row>
    <row r="98" customFormat="false" ht="15.75" hidden="false" customHeight="true" outlineLevel="0" collapsed="false">
      <c r="A98" s="1"/>
      <c r="B98" s="1"/>
      <c r="C98" s="1"/>
      <c r="D98" s="1"/>
    </row>
    <row r="99" customFormat="false" ht="15.75" hidden="false" customHeight="true" outlineLevel="0" collapsed="false">
      <c r="A99" s="1"/>
      <c r="B99" s="1"/>
      <c r="C99" s="1"/>
      <c r="D99" s="1"/>
    </row>
    <row r="100" customFormat="false" ht="15.75" hidden="false" customHeight="true" outlineLevel="0" collapsed="false">
      <c r="A100" s="1"/>
      <c r="B100" s="1"/>
      <c r="C100" s="1"/>
      <c r="D100" s="1"/>
    </row>
    <row r="101" customFormat="false" ht="15.75" hidden="false" customHeight="true" outlineLevel="0" collapsed="false">
      <c r="A101" s="1"/>
      <c r="B101" s="1"/>
      <c r="C101" s="1"/>
      <c r="D101" s="1"/>
    </row>
    <row r="102" customFormat="false" ht="15.75" hidden="false" customHeight="true" outlineLevel="0" collapsed="false">
      <c r="A102" s="1"/>
      <c r="B102" s="1"/>
      <c r="C102" s="1"/>
      <c r="D102" s="1"/>
    </row>
    <row r="103" customFormat="false" ht="15.75" hidden="false" customHeight="true" outlineLevel="0" collapsed="false">
      <c r="A103" s="1"/>
      <c r="B103" s="1"/>
      <c r="C103" s="1"/>
      <c r="D103" s="1"/>
    </row>
    <row r="104" customFormat="false" ht="15.75" hidden="false" customHeight="true" outlineLevel="0" collapsed="false">
      <c r="A104" s="1"/>
      <c r="B104" s="1"/>
      <c r="C104" s="1"/>
      <c r="D104" s="1"/>
    </row>
    <row r="105" customFormat="false" ht="15.75" hidden="false" customHeight="true" outlineLevel="0" collapsed="false">
      <c r="A105" s="1"/>
      <c r="B105" s="1"/>
      <c r="C105" s="1"/>
      <c r="D105" s="1"/>
    </row>
    <row r="106" customFormat="false" ht="15.75" hidden="false" customHeight="true" outlineLevel="0" collapsed="false">
      <c r="A106" s="1"/>
      <c r="B106" s="1"/>
      <c r="C106" s="1"/>
      <c r="D106" s="1"/>
    </row>
    <row r="107" customFormat="false" ht="15.75" hidden="false" customHeight="true" outlineLevel="0" collapsed="false">
      <c r="A107" s="1"/>
      <c r="B107" s="1"/>
      <c r="C107" s="1"/>
      <c r="D107" s="1"/>
    </row>
    <row r="108" customFormat="false" ht="15.75" hidden="false" customHeight="true" outlineLevel="0" collapsed="false">
      <c r="A108" s="1"/>
      <c r="B108" s="1"/>
      <c r="C108" s="1"/>
      <c r="D108" s="1"/>
    </row>
    <row r="109" customFormat="false" ht="15.75" hidden="false" customHeight="true" outlineLevel="0" collapsed="false">
      <c r="A109" s="1"/>
      <c r="B109" s="1"/>
      <c r="C109" s="1"/>
      <c r="D109" s="1"/>
    </row>
    <row r="110" customFormat="false" ht="15.75" hidden="false" customHeight="true" outlineLevel="0" collapsed="false">
      <c r="A110" s="1"/>
      <c r="B110" s="1"/>
      <c r="C110" s="1"/>
      <c r="D110" s="1"/>
    </row>
    <row r="111" customFormat="false" ht="15.75" hidden="false" customHeight="true" outlineLevel="0" collapsed="false">
      <c r="A111" s="1"/>
      <c r="B111" s="1"/>
      <c r="C111" s="1"/>
      <c r="D111" s="1"/>
    </row>
    <row r="112" customFormat="false" ht="15.75" hidden="false" customHeight="true" outlineLevel="0" collapsed="false">
      <c r="A112" s="1"/>
      <c r="B112" s="1"/>
      <c r="C112" s="1"/>
      <c r="D112" s="1"/>
    </row>
    <row r="113" customFormat="false" ht="15.75" hidden="false" customHeight="true" outlineLevel="0" collapsed="false">
      <c r="A113" s="1"/>
      <c r="B113" s="1"/>
      <c r="C113" s="1"/>
      <c r="D113" s="1"/>
    </row>
    <row r="114" customFormat="false" ht="15.75" hidden="false" customHeight="true" outlineLevel="0" collapsed="false">
      <c r="A114" s="1"/>
      <c r="B114" s="1"/>
      <c r="C114" s="1"/>
      <c r="D114" s="1"/>
    </row>
    <row r="115" customFormat="false" ht="15.75" hidden="false" customHeight="true" outlineLevel="0" collapsed="false">
      <c r="A115" s="1"/>
      <c r="B115" s="1"/>
      <c r="C115" s="1"/>
      <c r="D115" s="1"/>
    </row>
    <row r="116" customFormat="false" ht="15.75" hidden="false" customHeight="true" outlineLevel="0" collapsed="false">
      <c r="A116" s="1"/>
      <c r="B116" s="1"/>
      <c r="C116" s="1"/>
      <c r="D116" s="1"/>
    </row>
    <row r="117" customFormat="false" ht="15.75" hidden="false" customHeight="true" outlineLevel="0" collapsed="false">
      <c r="A117" s="1"/>
      <c r="B117" s="1"/>
      <c r="C117" s="1"/>
      <c r="D117" s="1"/>
    </row>
    <row r="118" customFormat="false" ht="15.75" hidden="false" customHeight="true" outlineLevel="0" collapsed="false">
      <c r="A118" s="1"/>
      <c r="B118" s="1"/>
      <c r="C118" s="1"/>
      <c r="D118" s="1"/>
    </row>
    <row r="119" customFormat="false" ht="15.75" hidden="false" customHeight="true" outlineLevel="0" collapsed="false">
      <c r="A119" s="1"/>
      <c r="B119" s="1"/>
      <c r="C119" s="1"/>
      <c r="D119" s="1"/>
    </row>
    <row r="120" customFormat="false" ht="15.75" hidden="false" customHeight="true" outlineLevel="0" collapsed="false">
      <c r="A120" s="1"/>
      <c r="B120" s="1"/>
      <c r="C120" s="1"/>
      <c r="D120" s="1"/>
    </row>
    <row r="121" customFormat="false" ht="15.75" hidden="false" customHeight="true" outlineLevel="0" collapsed="false">
      <c r="A121" s="1"/>
      <c r="B121" s="1"/>
      <c r="C121" s="1"/>
      <c r="D121" s="1"/>
    </row>
    <row r="122" customFormat="false" ht="15.75" hidden="false" customHeight="true" outlineLevel="0" collapsed="false">
      <c r="A122" s="1"/>
      <c r="B122" s="1"/>
      <c r="C122" s="1"/>
      <c r="D122" s="1"/>
    </row>
    <row r="123" customFormat="false" ht="15.75" hidden="false" customHeight="true" outlineLevel="0" collapsed="false">
      <c r="A123" s="1"/>
      <c r="B123" s="1"/>
      <c r="C123" s="1"/>
      <c r="D123" s="1"/>
    </row>
    <row r="124" customFormat="false" ht="15.75" hidden="false" customHeight="true" outlineLevel="0" collapsed="false">
      <c r="A124" s="1"/>
      <c r="B124" s="1"/>
      <c r="C124" s="1"/>
      <c r="D124" s="1"/>
    </row>
    <row r="125" customFormat="false" ht="15.75" hidden="false" customHeight="true" outlineLevel="0" collapsed="false">
      <c r="A125" s="1"/>
      <c r="B125" s="1"/>
      <c r="C125" s="1"/>
      <c r="D125" s="1"/>
    </row>
    <row r="126" customFormat="false" ht="15.75" hidden="false" customHeight="true" outlineLevel="0" collapsed="false">
      <c r="A126" s="1"/>
      <c r="B126" s="1"/>
      <c r="C126" s="1"/>
      <c r="D126" s="1"/>
    </row>
    <row r="127" customFormat="false" ht="15.75" hidden="false" customHeight="true" outlineLevel="0" collapsed="false">
      <c r="A127" s="1"/>
      <c r="B127" s="1"/>
      <c r="C127" s="1"/>
      <c r="D127" s="1"/>
    </row>
    <row r="128" customFormat="false" ht="15.75" hidden="false" customHeight="true" outlineLevel="0" collapsed="false">
      <c r="A128" s="1"/>
      <c r="B128" s="1"/>
      <c r="C128" s="1"/>
      <c r="D128" s="1"/>
    </row>
    <row r="129" customFormat="false" ht="15.75" hidden="false" customHeight="true" outlineLevel="0" collapsed="false">
      <c r="A129" s="1"/>
      <c r="B129" s="1"/>
      <c r="C129" s="1"/>
      <c r="D129" s="1"/>
    </row>
    <row r="130" customFormat="false" ht="15.75" hidden="false" customHeight="true" outlineLevel="0" collapsed="false">
      <c r="A130" s="1"/>
      <c r="B130" s="1"/>
      <c r="C130" s="1"/>
      <c r="D130" s="1"/>
    </row>
    <row r="131" customFormat="false" ht="15.75" hidden="false" customHeight="true" outlineLevel="0" collapsed="false">
      <c r="A131" s="1"/>
      <c r="B131" s="1"/>
      <c r="C131" s="1"/>
      <c r="D131" s="1"/>
    </row>
    <row r="132" customFormat="false" ht="15.75" hidden="false" customHeight="true" outlineLevel="0" collapsed="false">
      <c r="A132" s="1"/>
      <c r="B132" s="1"/>
      <c r="C132" s="1"/>
      <c r="D132" s="1"/>
    </row>
    <row r="133" customFormat="false" ht="15.75" hidden="false" customHeight="true" outlineLevel="0" collapsed="false">
      <c r="A133" s="1"/>
      <c r="B133" s="1"/>
      <c r="C133" s="1"/>
      <c r="D133" s="1"/>
    </row>
    <row r="134" customFormat="false" ht="15.75" hidden="false" customHeight="true" outlineLevel="0" collapsed="false">
      <c r="A134" s="1"/>
      <c r="B134" s="1"/>
      <c r="C134" s="1"/>
      <c r="D134" s="1"/>
    </row>
    <row r="135" customFormat="false" ht="15.75" hidden="false" customHeight="true" outlineLevel="0" collapsed="false">
      <c r="A135" s="1"/>
      <c r="B135" s="1"/>
      <c r="C135" s="1"/>
      <c r="D135" s="1"/>
    </row>
    <row r="136" customFormat="false" ht="15.75" hidden="false" customHeight="true" outlineLevel="0" collapsed="false">
      <c r="A136" s="1"/>
      <c r="B136" s="1"/>
      <c r="C136" s="1"/>
      <c r="D136" s="1"/>
    </row>
    <row r="137" customFormat="false" ht="15.75" hidden="false" customHeight="true" outlineLevel="0" collapsed="false">
      <c r="A137" s="1"/>
      <c r="B137" s="1"/>
      <c r="C137" s="1"/>
      <c r="D137" s="1"/>
    </row>
    <row r="138" customFormat="false" ht="15.75" hidden="false" customHeight="true" outlineLevel="0" collapsed="false">
      <c r="A138" s="1"/>
      <c r="B138" s="1"/>
      <c r="C138" s="1"/>
      <c r="D138" s="1"/>
    </row>
    <row r="139" customFormat="false" ht="15.75" hidden="false" customHeight="true" outlineLevel="0" collapsed="false">
      <c r="A139" s="1"/>
      <c r="B139" s="1"/>
      <c r="C139" s="1"/>
      <c r="D139" s="1"/>
    </row>
    <row r="140" customFormat="false" ht="15.75" hidden="false" customHeight="true" outlineLevel="0" collapsed="false">
      <c r="A140" s="1"/>
      <c r="B140" s="1"/>
      <c r="C140" s="1"/>
      <c r="D140" s="1"/>
    </row>
    <row r="141" customFormat="false" ht="15.75" hidden="false" customHeight="true" outlineLevel="0" collapsed="false">
      <c r="A141" s="1"/>
      <c r="B141" s="1"/>
      <c r="C141" s="1"/>
      <c r="D141" s="1"/>
    </row>
    <row r="142" customFormat="false" ht="15.75" hidden="false" customHeight="true" outlineLevel="0" collapsed="false">
      <c r="A142" s="1"/>
      <c r="B142" s="1"/>
      <c r="C142" s="1"/>
      <c r="D142" s="1"/>
    </row>
    <row r="143" customFormat="false" ht="15.75" hidden="false" customHeight="true" outlineLevel="0" collapsed="false">
      <c r="A143" s="1"/>
      <c r="B143" s="1"/>
      <c r="C143" s="1"/>
      <c r="D143" s="1"/>
    </row>
    <row r="144" customFormat="false" ht="15.75" hidden="false" customHeight="true" outlineLevel="0" collapsed="false">
      <c r="A144" s="1"/>
      <c r="B144" s="1"/>
      <c r="C144" s="1"/>
      <c r="D144" s="1"/>
    </row>
    <row r="145" customFormat="false" ht="15.75" hidden="false" customHeight="true" outlineLevel="0" collapsed="false">
      <c r="A145" s="1"/>
      <c r="B145" s="1"/>
      <c r="C145" s="1"/>
      <c r="D145" s="1"/>
    </row>
    <row r="146" customFormat="false" ht="15.75" hidden="false" customHeight="true" outlineLevel="0" collapsed="false">
      <c r="A146" s="1"/>
      <c r="B146" s="1"/>
      <c r="C146" s="1"/>
      <c r="D146" s="1"/>
    </row>
    <row r="147" customFormat="false" ht="15.75" hidden="false" customHeight="true" outlineLevel="0" collapsed="false">
      <c r="A147" s="1"/>
      <c r="B147" s="1"/>
      <c r="C147" s="1"/>
      <c r="D147" s="1"/>
    </row>
    <row r="148" customFormat="false" ht="15.75" hidden="false" customHeight="true" outlineLevel="0" collapsed="false">
      <c r="A148" s="1"/>
      <c r="B148" s="1"/>
      <c r="C148" s="1"/>
      <c r="D148" s="1"/>
    </row>
    <row r="149" customFormat="false" ht="15.75" hidden="false" customHeight="true" outlineLevel="0" collapsed="false">
      <c r="A149" s="1"/>
      <c r="B149" s="1"/>
      <c r="C149" s="1"/>
      <c r="D149" s="1"/>
    </row>
    <row r="150" customFormat="false" ht="15.75" hidden="false" customHeight="true" outlineLevel="0" collapsed="false">
      <c r="A150" s="1"/>
      <c r="B150" s="1"/>
      <c r="C150" s="1"/>
      <c r="D150" s="1"/>
    </row>
    <row r="151" customFormat="false" ht="15.75" hidden="false" customHeight="true" outlineLevel="0" collapsed="false">
      <c r="A151" s="1"/>
      <c r="B151" s="1"/>
      <c r="C151" s="1"/>
      <c r="D151" s="1"/>
    </row>
    <row r="152" customFormat="false" ht="15.75" hidden="false" customHeight="true" outlineLevel="0" collapsed="false">
      <c r="A152" s="1"/>
      <c r="B152" s="1"/>
      <c r="C152" s="1"/>
      <c r="D152" s="1"/>
    </row>
    <row r="153" customFormat="false" ht="15.75" hidden="false" customHeight="true" outlineLevel="0" collapsed="false">
      <c r="A153" s="1"/>
      <c r="B153" s="1"/>
      <c r="C153" s="1"/>
      <c r="D153" s="1"/>
    </row>
    <row r="154" customFormat="false" ht="15.75" hidden="false" customHeight="true" outlineLevel="0" collapsed="false">
      <c r="A154" s="1"/>
      <c r="B154" s="1"/>
      <c r="C154" s="1"/>
      <c r="D154" s="1"/>
    </row>
    <row r="155" customFormat="false" ht="15.75" hidden="false" customHeight="true" outlineLevel="0" collapsed="false">
      <c r="A155" s="1"/>
      <c r="B155" s="1"/>
      <c r="C155" s="1"/>
      <c r="D155" s="1"/>
    </row>
    <row r="156" customFormat="false" ht="15.75" hidden="false" customHeight="true" outlineLevel="0" collapsed="false">
      <c r="A156" s="1"/>
      <c r="B156" s="1"/>
      <c r="C156" s="1"/>
      <c r="D156" s="1"/>
    </row>
    <row r="157" customFormat="false" ht="15.75" hidden="false" customHeight="true" outlineLevel="0" collapsed="false">
      <c r="A157" s="1"/>
      <c r="B157" s="1"/>
      <c r="C157" s="1"/>
      <c r="D157" s="1"/>
    </row>
    <row r="158" customFormat="false" ht="15.75" hidden="false" customHeight="true" outlineLevel="0" collapsed="false">
      <c r="A158" s="1"/>
      <c r="B158" s="1"/>
      <c r="C158" s="1"/>
      <c r="D158" s="1"/>
    </row>
    <row r="159" customFormat="false" ht="15.75" hidden="false" customHeight="true" outlineLevel="0" collapsed="false">
      <c r="A159" s="1"/>
      <c r="B159" s="1"/>
      <c r="C159" s="1"/>
      <c r="D159" s="1"/>
    </row>
    <row r="160" customFormat="false" ht="15.75" hidden="false" customHeight="true" outlineLevel="0" collapsed="false">
      <c r="A160" s="1"/>
      <c r="B160" s="1"/>
      <c r="C160" s="1"/>
      <c r="D160" s="1"/>
    </row>
    <row r="161" customFormat="false" ht="15.75" hidden="false" customHeight="true" outlineLevel="0" collapsed="false">
      <c r="A161" s="1"/>
      <c r="B161" s="1"/>
      <c r="C161" s="1"/>
      <c r="D161" s="1"/>
    </row>
    <row r="162" customFormat="false" ht="15.75" hidden="false" customHeight="true" outlineLevel="0" collapsed="false">
      <c r="A162" s="1"/>
      <c r="B162" s="1"/>
      <c r="C162" s="1"/>
      <c r="D162" s="1"/>
    </row>
    <row r="163" customFormat="false" ht="15.75" hidden="false" customHeight="true" outlineLevel="0" collapsed="false">
      <c r="A163" s="1"/>
      <c r="B163" s="1"/>
      <c r="C163" s="1"/>
      <c r="D163" s="1"/>
    </row>
    <row r="164" customFormat="false" ht="15.75" hidden="false" customHeight="true" outlineLevel="0" collapsed="false">
      <c r="A164" s="1"/>
      <c r="B164" s="1"/>
      <c r="C164" s="1"/>
      <c r="D164" s="1"/>
    </row>
    <row r="165" customFormat="false" ht="15.75" hidden="false" customHeight="true" outlineLevel="0" collapsed="false">
      <c r="A165" s="1"/>
      <c r="B165" s="1"/>
      <c r="C165" s="1"/>
      <c r="D165" s="1"/>
    </row>
    <row r="166" customFormat="false" ht="15.75" hidden="false" customHeight="true" outlineLevel="0" collapsed="false">
      <c r="A166" s="1"/>
      <c r="B166" s="1"/>
      <c r="C166" s="1"/>
      <c r="D166" s="1"/>
    </row>
    <row r="167" customFormat="false" ht="15.75" hidden="false" customHeight="true" outlineLevel="0" collapsed="false">
      <c r="A167" s="1"/>
      <c r="B167" s="1"/>
      <c r="C167" s="1"/>
      <c r="D167" s="1"/>
    </row>
    <row r="168" customFormat="false" ht="15.75" hidden="false" customHeight="true" outlineLevel="0" collapsed="false">
      <c r="A168" s="1"/>
      <c r="B168" s="1"/>
      <c r="C168" s="1"/>
      <c r="D168" s="1"/>
    </row>
    <row r="169" customFormat="false" ht="15.75" hidden="false" customHeight="true" outlineLevel="0" collapsed="false">
      <c r="A169" s="1"/>
      <c r="B169" s="1"/>
      <c r="C169" s="1"/>
      <c r="D169" s="1"/>
    </row>
    <row r="170" customFormat="false" ht="15.75" hidden="false" customHeight="true" outlineLevel="0" collapsed="false">
      <c r="A170" s="1"/>
      <c r="B170" s="1"/>
      <c r="C170" s="1"/>
      <c r="D170" s="1"/>
    </row>
    <row r="171" customFormat="false" ht="15.75" hidden="false" customHeight="true" outlineLevel="0" collapsed="false">
      <c r="A171" s="1"/>
      <c r="B171" s="1"/>
      <c r="C171" s="1"/>
      <c r="D171" s="1"/>
    </row>
    <row r="172" customFormat="false" ht="15.75" hidden="false" customHeight="true" outlineLevel="0" collapsed="false">
      <c r="A172" s="1"/>
      <c r="B172" s="1"/>
      <c r="C172" s="1"/>
      <c r="D172" s="1"/>
    </row>
    <row r="173" customFormat="false" ht="15.75" hidden="false" customHeight="true" outlineLevel="0" collapsed="false">
      <c r="A173" s="1"/>
      <c r="B173" s="1"/>
      <c r="C173" s="1"/>
      <c r="D173" s="1"/>
    </row>
    <row r="174" customFormat="false" ht="15.75" hidden="false" customHeight="true" outlineLevel="0" collapsed="false">
      <c r="A174" s="1"/>
      <c r="B174" s="1"/>
      <c r="C174" s="1"/>
      <c r="D174" s="1"/>
    </row>
    <row r="175" customFormat="false" ht="15.75" hidden="false" customHeight="true" outlineLevel="0" collapsed="false">
      <c r="A175" s="1"/>
      <c r="B175" s="1"/>
      <c r="C175" s="1"/>
      <c r="D175" s="1"/>
    </row>
    <row r="176" customFormat="false" ht="15.75" hidden="false" customHeight="true" outlineLevel="0" collapsed="false">
      <c r="A176" s="1"/>
      <c r="B176" s="1"/>
      <c r="C176" s="1"/>
      <c r="D176" s="1"/>
    </row>
    <row r="177" customFormat="false" ht="15.75" hidden="false" customHeight="true" outlineLevel="0" collapsed="false">
      <c r="A177" s="1"/>
      <c r="B177" s="1"/>
      <c r="C177" s="1"/>
      <c r="D177" s="1"/>
    </row>
    <row r="178" customFormat="false" ht="15.75" hidden="false" customHeight="true" outlineLevel="0" collapsed="false">
      <c r="A178" s="1"/>
      <c r="B178" s="1"/>
      <c r="C178" s="1"/>
      <c r="D178" s="1"/>
    </row>
    <row r="179" customFormat="false" ht="15.75" hidden="false" customHeight="true" outlineLevel="0" collapsed="false">
      <c r="A179" s="1"/>
      <c r="B179" s="1"/>
      <c r="C179" s="1"/>
      <c r="D179" s="1"/>
    </row>
    <row r="180" customFormat="false" ht="15.75" hidden="false" customHeight="true" outlineLevel="0" collapsed="false">
      <c r="A180" s="1"/>
      <c r="B180" s="1"/>
      <c r="C180" s="1"/>
      <c r="D180" s="1"/>
    </row>
    <row r="181" customFormat="false" ht="15.75" hidden="false" customHeight="true" outlineLevel="0" collapsed="false">
      <c r="A181" s="1"/>
      <c r="B181" s="1"/>
      <c r="C181" s="1"/>
      <c r="D181" s="1"/>
    </row>
    <row r="182" customFormat="false" ht="15.75" hidden="false" customHeight="true" outlineLevel="0" collapsed="false">
      <c r="A182" s="1"/>
      <c r="B182" s="1"/>
      <c r="C182" s="1"/>
      <c r="D182" s="1"/>
    </row>
    <row r="183" customFormat="false" ht="15.75" hidden="false" customHeight="true" outlineLevel="0" collapsed="false">
      <c r="A183" s="1"/>
      <c r="B183" s="1"/>
      <c r="C183" s="1"/>
      <c r="D183" s="1"/>
    </row>
    <row r="184" customFormat="false" ht="15.75" hidden="false" customHeight="true" outlineLevel="0" collapsed="false">
      <c r="A184" s="1"/>
      <c r="B184" s="1"/>
      <c r="C184" s="1"/>
      <c r="D184" s="1"/>
    </row>
    <row r="185" customFormat="false" ht="15.75" hidden="false" customHeight="true" outlineLevel="0" collapsed="false">
      <c r="A185" s="1"/>
      <c r="B185" s="1"/>
      <c r="C185" s="1"/>
      <c r="D185" s="1"/>
    </row>
    <row r="186" customFormat="false" ht="15.75" hidden="false" customHeight="true" outlineLevel="0" collapsed="false">
      <c r="A186" s="1"/>
      <c r="B186" s="1"/>
      <c r="C186" s="1"/>
      <c r="D186" s="1"/>
    </row>
    <row r="187" customFormat="false" ht="15.75" hidden="false" customHeight="true" outlineLevel="0" collapsed="false">
      <c r="A187" s="1"/>
      <c r="B187" s="1"/>
      <c r="C187" s="1"/>
      <c r="D187" s="1"/>
    </row>
    <row r="188" customFormat="false" ht="15.75" hidden="false" customHeight="true" outlineLevel="0" collapsed="false">
      <c r="A188" s="1"/>
      <c r="B188" s="1"/>
      <c r="C188" s="1"/>
      <c r="D188" s="1"/>
    </row>
    <row r="189" customFormat="false" ht="15.75" hidden="false" customHeight="true" outlineLevel="0" collapsed="false">
      <c r="A189" s="1"/>
      <c r="B189" s="1"/>
      <c r="C189" s="1"/>
      <c r="D189" s="1"/>
    </row>
    <row r="190" customFormat="false" ht="15.75" hidden="false" customHeight="true" outlineLevel="0" collapsed="false">
      <c r="A190" s="1"/>
      <c r="B190" s="1"/>
      <c r="C190" s="1"/>
      <c r="D190" s="1"/>
    </row>
    <row r="191" customFormat="false" ht="15.75" hidden="false" customHeight="true" outlineLevel="0" collapsed="false">
      <c r="A191" s="1"/>
      <c r="B191" s="1"/>
      <c r="C191" s="1"/>
      <c r="D191" s="1"/>
    </row>
    <row r="192" customFormat="false" ht="15.75" hidden="false" customHeight="true" outlineLevel="0" collapsed="false">
      <c r="A192" s="1"/>
      <c r="B192" s="1"/>
      <c r="C192" s="1"/>
      <c r="D192" s="1"/>
    </row>
    <row r="193" customFormat="false" ht="15.75" hidden="false" customHeight="true" outlineLevel="0" collapsed="false">
      <c r="A193" s="1"/>
      <c r="B193" s="1"/>
      <c r="C193" s="1"/>
      <c r="D193" s="1"/>
    </row>
    <row r="194" customFormat="false" ht="15.75" hidden="false" customHeight="true" outlineLevel="0" collapsed="false">
      <c r="A194" s="1"/>
      <c r="B194" s="1"/>
      <c r="C194" s="1"/>
      <c r="D194" s="1"/>
    </row>
    <row r="195" customFormat="false" ht="15.75" hidden="false" customHeight="true" outlineLevel="0" collapsed="false">
      <c r="A195" s="1"/>
      <c r="B195" s="1"/>
      <c r="C195" s="1"/>
      <c r="D195" s="1"/>
    </row>
    <row r="196" customFormat="false" ht="15.75" hidden="false" customHeight="true" outlineLevel="0" collapsed="false">
      <c r="A196" s="1"/>
      <c r="B196" s="1"/>
      <c r="C196" s="1"/>
      <c r="D196" s="1"/>
    </row>
    <row r="197" customFormat="false" ht="15.75" hidden="false" customHeight="true" outlineLevel="0" collapsed="false">
      <c r="A197" s="1"/>
      <c r="B197" s="1"/>
      <c r="C197" s="1"/>
      <c r="D197" s="1"/>
    </row>
    <row r="198" customFormat="false" ht="15.75" hidden="false" customHeight="true" outlineLevel="0" collapsed="false">
      <c r="A198" s="1"/>
      <c r="B198" s="1"/>
      <c r="C198" s="1"/>
      <c r="D198" s="1"/>
    </row>
    <row r="199" customFormat="false" ht="15.75" hidden="false" customHeight="true" outlineLevel="0" collapsed="false">
      <c r="A199" s="1"/>
      <c r="B199" s="1"/>
      <c r="C199" s="1"/>
      <c r="D199" s="1"/>
    </row>
    <row r="200" customFormat="false" ht="15.75" hidden="false" customHeight="true" outlineLevel="0" collapsed="false">
      <c r="A200" s="1"/>
      <c r="B200" s="1"/>
      <c r="C200" s="1"/>
      <c r="D200" s="1"/>
    </row>
    <row r="201" customFormat="false" ht="15.75" hidden="false" customHeight="true" outlineLevel="0" collapsed="false">
      <c r="A201" s="1"/>
      <c r="B201" s="1"/>
      <c r="C201" s="1"/>
      <c r="D201" s="1"/>
    </row>
    <row r="202" customFormat="false" ht="15.75" hidden="false" customHeight="true" outlineLevel="0" collapsed="false">
      <c r="A202" s="1"/>
      <c r="B202" s="1"/>
      <c r="C202" s="1"/>
      <c r="D202" s="1"/>
    </row>
    <row r="203" customFormat="false" ht="15.75" hidden="false" customHeight="true" outlineLevel="0" collapsed="false">
      <c r="A203" s="1"/>
      <c r="B203" s="1"/>
      <c r="C203" s="1"/>
      <c r="D203" s="1"/>
    </row>
    <row r="204" customFormat="false" ht="15.75" hidden="false" customHeight="true" outlineLevel="0" collapsed="false">
      <c r="A204" s="1"/>
      <c r="B204" s="1"/>
      <c r="C204" s="1"/>
      <c r="D204" s="1"/>
    </row>
    <row r="205" customFormat="false" ht="15.75" hidden="false" customHeight="true" outlineLevel="0" collapsed="false">
      <c r="A205" s="1"/>
      <c r="B205" s="1"/>
      <c r="C205" s="1"/>
      <c r="D205" s="1"/>
    </row>
    <row r="206" customFormat="false" ht="15.75" hidden="false" customHeight="true" outlineLevel="0" collapsed="false">
      <c r="A206" s="1"/>
      <c r="B206" s="1"/>
      <c r="C206" s="1"/>
      <c r="D206" s="1"/>
    </row>
    <row r="207" customFormat="false" ht="15.75" hidden="false" customHeight="true" outlineLevel="0" collapsed="false">
      <c r="A207" s="1"/>
      <c r="B207" s="1"/>
      <c r="C207" s="1"/>
      <c r="D207" s="1"/>
    </row>
    <row r="208" customFormat="false" ht="15.75" hidden="false" customHeight="true" outlineLevel="0" collapsed="false">
      <c r="A208" s="1"/>
      <c r="B208" s="1"/>
      <c r="C208" s="1"/>
      <c r="D208" s="1"/>
    </row>
    <row r="209" customFormat="false" ht="15.75" hidden="false" customHeight="true" outlineLevel="0" collapsed="false">
      <c r="A209" s="1"/>
      <c r="B209" s="1"/>
      <c r="C209" s="1"/>
      <c r="D209" s="1"/>
    </row>
    <row r="210" customFormat="false" ht="15.75" hidden="false" customHeight="true" outlineLevel="0" collapsed="false">
      <c r="A210" s="1"/>
      <c r="B210" s="1"/>
      <c r="C210" s="1"/>
      <c r="D210" s="1"/>
    </row>
    <row r="211" customFormat="false" ht="15.75" hidden="false" customHeight="true" outlineLevel="0" collapsed="false">
      <c r="A211" s="1"/>
      <c r="B211" s="1"/>
      <c r="C211" s="1"/>
      <c r="D211" s="1"/>
    </row>
    <row r="212" customFormat="false" ht="15.75" hidden="false" customHeight="true" outlineLevel="0" collapsed="false">
      <c r="A212" s="1"/>
      <c r="B212" s="1"/>
      <c r="C212" s="1"/>
      <c r="D212" s="1"/>
    </row>
    <row r="213" customFormat="false" ht="15.75" hidden="false" customHeight="true" outlineLevel="0" collapsed="false">
      <c r="A213" s="1"/>
      <c r="B213" s="1"/>
      <c r="C213" s="1"/>
      <c r="D213" s="1"/>
    </row>
    <row r="214" customFormat="false" ht="15.75" hidden="false" customHeight="true" outlineLevel="0" collapsed="false">
      <c r="A214" s="1"/>
      <c r="B214" s="1"/>
      <c r="C214" s="1"/>
      <c r="D214" s="1"/>
    </row>
    <row r="215" customFormat="false" ht="15.75" hidden="false" customHeight="true" outlineLevel="0" collapsed="false">
      <c r="A215" s="1"/>
      <c r="B215" s="1"/>
      <c r="C215" s="1"/>
      <c r="D215" s="1"/>
    </row>
    <row r="216" customFormat="false" ht="15.75" hidden="false" customHeight="true" outlineLevel="0" collapsed="false">
      <c r="A216" s="1"/>
      <c r="B216" s="1"/>
      <c r="C216" s="1"/>
      <c r="D216" s="1"/>
    </row>
    <row r="217" customFormat="false" ht="15.75" hidden="false" customHeight="true" outlineLevel="0" collapsed="false">
      <c r="A217" s="1"/>
      <c r="B217" s="1"/>
      <c r="C217" s="1"/>
      <c r="D217" s="1"/>
    </row>
    <row r="218" customFormat="false" ht="15.75" hidden="false" customHeight="true" outlineLevel="0" collapsed="false">
      <c r="A218" s="1"/>
      <c r="B218" s="1"/>
      <c r="C218" s="1"/>
      <c r="D218" s="1"/>
    </row>
    <row r="219" customFormat="false" ht="15.75" hidden="false" customHeight="true" outlineLevel="0" collapsed="false">
      <c r="A219" s="1"/>
      <c r="B219" s="1"/>
      <c r="C219" s="1"/>
      <c r="D219" s="1"/>
    </row>
    <row r="220" customFormat="false" ht="15.75" hidden="false" customHeight="true" outlineLevel="0" collapsed="false">
      <c r="A220" s="1"/>
      <c r="B220" s="1"/>
      <c r="C220" s="1"/>
      <c r="D220" s="1"/>
    </row>
    <row r="221" customFormat="false" ht="15.75" hidden="false" customHeight="true" outlineLevel="0" collapsed="false">
      <c r="A221" s="1"/>
      <c r="B221" s="1"/>
      <c r="C221" s="1"/>
      <c r="D221" s="1"/>
    </row>
    <row r="222" customFormat="false" ht="15.75" hidden="false" customHeight="true" outlineLevel="0" collapsed="false">
      <c r="A222" s="1"/>
      <c r="B222" s="1"/>
      <c r="C222" s="1"/>
      <c r="D222" s="1"/>
    </row>
    <row r="223" customFormat="false" ht="15.75" hidden="false" customHeight="true" outlineLevel="0" collapsed="false">
      <c r="A223" s="1"/>
      <c r="B223" s="1"/>
      <c r="C223" s="1"/>
      <c r="D223" s="1"/>
    </row>
    <row r="224" customFormat="false" ht="15.75" hidden="false" customHeight="true" outlineLevel="0" collapsed="false">
      <c r="A224" s="1"/>
      <c r="B224" s="1"/>
      <c r="C224" s="1"/>
      <c r="D224" s="1"/>
    </row>
    <row r="225" customFormat="false" ht="15.75" hidden="false" customHeight="true" outlineLevel="0" collapsed="false">
      <c r="A225" s="1"/>
      <c r="B225" s="1"/>
      <c r="C225" s="1"/>
      <c r="D225" s="1"/>
    </row>
    <row r="226" customFormat="false" ht="15.75" hidden="false" customHeight="true" outlineLevel="0" collapsed="false">
      <c r="A226" s="1"/>
      <c r="B226" s="1"/>
      <c r="C226" s="1"/>
      <c r="D226" s="1"/>
    </row>
    <row r="227" customFormat="false" ht="15.75" hidden="false" customHeight="true" outlineLevel="0" collapsed="false">
      <c r="A227" s="1"/>
      <c r="B227" s="1"/>
      <c r="C227" s="1"/>
      <c r="D227" s="1"/>
    </row>
    <row r="228" customFormat="false" ht="15.75" hidden="false" customHeight="true" outlineLevel="0" collapsed="false">
      <c r="A228" s="1"/>
      <c r="B228" s="1"/>
      <c r="C228" s="1"/>
      <c r="D228" s="1"/>
    </row>
    <row r="229" customFormat="false" ht="15.75" hidden="false" customHeight="true" outlineLevel="0" collapsed="false">
      <c r="A229" s="1"/>
      <c r="B229" s="1"/>
      <c r="C229" s="1"/>
      <c r="D229" s="1"/>
    </row>
    <row r="230" customFormat="false" ht="15.75" hidden="false" customHeight="true" outlineLevel="0" collapsed="false">
      <c r="A230" s="1"/>
      <c r="B230" s="1"/>
      <c r="C230" s="1"/>
      <c r="D230" s="1"/>
    </row>
    <row r="231" customFormat="false" ht="15.75" hidden="false" customHeight="true" outlineLevel="0" collapsed="false">
      <c r="A231" s="1"/>
      <c r="B231" s="1"/>
      <c r="C231" s="1"/>
      <c r="D231" s="1"/>
    </row>
    <row r="232" customFormat="false" ht="15.75" hidden="false" customHeight="true" outlineLevel="0" collapsed="false">
      <c r="A232" s="1"/>
      <c r="B232" s="1"/>
      <c r="C232" s="1"/>
      <c r="D232" s="1"/>
    </row>
    <row r="233" customFormat="false" ht="15.75" hidden="false" customHeight="true" outlineLevel="0" collapsed="false">
      <c r="A233" s="1"/>
      <c r="B233" s="1"/>
      <c r="C233" s="1"/>
      <c r="D233" s="1"/>
    </row>
    <row r="234" customFormat="false" ht="15.75" hidden="false" customHeight="true" outlineLevel="0" collapsed="false">
      <c r="A234" s="1"/>
      <c r="B234" s="1"/>
      <c r="C234" s="1"/>
      <c r="D234" s="1"/>
    </row>
    <row r="235" customFormat="false" ht="15.75" hidden="false" customHeight="true" outlineLevel="0" collapsed="false">
      <c r="A235" s="1"/>
      <c r="B235" s="1"/>
      <c r="C235" s="1"/>
      <c r="D235" s="1"/>
    </row>
    <row r="236" customFormat="false" ht="15.75" hidden="false" customHeight="true" outlineLevel="0" collapsed="false">
      <c r="A236" s="1"/>
      <c r="B236" s="1"/>
      <c r="C236" s="1"/>
      <c r="D236" s="1"/>
    </row>
    <row r="237" customFormat="false" ht="15.75" hidden="false" customHeight="true" outlineLevel="0" collapsed="false">
      <c r="A237" s="1"/>
      <c r="B237" s="1"/>
      <c r="C237" s="1"/>
      <c r="D237" s="1"/>
    </row>
    <row r="238" customFormat="false" ht="15.75" hidden="false" customHeight="true" outlineLevel="0" collapsed="false">
      <c r="A238" s="1"/>
      <c r="B238" s="1"/>
      <c r="C238" s="1"/>
      <c r="D238" s="1"/>
    </row>
    <row r="239" customFormat="false" ht="15.75" hidden="false" customHeight="true" outlineLevel="0" collapsed="false">
      <c r="A239" s="1"/>
      <c r="B239" s="1"/>
      <c r="C239" s="1"/>
      <c r="D239" s="1"/>
    </row>
    <row r="240" customFormat="false" ht="15.75" hidden="false" customHeight="true" outlineLevel="0" collapsed="false">
      <c r="A240" s="1"/>
      <c r="B240" s="1"/>
      <c r="C240" s="1"/>
      <c r="D240" s="1"/>
    </row>
    <row r="241" customFormat="false" ht="15.75" hidden="false" customHeight="true" outlineLevel="0" collapsed="false">
      <c r="A241" s="1"/>
      <c r="B241" s="1"/>
      <c r="C241" s="1"/>
      <c r="D241" s="1"/>
    </row>
    <row r="242" customFormat="false" ht="15.75" hidden="false" customHeight="true" outlineLevel="0" collapsed="false">
      <c r="A242" s="1"/>
      <c r="B242" s="1"/>
      <c r="C242" s="1"/>
      <c r="D242" s="1"/>
    </row>
    <row r="243" customFormat="false" ht="15.75" hidden="false" customHeight="true" outlineLevel="0" collapsed="false">
      <c r="A243" s="1"/>
      <c r="B243" s="1"/>
      <c r="C243" s="1"/>
      <c r="D243" s="1"/>
    </row>
    <row r="244" customFormat="false" ht="15.75" hidden="false" customHeight="true" outlineLevel="0" collapsed="false">
      <c r="A244" s="1"/>
      <c r="B244" s="1"/>
      <c r="C244" s="1"/>
      <c r="D244" s="1"/>
    </row>
    <row r="245" customFormat="false" ht="15.75" hidden="false" customHeight="true" outlineLevel="0" collapsed="false">
      <c r="A245" s="1"/>
      <c r="B245" s="1"/>
      <c r="C245" s="1"/>
      <c r="D245" s="1"/>
    </row>
    <row r="246" customFormat="false" ht="15.75" hidden="false" customHeight="true" outlineLevel="0" collapsed="false">
      <c r="A246" s="1"/>
      <c r="B246" s="1"/>
      <c r="C246" s="1"/>
      <c r="D246" s="1"/>
    </row>
    <row r="247" customFormat="false" ht="15.75" hidden="false" customHeight="true" outlineLevel="0" collapsed="false">
      <c r="A247" s="1"/>
      <c r="B247" s="1"/>
      <c r="C247" s="1"/>
      <c r="D247" s="1"/>
    </row>
    <row r="248" customFormat="false" ht="15.75" hidden="false" customHeight="true" outlineLevel="0" collapsed="false">
      <c r="A248" s="1"/>
      <c r="B248" s="1"/>
      <c r="C248" s="1"/>
      <c r="D248" s="1"/>
    </row>
    <row r="249" customFormat="false" ht="15.75" hidden="false" customHeight="true" outlineLevel="0" collapsed="false">
      <c r="A249" s="1"/>
      <c r="B249" s="1"/>
      <c r="C249" s="1"/>
      <c r="D249" s="1"/>
    </row>
    <row r="250" customFormat="false" ht="15.75" hidden="false" customHeight="true" outlineLevel="0" collapsed="false">
      <c r="A250" s="1"/>
      <c r="B250" s="1"/>
      <c r="C250" s="1"/>
      <c r="D250" s="1"/>
    </row>
    <row r="251" customFormat="false" ht="15.75" hidden="false" customHeight="true" outlineLevel="0" collapsed="false">
      <c r="A251" s="1"/>
      <c r="B251" s="1"/>
      <c r="C251" s="1"/>
      <c r="D251" s="1"/>
    </row>
    <row r="252" customFormat="false" ht="15.75" hidden="false" customHeight="true" outlineLevel="0" collapsed="false">
      <c r="A252" s="1"/>
      <c r="B252" s="1"/>
      <c r="C252" s="1"/>
      <c r="D252" s="1"/>
    </row>
    <row r="253" customFormat="false" ht="15.75" hidden="false" customHeight="true" outlineLevel="0" collapsed="false">
      <c r="A253" s="1"/>
      <c r="B253" s="1"/>
      <c r="C253" s="1"/>
      <c r="D253" s="1"/>
    </row>
    <row r="254" customFormat="false" ht="15.75" hidden="false" customHeight="true" outlineLevel="0" collapsed="false">
      <c r="A254" s="1"/>
      <c r="B254" s="1"/>
      <c r="C254" s="1"/>
      <c r="D254" s="1"/>
    </row>
    <row r="255" customFormat="false" ht="15.75" hidden="false" customHeight="true" outlineLevel="0" collapsed="false">
      <c r="A255" s="1"/>
      <c r="B255" s="1"/>
      <c r="C255" s="1"/>
      <c r="D255" s="1"/>
    </row>
    <row r="256" customFormat="false" ht="15.75" hidden="false" customHeight="true" outlineLevel="0" collapsed="false">
      <c r="A256" s="1"/>
      <c r="B256" s="1"/>
      <c r="C256" s="1"/>
      <c r="D256" s="1"/>
    </row>
    <row r="257" customFormat="false" ht="15.75" hidden="false" customHeight="true" outlineLevel="0" collapsed="false">
      <c r="A257" s="1"/>
      <c r="B257" s="1"/>
      <c r="C257" s="1"/>
      <c r="D257" s="1"/>
    </row>
    <row r="258" customFormat="false" ht="15.75" hidden="false" customHeight="true" outlineLevel="0" collapsed="false">
      <c r="A258" s="1"/>
      <c r="B258" s="1"/>
      <c r="C258" s="1"/>
      <c r="D258" s="1"/>
    </row>
    <row r="259" customFormat="false" ht="15.75" hidden="false" customHeight="true" outlineLevel="0" collapsed="false">
      <c r="A259" s="1"/>
      <c r="B259" s="1"/>
      <c r="C259" s="1"/>
      <c r="D259" s="1"/>
    </row>
    <row r="260" customFormat="false" ht="15.75" hidden="false" customHeight="true" outlineLevel="0" collapsed="false">
      <c r="A260" s="1"/>
      <c r="B260" s="1"/>
      <c r="C260" s="1"/>
      <c r="D260" s="1"/>
    </row>
    <row r="261" customFormat="false" ht="15.75" hidden="false" customHeight="true" outlineLevel="0" collapsed="false">
      <c r="A261" s="1"/>
      <c r="B261" s="1"/>
      <c r="C261" s="1"/>
      <c r="D261" s="1"/>
    </row>
    <row r="262" customFormat="false" ht="15.75" hidden="false" customHeight="true" outlineLevel="0" collapsed="false">
      <c r="A262" s="1"/>
      <c r="B262" s="1"/>
      <c r="C262" s="1"/>
      <c r="D262" s="1"/>
    </row>
    <row r="263" customFormat="false" ht="15.75" hidden="false" customHeight="true" outlineLevel="0" collapsed="false">
      <c r="A263" s="1"/>
      <c r="B263" s="1"/>
      <c r="C263" s="1"/>
      <c r="D263" s="1"/>
    </row>
    <row r="264" customFormat="false" ht="15.75" hidden="false" customHeight="true" outlineLevel="0" collapsed="false">
      <c r="A264" s="1"/>
      <c r="B264" s="1"/>
      <c r="C264" s="1"/>
      <c r="D264" s="1"/>
    </row>
    <row r="265" customFormat="false" ht="15.75" hidden="false" customHeight="true" outlineLevel="0" collapsed="false">
      <c r="A265" s="1"/>
      <c r="B265" s="1"/>
      <c r="C265" s="1"/>
      <c r="D265" s="1"/>
    </row>
    <row r="266" customFormat="false" ht="15.75" hidden="false" customHeight="true" outlineLevel="0" collapsed="false">
      <c r="A266" s="1"/>
      <c r="B266" s="1"/>
      <c r="C266" s="1"/>
      <c r="D266" s="1"/>
    </row>
    <row r="267" customFormat="false" ht="15.75" hidden="false" customHeight="true" outlineLevel="0" collapsed="false">
      <c r="A267" s="1"/>
      <c r="B267" s="1"/>
      <c r="C267" s="1"/>
      <c r="D267" s="1"/>
    </row>
    <row r="268" customFormat="false" ht="15.75" hidden="false" customHeight="true" outlineLevel="0" collapsed="false">
      <c r="A268" s="1"/>
      <c r="B268" s="1"/>
      <c r="C268" s="1"/>
      <c r="D268" s="1"/>
    </row>
    <row r="269" customFormat="false" ht="15.75" hidden="false" customHeight="true" outlineLevel="0" collapsed="false">
      <c r="A269" s="1"/>
      <c r="B269" s="1"/>
      <c r="C269" s="1"/>
      <c r="D269" s="1"/>
    </row>
    <row r="270" customFormat="false" ht="15.75" hidden="false" customHeight="true" outlineLevel="0" collapsed="false">
      <c r="A270" s="1"/>
      <c r="B270" s="1"/>
      <c r="C270" s="1"/>
      <c r="D270" s="1"/>
    </row>
    <row r="271" customFormat="false" ht="15.75" hidden="false" customHeight="true" outlineLevel="0" collapsed="false">
      <c r="A271" s="1"/>
      <c r="B271" s="1"/>
      <c r="C271" s="1"/>
      <c r="D271" s="1"/>
    </row>
    <row r="272" customFormat="false" ht="15.75" hidden="false" customHeight="true" outlineLevel="0" collapsed="false">
      <c r="A272" s="1"/>
      <c r="B272" s="1"/>
      <c r="C272" s="1"/>
      <c r="D272" s="1"/>
    </row>
    <row r="273" customFormat="false" ht="15.75" hidden="false" customHeight="true" outlineLevel="0" collapsed="false">
      <c r="A273" s="1"/>
      <c r="B273" s="1"/>
      <c r="C273" s="1"/>
      <c r="D273" s="1"/>
    </row>
    <row r="274" customFormat="false" ht="15.75" hidden="false" customHeight="true" outlineLevel="0" collapsed="false">
      <c r="A274" s="1"/>
      <c r="B274" s="1"/>
      <c r="C274" s="1"/>
      <c r="D274" s="1"/>
    </row>
    <row r="275" customFormat="false" ht="15.75" hidden="false" customHeight="true" outlineLevel="0" collapsed="false">
      <c r="A275" s="1"/>
      <c r="B275" s="1"/>
      <c r="C275" s="1"/>
      <c r="D275" s="1"/>
    </row>
    <row r="276" customFormat="false" ht="15.75" hidden="false" customHeight="true" outlineLevel="0" collapsed="false">
      <c r="A276" s="1"/>
      <c r="B276" s="1"/>
      <c r="C276" s="1"/>
      <c r="D276" s="1"/>
    </row>
    <row r="277" customFormat="false" ht="15.75" hidden="false" customHeight="true" outlineLevel="0" collapsed="false">
      <c r="A277" s="1"/>
      <c r="B277" s="1"/>
      <c r="C277" s="1"/>
      <c r="D277" s="1"/>
    </row>
    <row r="278" customFormat="false" ht="15.75" hidden="false" customHeight="true" outlineLevel="0" collapsed="false">
      <c r="A278" s="1"/>
      <c r="B278" s="1"/>
      <c r="C278" s="1"/>
      <c r="D278" s="1"/>
    </row>
    <row r="279" customFormat="false" ht="15.75" hidden="false" customHeight="true" outlineLevel="0" collapsed="false">
      <c r="A279" s="1"/>
      <c r="B279" s="1"/>
      <c r="C279" s="1"/>
      <c r="D279" s="1"/>
    </row>
    <row r="280" customFormat="false" ht="15.75" hidden="false" customHeight="true" outlineLevel="0" collapsed="false">
      <c r="A280" s="1"/>
      <c r="B280" s="1"/>
      <c r="C280" s="1"/>
      <c r="D280" s="1"/>
    </row>
    <row r="281" customFormat="false" ht="15.75" hidden="false" customHeight="true" outlineLevel="0" collapsed="false">
      <c r="A281" s="1"/>
      <c r="B281" s="1"/>
      <c r="C281" s="1"/>
      <c r="D281" s="1"/>
    </row>
    <row r="282" customFormat="false" ht="15.75" hidden="false" customHeight="true" outlineLevel="0" collapsed="false">
      <c r="A282" s="1"/>
      <c r="B282" s="1"/>
      <c r="C282" s="1"/>
      <c r="D282" s="1"/>
    </row>
    <row r="283" customFormat="false" ht="15.75" hidden="false" customHeight="true" outlineLevel="0" collapsed="false">
      <c r="A283" s="1"/>
      <c r="B283" s="1"/>
      <c r="C283" s="1"/>
      <c r="D283" s="1"/>
    </row>
    <row r="284" customFormat="false" ht="15.75" hidden="false" customHeight="true" outlineLevel="0" collapsed="false">
      <c r="A284" s="1"/>
      <c r="B284" s="1"/>
      <c r="C284" s="1"/>
      <c r="D284" s="1"/>
    </row>
    <row r="285" customFormat="false" ht="15.75" hidden="false" customHeight="true" outlineLevel="0" collapsed="false">
      <c r="A285" s="1"/>
      <c r="B285" s="1"/>
      <c r="C285" s="1"/>
      <c r="D285" s="1"/>
    </row>
    <row r="286" customFormat="false" ht="15.75" hidden="false" customHeight="true" outlineLevel="0" collapsed="false">
      <c r="A286" s="1"/>
      <c r="B286" s="1"/>
      <c r="C286" s="1"/>
      <c r="D286" s="1"/>
    </row>
    <row r="287" customFormat="false" ht="15.75" hidden="false" customHeight="true" outlineLevel="0" collapsed="false">
      <c r="A287" s="1"/>
      <c r="B287" s="1"/>
      <c r="C287" s="1"/>
      <c r="D287" s="1"/>
    </row>
    <row r="288" customFormat="false" ht="15.75" hidden="false" customHeight="true" outlineLevel="0" collapsed="false">
      <c r="A288" s="1"/>
      <c r="B288" s="1"/>
      <c r="C288" s="1"/>
      <c r="D288" s="1"/>
    </row>
    <row r="289" customFormat="false" ht="15.75" hidden="false" customHeight="true" outlineLevel="0" collapsed="false">
      <c r="A289" s="1"/>
      <c r="B289" s="1"/>
      <c r="C289" s="1"/>
      <c r="D289" s="1"/>
    </row>
    <row r="290" customFormat="false" ht="15.75" hidden="false" customHeight="true" outlineLevel="0" collapsed="false">
      <c r="A290" s="1"/>
      <c r="B290" s="1"/>
      <c r="C290" s="1"/>
      <c r="D290" s="1"/>
    </row>
    <row r="291" customFormat="false" ht="15.75" hidden="false" customHeight="true" outlineLevel="0" collapsed="false">
      <c r="A291" s="1"/>
      <c r="B291" s="1"/>
      <c r="C291" s="1"/>
      <c r="D291" s="1"/>
    </row>
    <row r="292" customFormat="false" ht="15.75" hidden="false" customHeight="true" outlineLevel="0" collapsed="false">
      <c r="A292" s="1"/>
      <c r="B292" s="1"/>
      <c r="C292" s="1"/>
      <c r="D292" s="1"/>
    </row>
    <row r="293" customFormat="false" ht="15.75" hidden="false" customHeight="true" outlineLevel="0" collapsed="false">
      <c r="A293" s="1"/>
      <c r="B293" s="1"/>
      <c r="C293" s="1"/>
      <c r="D293" s="1"/>
    </row>
    <row r="294" customFormat="false" ht="15.75" hidden="false" customHeight="true" outlineLevel="0" collapsed="false">
      <c r="A294" s="1"/>
      <c r="B294" s="1"/>
      <c r="C294" s="1"/>
      <c r="D294" s="1"/>
    </row>
    <row r="295" customFormat="false" ht="15.75" hidden="false" customHeight="true" outlineLevel="0" collapsed="false">
      <c r="A295" s="1"/>
      <c r="B295" s="1"/>
      <c r="C295" s="1"/>
      <c r="D295" s="1"/>
    </row>
    <row r="296" customFormat="false" ht="15.75" hidden="false" customHeight="true" outlineLevel="0" collapsed="false">
      <c r="A296" s="1"/>
      <c r="B296" s="1"/>
      <c r="C296" s="1"/>
      <c r="D296" s="1"/>
    </row>
    <row r="297" customFormat="false" ht="15.75" hidden="false" customHeight="true" outlineLevel="0" collapsed="false">
      <c r="A297" s="1"/>
      <c r="B297" s="1"/>
      <c r="C297" s="1"/>
      <c r="D297" s="1"/>
    </row>
    <row r="298" customFormat="false" ht="15.75" hidden="false" customHeight="true" outlineLevel="0" collapsed="false">
      <c r="A298" s="1"/>
      <c r="B298" s="1"/>
      <c r="C298" s="1"/>
      <c r="D298" s="1"/>
    </row>
    <row r="299" customFormat="false" ht="15.75" hidden="false" customHeight="true" outlineLevel="0" collapsed="false">
      <c r="A299" s="1"/>
      <c r="B299" s="1"/>
      <c r="C299" s="1"/>
      <c r="D299" s="1"/>
    </row>
    <row r="300" customFormat="false" ht="15.75" hidden="false" customHeight="true" outlineLevel="0" collapsed="false">
      <c r="A300" s="1"/>
      <c r="B300" s="1"/>
      <c r="C300" s="1"/>
      <c r="D300" s="1"/>
    </row>
    <row r="301" customFormat="false" ht="15.75" hidden="false" customHeight="true" outlineLevel="0" collapsed="false">
      <c r="A301" s="1"/>
      <c r="B301" s="1"/>
      <c r="C301" s="1"/>
      <c r="D301" s="1"/>
    </row>
    <row r="302" customFormat="false" ht="15.75" hidden="false" customHeight="true" outlineLevel="0" collapsed="false">
      <c r="A302" s="1"/>
      <c r="B302" s="1"/>
      <c r="C302" s="1"/>
      <c r="D302" s="1"/>
    </row>
    <row r="303" customFormat="false" ht="15.75" hidden="false" customHeight="true" outlineLevel="0" collapsed="false">
      <c r="A303" s="1"/>
      <c r="B303" s="1"/>
      <c r="C303" s="1"/>
      <c r="D303" s="1"/>
    </row>
    <row r="304" customFormat="false" ht="15.75" hidden="false" customHeight="true" outlineLevel="0" collapsed="false">
      <c r="A304" s="1"/>
      <c r="B304" s="1"/>
      <c r="C304" s="1"/>
      <c r="D304" s="1"/>
    </row>
    <row r="305" customFormat="false" ht="15.75" hidden="false" customHeight="true" outlineLevel="0" collapsed="false">
      <c r="A305" s="1"/>
      <c r="B305" s="1"/>
      <c r="C305" s="1"/>
      <c r="D305" s="1"/>
    </row>
    <row r="306" customFormat="false" ht="15.75" hidden="false" customHeight="true" outlineLevel="0" collapsed="false">
      <c r="A306" s="1"/>
      <c r="B306" s="1"/>
      <c r="C306" s="1"/>
      <c r="D306" s="1"/>
    </row>
    <row r="307" customFormat="false" ht="15.75" hidden="false" customHeight="true" outlineLevel="0" collapsed="false">
      <c r="A307" s="1"/>
      <c r="B307" s="1"/>
      <c r="C307" s="1"/>
      <c r="D307" s="1"/>
    </row>
    <row r="308" customFormat="false" ht="15.75" hidden="false" customHeight="true" outlineLevel="0" collapsed="false">
      <c r="A308" s="1"/>
      <c r="B308" s="1"/>
      <c r="C308" s="1"/>
      <c r="D308" s="1"/>
    </row>
    <row r="309" customFormat="false" ht="15.75" hidden="false" customHeight="true" outlineLevel="0" collapsed="false">
      <c r="A309" s="1"/>
      <c r="B309" s="1"/>
      <c r="C309" s="1"/>
      <c r="D309" s="1"/>
    </row>
    <row r="310" customFormat="false" ht="15.75" hidden="false" customHeight="true" outlineLevel="0" collapsed="false">
      <c r="A310" s="1"/>
      <c r="B310" s="1"/>
      <c r="C310" s="1"/>
      <c r="D310" s="1"/>
    </row>
    <row r="311" customFormat="false" ht="15.75" hidden="false" customHeight="true" outlineLevel="0" collapsed="false">
      <c r="A311" s="1"/>
      <c r="B311" s="1"/>
      <c r="C311" s="1"/>
      <c r="D311" s="1"/>
    </row>
    <row r="312" customFormat="false" ht="15.75" hidden="false" customHeight="true" outlineLevel="0" collapsed="false">
      <c r="A312" s="1"/>
      <c r="B312" s="1"/>
      <c r="C312" s="1"/>
      <c r="D312" s="1"/>
    </row>
    <row r="313" customFormat="false" ht="15.75" hidden="false" customHeight="true" outlineLevel="0" collapsed="false">
      <c r="A313" s="1"/>
      <c r="B313" s="1"/>
      <c r="C313" s="1"/>
      <c r="D313" s="1"/>
    </row>
    <row r="314" customFormat="false" ht="15.75" hidden="false" customHeight="true" outlineLevel="0" collapsed="false">
      <c r="A314" s="1"/>
      <c r="B314" s="1"/>
      <c r="C314" s="1"/>
      <c r="D314" s="1"/>
    </row>
    <row r="315" customFormat="false" ht="15.75" hidden="false" customHeight="true" outlineLevel="0" collapsed="false">
      <c r="A315" s="1"/>
      <c r="B315" s="1"/>
      <c r="C315" s="1"/>
      <c r="D315" s="1"/>
    </row>
    <row r="316" customFormat="false" ht="15.75" hidden="false" customHeight="true" outlineLevel="0" collapsed="false">
      <c r="A316" s="1"/>
      <c r="B316" s="1"/>
      <c r="C316" s="1"/>
      <c r="D316" s="1"/>
    </row>
    <row r="317" customFormat="false" ht="15.75" hidden="false" customHeight="true" outlineLevel="0" collapsed="false">
      <c r="A317" s="1"/>
      <c r="B317" s="1"/>
      <c r="C317" s="1"/>
      <c r="D317" s="1"/>
    </row>
    <row r="318" customFormat="false" ht="15.75" hidden="false" customHeight="true" outlineLevel="0" collapsed="false">
      <c r="A318" s="1"/>
      <c r="B318" s="1"/>
      <c r="C318" s="1"/>
      <c r="D318" s="1"/>
    </row>
    <row r="319" customFormat="false" ht="15.75" hidden="false" customHeight="true" outlineLevel="0" collapsed="false">
      <c r="A319" s="1"/>
      <c r="B319" s="1"/>
      <c r="C319" s="1"/>
      <c r="D319" s="1"/>
    </row>
    <row r="320" customFormat="false" ht="15.75" hidden="false" customHeight="true" outlineLevel="0" collapsed="false">
      <c r="A320" s="1"/>
      <c r="B320" s="1"/>
      <c r="C320" s="1"/>
      <c r="D320" s="1"/>
    </row>
    <row r="321" customFormat="false" ht="15.75" hidden="false" customHeight="true" outlineLevel="0" collapsed="false">
      <c r="A321" s="1"/>
      <c r="B321" s="1"/>
      <c r="C321" s="1"/>
      <c r="D321" s="1"/>
    </row>
    <row r="322" customFormat="false" ht="15.75" hidden="false" customHeight="true" outlineLevel="0" collapsed="false">
      <c r="A322" s="1"/>
      <c r="B322" s="1"/>
      <c r="C322" s="1"/>
      <c r="D322" s="1"/>
    </row>
    <row r="323" customFormat="false" ht="15.75" hidden="false" customHeight="true" outlineLevel="0" collapsed="false">
      <c r="A323" s="1"/>
      <c r="B323" s="1"/>
      <c r="C323" s="1"/>
      <c r="D323" s="1"/>
    </row>
    <row r="324" customFormat="false" ht="15.75" hidden="false" customHeight="true" outlineLevel="0" collapsed="false">
      <c r="A324" s="1"/>
      <c r="B324" s="1"/>
      <c r="C324" s="1"/>
      <c r="D324" s="1"/>
    </row>
    <row r="325" customFormat="false" ht="15.75" hidden="false" customHeight="true" outlineLevel="0" collapsed="false">
      <c r="A325" s="1"/>
      <c r="B325" s="1"/>
      <c r="C325" s="1"/>
      <c r="D325" s="1"/>
    </row>
    <row r="326" customFormat="false" ht="15.75" hidden="false" customHeight="true" outlineLevel="0" collapsed="false">
      <c r="A326" s="1"/>
      <c r="B326" s="1"/>
      <c r="C326" s="1"/>
      <c r="D326" s="1"/>
    </row>
    <row r="327" customFormat="false" ht="15.75" hidden="false" customHeight="true" outlineLevel="0" collapsed="false">
      <c r="A327" s="1"/>
      <c r="B327" s="1"/>
      <c r="C327" s="1"/>
      <c r="D327" s="1"/>
    </row>
    <row r="328" customFormat="false" ht="15.75" hidden="false" customHeight="true" outlineLevel="0" collapsed="false">
      <c r="A328" s="1"/>
      <c r="B328" s="1"/>
      <c r="C328" s="1"/>
      <c r="D328" s="1"/>
    </row>
    <row r="329" customFormat="false" ht="15.75" hidden="false" customHeight="true" outlineLevel="0" collapsed="false">
      <c r="A329" s="1"/>
      <c r="B329" s="1"/>
      <c r="C329" s="1"/>
      <c r="D329" s="1"/>
    </row>
    <row r="330" customFormat="false" ht="15.75" hidden="false" customHeight="true" outlineLevel="0" collapsed="false">
      <c r="A330" s="1"/>
      <c r="B330" s="1"/>
      <c r="C330" s="1"/>
      <c r="D330" s="1"/>
    </row>
    <row r="331" customFormat="false" ht="15.75" hidden="false" customHeight="true" outlineLevel="0" collapsed="false">
      <c r="A331" s="1"/>
      <c r="B331" s="1"/>
      <c r="C331" s="1"/>
      <c r="D331" s="1"/>
    </row>
    <row r="332" customFormat="false" ht="15.75" hidden="false" customHeight="true" outlineLevel="0" collapsed="false">
      <c r="A332" s="1"/>
      <c r="B332" s="1"/>
      <c r="C332" s="1"/>
      <c r="D332" s="1"/>
    </row>
    <row r="333" customFormat="false" ht="15.75" hidden="false" customHeight="true" outlineLevel="0" collapsed="false">
      <c r="A333" s="1"/>
      <c r="B333" s="1"/>
      <c r="C333" s="1"/>
      <c r="D333" s="1"/>
    </row>
    <row r="334" customFormat="false" ht="15.75" hidden="false" customHeight="true" outlineLevel="0" collapsed="false">
      <c r="A334" s="1"/>
      <c r="B334" s="1"/>
      <c r="C334" s="1"/>
      <c r="D334" s="1"/>
    </row>
    <row r="335" customFormat="false" ht="15.75" hidden="false" customHeight="true" outlineLevel="0" collapsed="false">
      <c r="A335" s="1"/>
      <c r="B335" s="1"/>
      <c r="C335" s="1"/>
      <c r="D335" s="1"/>
    </row>
    <row r="336" customFormat="false" ht="15.75" hidden="false" customHeight="true" outlineLevel="0" collapsed="false">
      <c r="A336" s="1"/>
      <c r="B336" s="1"/>
      <c r="C336" s="1"/>
      <c r="D336" s="1"/>
    </row>
    <row r="337" customFormat="false" ht="15.75" hidden="false" customHeight="true" outlineLevel="0" collapsed="false">
      <c r="A337" s="1"/>
      <c r="B337" s="1"/>
      <c r="C337" s="1"/>
      <c r="D337" s="1"/>
    </row>
    <row r="338" customFormat="false" ht="15.75" hidden="false" customHeight="true" outlineLevel="0" collapsed="false">
      <c r="A338" s="1"/>
      <c r="B338" s="1"/>
      <c r="C338" s="1"/>
      <c r="D338" s="1"/>
    </row>
    <row r="339" customFormat="false" ht="15.75" hidden="false" customHeight="true" outlineLevel="0" collapsed="false">
      <c r="A339" s="1"/>
      <c r="B339" s="1"/>
      <c r="C339" s="1"/>
      <c r="D339" s="1"/>
    </row>
    <row r="340" customFormat="false" ht="15.75" hidden="false" customHeight="true" outlineLevel="0" collapsed="false">
      <c r="A340" s="1"/>
      <c r="B340" s="1"/>
      <c r="C340" s="1"/>
      <c r="D340" s="1"/>
    </row>
    <row r="341" customFormat="false" ht="15.75" hidden="false" customHeight="true" outlineLevel="0" collapsed="false">
      <c r="A341" s="1"/>
      <c r="B341" s="1"/>
      <c r="C341" s="1"/>
      <c r="D341" s="1"/>
    </row>
    <row r="342" customFormat="false" ht="15.75" hidden="false" customHeight="true" outlineLevel="0" collapsed="false">
      <c r="A342" s="1"/>
      <c r="B342" s="1"/>
      <c r="C342" s="1"/>
      <c r="D342" s="1"/>
    </row>
    <row r="343" customFormat="false" ht="15.75" hidden="false" customHeight="true" outlineLevel="0" collapsed="false">
      <c r="A343" s="1"/>
      <c r="B343" s="1"/>
      <c r="C343" s="1"/>
      <c r="D343" s="1"/>
    </row>
    <row r="344" customFormat="false" ht="15.75" hidden="false" customHeight="true" outlineLevel="0" collapsed="false">
      <c r="A344" s="1"/>
      <c r="B344" s="1"/>
      <c r="C344" s="1"/>
      <c r="D344" s="1"/>
    </row>
    <row r="345" customFormat="false" ht="15.75" hidden="false" customHeight="true" outlineLevel="0" collapsed="false">
      <c r="A345" s="1"/>
      <c r="B345" s="1"/>
      <c r="C345" s="1"/>
      <c r="D345" s="1"/>
    </row>
    <row r="346" customFormat="false" ht="15.75" hidden="false" customHeight="true" outlineLevel="0" collapsed="false">
      <c r="A346" s="1"/>
      <c r="B346" s="1"/>
      <c r="C346" s="1"/>
      <c r="D346" s="1"/>
    </row>
    <row r="347" customFormat="false" ht="15.75" hidden="false" customHeight="true" outlineLevel="0" collapsed="false">
      <c r="A347" s="1"/>
      <c r="B347" s="1"/>
      <c r="C347" s="1"/>
      <c r="D347" s="1"/>
    </row>
    <row r="348" customFormat="false" ht="15.75" hidden="false" customHeight="true" outlineLevel="0" collapsed="false">
      <c r="A348" s="1"/>
      <c r="B348" s="1"/>
      <c r="C348" s="1"/>
      <c r="D348" s="1"/>
    </row>
    <row r="349" customFormat="false" ht="15.75" hidden="false" customHeight="true" outlineLevel="0" collapsed="false">
      <c r="A349" s="1"/>
      <c r="B349" s="1"/>
      <c r="C349" s="1"/>
      <c r="D349" s="1"/>
    </row>
    <row r="350" customFormat="false" ht="15.75" hidden="false" customHeight="true" outlineLevel="0" collapsed="false">
      <c r="A350" s="1"/>
      <c r="B350" s="1"/>
      <c r="C350" s="1"/>
      <c r="D350" s="1"/>
    </row>
    <row r="351" customFormat="false" ht="15.75" hidden="false" customHeight="true" outlineLevel="0" collapsed="false">
      <c r="A351" s="1"/>
      <c r="B351" s="1"/>
      <c r="C351" s="1"/>
      <c r="D351" s="1"/>
    </row>
    <row r="352" customFormat="false" ht="15.75" hidden="false" customHeight="true" outlineLevel="0" collapsed="false">
      <c r="A352" s="1"/>
      <c r="B352" s="1"/>
      <c r="C352" s="1"/>
      <c r="D352" s="1"/>
    </row>
    <row r="353" customFormat="false" ht="15.75" hidden="false" customHeight="true" outlineLevel="0" collapsed="false">
      <c r="A353" s="1"/>
      <c r="B353" s="1"/>
      <c r="C353" s="1"/>
      <c r="D353" s="1"/>
    </row>
    <row r="354" customFormat="false" ht="15.75" hidden="false" customHeight="true" outlineLevel="0" collapsed="false">
      <c r="A354" s="1"/>
      <c r="B354" s="1"/>
      <c r="C354" s="1"/>
      <c r="D354" s="1"/>
    </row>
    <row r="355" customFormat="false" ht="15.75" hidden="false" customHeight="true" outlineLevel="0" collapsed="false">
      <c r="A355" s="1"/>
      <c r="B355" s="1"/>
      <c r="C355" s="1"/>
      <c r="D355" s="1"/>
    </row>
    <row r="356" customFormat="false" ht="15.75" hidden="false" customHeight="true" outlineLevel="0" collapsed="false">
      <c r="A356" s="1"/>
      <c r="B356" s="1"/>
      <c r="C356" s="1"/>
      <c r="D356" s="1"/>
    </row>
    <row r="357" customFormat="false" ht="15.75" hidden="false" customHeight="true" outlineLevel="0" collapsed="false">
      <c r="A357" s="1"/>
      <c r="B357" s="1"/>
      <c r="C357" s="1"/>
      <c r="D357" s="1"/>
    </row>
    <row r="358" customFormat="false" ht="15.75" hidden="false" customHeight="true" outlineLevel="0" collapsed="false">
      <c r="A358" s="1"/>
      <c r="B358" s="1"/>
      <c r="C358" s="1"/>
      <c r="D358" s="1"/>
    </row>
    <row r="359" customFormat="false" ht="15.75" hidden="false" customHeight="true" outlineLevel="0" collapsed="false">
      <c r="A359" s="1"/>
      <c r="B359" s="1"/>
      <c r="C359" s="1"/>
      <c r="D359" s="1"/>
    </row>
    <row r="360" customFormat="false" ht="15.75" hidden="false" customHeight="true" outlineLevel="0" collapsed="false">
      <c r="A360" s="1"/>
      <c r="B360" s="1"/>
      <c r="C360" s="1"/>
      <c r="D360" s="1"/>
    </row>
    <row r="361" customFormat="false" ht="15.75" hidden="false" customHeight="true" outlineLevel="0" collapsed="false">
      <c r="A361" s="1"/>
      <c r="B361" s="1"/>
      <c r="C361" s="1"/>
      <c r="D361" s="1"/>
    </row>
    <row r="362" customFormat="false" ht="15.75" hidden="false" customHeight="true" outlineLevel="0" collapsed="false">
      <c r="A362" s="1"/>
      <c r="B362" s="1"/>
      <c r="C362" s="1"/>
      <c r="D362" s="1"/>
    </row>
    <row r="363" customFormat="false" ht="15.75" hidden="false" customHeight="true" outlineLevel="0" collapsed="false">
      <c r="A363" s="1"/>
      <c r="B363" s="1"/>
      <c r="C363" s="1"/>
      <c r="D363" s="1"/>
    </row>
    <row r="364" customFormat="false" ht="15.75" hidden="false" customHeight="true" outlineLevel="0" collapsed="false">
      <c r="A364" s="1"/>
      <c r="B364" s="1"/>
      <c r="C364" s="1"/>
      <c r="D364" s="1"/>
    </row>
    <row r="365" customFormat="false" ht="15.75" hidden="false" customHeight="true" outlineLevel="0" collapsed="false">
      <c r="A365" s="1"/>
      <c r="B365" s="1"/>
      <c r="C365" s="1"/>
      <c r="D365" s="1"/>
    </row>
    <row r="366" customFormat="false" ht="15.75" hidden="false" customHeight="true" outlineLevel="0" collapsed="false">
      <c r="A366" s="1"/>
      <c r="B366" s="1"/>
      <c r="C366" s="1"/>
      <c r="D366" s="1"/>
    </row>
    <row r="367" customFormat="false" ht="15.75" hidden="false" customHeight="true" outlineLevel="0" collapsed="false">
      <c r="A367" s="1"/>
      <c r="B367" s="1"/>
      <c r="C367" s="1"/>
      <c r="D367" s="1"/>
    </row>
    <row r="368" customFormat="false" ht="15.75" hidden="false" customHeight="true" outlineLevel="0" collapsed="false">
      <c r="A368" s="1"/>
      <c r="B368" s="1"/>
      <c r="C368" s="1"/>
      <c r="D368" s="1"/>
    </row>
    <row r="369" customFormat="false" ht="15.75" hidden="false" customHeight="true" outlineLevel="0" collapsed="false">
      <c r="A369" s="1"/>
      <c r="B369" s="1"/>
      <c r="C369" s="1"/>
      <c r="D369" s="1"/>
    </row>
    <row r="370" customFormat="false" ht="15.75" hidden="false" customHeight="true" outlineLevel="0" collapsed="false">
      <c r="A370" s="1"/>
      <c r="B370" s="1"/>
      <c r="C370" s="1"/>
      <c r="D370" s="1"/>
    </row>
    <row r="371" customFormat="false" ht="15.75" hidden="false" customHeight="true" outlineLevel="0" collapsed="false">
      <c r="A371" s="1"/>
      <c r="B371" s="1"/>
      <c r="C371" s="1"/>
      <c r="D371" s="1"/>
    </row>
    <row r="372" customFormat="false" ht="15.75" hidden="false" customHeight="true" outlineLevel="0" collapsed="false">
      <c r="A372" s="1"/>
      <c r="B372" s="1"/>
      <c r="C372" s="1"/>
      <c r="D372" s="1"/>
    </row>
    <row r="373" customFormat="false" ht="15.75" hidden="false" customHeight="true" outlineLevel="0" collapsed="false">
      <c r="A373" s="1"/>
      <c r="B373" s="1"/>
      <c r="C373" s="1"/>
      <c r="D373" s="1"/>
    </row>
    <row r="374" customFormat="false" ht="15.75" hidden="false" customHeight="true" outlineLevel="0" collapsed="false">
      <c r="A374" s="1"/>
      <c r="B374" s="1"/>
      <c r="C374" s="1"/>
      <c r="D374" s="1"/>
    </row>
    <row r="375" customFormat="false" ht="15.75" hidden="false" customHeight="true" outlineLevel="0" collapsed="false">
      <c r="A375" s="1"/>
      <c r="B375" s="1"/>
      <c r="C375" s="1"/>
      <c r="D375" s="1"/>
    </row>
    <row r="376" customFormat="false" ht="15.75" hidden="false" customHeight="true" outlineLevel="0" collapsed="false">
      <c r="A376" s="1"/>
      <c r="B376" s="1"/>
      <c r="C376" s="1"/>
      <c r="D376" s="1"/>
    </row>
    <row r="377" customFormat="false" ht="15.75" hidden="false" customHeight="true" outlineLevel="0" collapsed="false">
      <c r="A377" s="1"/>
      <c r="B377" s="1"/>
      <c r="C377" s="1"/>
      <c r="D377" s="1"/>
    </row>
    <row r="378" customFormat="false" ht="15.75" hidden="false" customHeight="true" outlineLevel="0" collapsed="false">
      <c r="A378" s="1"/>
      <c r="B378" s="1"/>
      <c r="C378" s="1"/>
      <c r="D378" s="1"/>
    </row>
    <row r="379" customFormat="false" ht="15.75" hidden="false" customHeight="true" outlineLevel="0" collapsed="false">
      <c r="A379" s="1"/>
      <c r="B379" s="1"/>
      <c r="C379" s="1"/>
      <c r="D379" s="1"/>
    </row>
    <row r="380" customFormat="false" ht="15.75" hidden="false" customHeight="true" outlineLevel="0" collapsed="false">
      <c r="A380" s="1"/>
      <c r="B380" s="1"/>
      <c r="C380" s="1"/>
      <c r="D380" s="1"/>
    </row>
    <row r="381" customFormat="false" ht="15.75" hidden="false" customHeight="true" outlineLevel="0" collapsed="false">
      <c r="A381" s="1"/>
      <c r="B381" s="1"/>
      <c r="C381" s="1"/>
      <c r="D381" s="1"/>
    </row>
    <row r="382" customFormat="false" ht="15.75" hidden="false" customHeight="true" outlineLevel="0" collapsed="false">
      <c r="A382" s="1"/>
      <c r="B382" s="1"/>
      <c r="C382" s="1"/>
      <c r="D382" s="1"/>
    </row>
    <row r="383" customFormat="false" ht="15.75" hidden="false" customHeight="true" outlineLevel="0" collapsed="false">
      <c r="A383" s="1"/>
      <c r="B383" s="1"/>
      <c r="C383" s="1"/>
      <c r="D383" s="1"/>
    </row>
    <row r="384" customFormat="false" ht="15.75" hidden="false" customHeight="true" outlineLevel="0" collapsed="false">
      <c r="A384" s="1"/>
      <c r="B384" s="1"/>
      <c r="C384" s="1"/>
      <c r="D384" s="1"/>
    </row>
    <row r="385" customFormat="false" ht="15.75" hidden="false" customHeight="true" outlineLevel="0" collapsed="false">
      <c r="A385" s="1"/>
      <c r="B385" s="1"/>
      <c r="C385" s="1"/>
      <c r="D385" s="1"/>
    </row>
    <row r="386" customFormat="false" ht="15.75" hidden="false" customHeight="true" outlineLevel="0" collapsed="false">
      <c r="A386" s="1"/>
      <c r="B386" s="1"/>
      <c r="C386" s="1"/>
      <c r="D386" s="1"/>
    </row>
    <row r="387" customFormat="false" ht="15.75" hidden="false" customHeight="true" outlineLevel="0" collapsed="false">
      <c r="A387" s="1"/>
      <c r="B387" s="1"/>
      <c r="C387" s="1"/>
      <c r="D387" s="1"/>
    </row>
    <row r="388" customFormat="false" ht="15.75" hidden="false" customHeight="true" outlineLevel="0" collapsed="false">
      <c r="A388" s="1"/>
      <c r="B388" s="1"/>
      <c r="C388" s="1"/>
      <c r="D388" s="1"/>
    </row>
    <row r="389" customFormat="false" ht="15.75" hidden="false" customHeight="true" outlineLevel="0" collapsed="false">
      <c r="A389" s="1"/>
      <c r="B389" s="1"/>
      <c r="C389" s="1"/>
      <c r="D389" s="1"/>
    </row>
    <row r="390" customFormat="false" ht="15.75" hidden="false" customHeight="true" outlineLevel="0" collapsed="false">
      <c r="A390" s="1"/>
      <c r="B390" s="1"/>
      <c r="C390" s="1"/>
      <c r="D390" s="1"/>
    </row>
    <row r="391" customFormat="false" ht="15.75" hidden="false" customHeight="true" outlineLevel="0" collapsed="false">
      <c r="A391" s="1"/>
      <c r="B391" s="1"/>
      <c r="C391" s="1"/>
      <c r="D391" s="1"/>
    </row>
    <row r="392" customFormat="false" ht="15.75" hidden="false" customHeight="true" outlineLevel="0" collapsed="false">
      <c r="A392" s="1"/>
      <c r="B392" s="1"/>
      <c r="C392" s="1"/>
      <c r="D392" s="1"/>
    </row>
    <row r="393" customFormat="false" ht="15.75" hidden="false" customHeight="true" outlineLevel="0" collapsed="false">
      <c r="A393" s="1"/>
      <c r="B393" s="1"/>
      <c r="C393" s="1"/>
      <c r="D393" s="1"/>
    </row>
    <row r="394" customFormat="false" ht="15.75" hidden="false" customHeight="true" outlineLevel="0" collapsed="false">
      <c r="A394" s="1"/>
      <c r="B394" s="1"/>
      <c r="C394" s="1"/>
      <c r="D394" s="1"/>
    </row>
    <row r="395" customFormat="false" ht="15.75" hidden="false" customHeight="true" outlineLevel="0" collapsed="false">
      <c r="A395" s="1"/>
      <c r="B395" s="1"/>
      <c r="C395" s="1"/>
      <c r="D395" s="1"/>
    </row>
    <row r="396" customFormat="false" ht="15.75" hidden="false" customHeight="true" outlineLevel="0" collapsed="false">
      <c r="A396" s="1"/>
      <c r="B396" s="1"/>
      <c r="C396" s="1"/>
      <c r="D396" s="1"/>
    </row>
    <row r="397" customFormat="false" ht="15.75" hidden="false" customHeight="true" outlineLevel="0" collapsed="false">
      <c r="A397" s="1"/>
      <c r="B397" s="1"/>
      <c r="C397" s="1"/>
      <c r="D397" s="1"/>
    </row>
    <row r="398" customFormat="false" ht="15.75" hidden="false" customHeight="true" outlineLevel="0" collapsed="false">
      <c r="A398" s="1"/>
      <c r="B398" s="1"/>
      <c r="C398" s="1"/>
      <c r="D398" s="1"/>
    </row>
    <row r="399" customFormat="false" ht="15.75" hidden="false" customHeight="true" outlineLevel="0" collapsed="false">
      <c r="A399" s="1"/>
      <c r="B399" s="1"/>
      <c r="C399" s="1"/>
      <c r="D399" s="1"/>
    </row>
    <row r="400" customFormat="false" ht="15.75" hidden="false" customHeight="true" outlineLevel="0" collapsed="false">
      <c r="A400" s="1"/>
      <c r="B400" s="1"/>
      <c r="C400" s="1"/>
      <c r="D400" s="1"/>
    </row>
    <row r="401" customFormat="false" ht="15.75" hidden="false" customHeight="true" outlineLevel="0" collapsed="false">
      <c r="A401" s="1"/>
      <c r="B401" s="1"/>
      <c r="C401" s="1"/>
      <c r="D401" s="1"/>
    </row>
    <row r="402" customFormat="false" ht="15.75" hidden="false" customHeight="true" outlineLevel="0" collapsed="false">
      <c r="A402" s="1"/>
      <c r="B402" s="1"/>
      <c r="C402" s="1"/>
      <c r="D402" s="1"/>
    </row>
    <row r="403" customFormat="false" ht="15.75" hidden="false" customHeight="true" outlineLevel="0" collapsed="false">
      <c r="A403" s="1"/>
      <c r="B403" s="1"/>
      <c r="C403" s="1"/>
      <c r="D403" s="1"/>
    </row>
    <row r="404" customFormat="false" ht="15.75" hidden="false" customHeight="true" outlineLevel="0" collapsed="false">
      <c r="A404" s="1"/>
      <c r="B404" s="1"/>
      <c r="C404" s="1"/>
      <c r="D404" s="1"/>
    </row>
    <row r="405" customFormat="false" ht="15.75" hidden="false" customHeight="true" outlineLevel="0" collapsed="false">
      <c r="A405" s="1"/>
      <c r="B405" s="1"/>
      <c r="C405" s="1"/>
      <c r="D405" s="1"/>
    </row>
    <row r="406" customFormat="false" ht="15.75" hidden="false" customHeight="true" outlineLevel="0" collapsed="false">
      <c r="A406" s="1"/>
      <c r="B406" s="1"/>
      <c r="C406" s="1"/>
      <c r="D406" s="1"/>
    </row>
    <row r="407" customFormat="false" ht="15.75" hidden="false" customHeight="true" outlineLevel="0" collapsed="false">
      <c r="A407" s="1"/>
      <c r="B407" s="1"/>
      <c r="C407" s="1"/>
      <c r="D407" s="1"/>
    </row>
    <row r="408" customFormat="false" ht="15.75" hidden="false" customHeight="true" outlineLevel="0" collapsed="false">
      <c r="A408" s="1"/>
      <c r="B408" s="1"/>
      <c r="C408" s="1"/>
      <c r="D408" s="1"/>
    </row>
    <row r="409" customFormat="false" ht="15.75" hidden="false" customHeight="true" outlineLevel="0" collapsed="false">
      <c r="A409" s="1"/>
      <c r="B409" s="1"/>
      <c r="C409" s="1"/>
      <c r="D409" s="1"/>
    </row>
    <row r="410" customFormat="false" ht="15.75" hidden="false" customHeight="true" outlineLevel="0" collapsed="false">
      <c r="A410" s="1"/>
      <c r="B410" s="1"/>
      <c r="C410" s="1"/>
      <c r="D410" s="1"/>
    </row>
    <row r="411" customFormat="false" ht="15.75" hidden="false" customHeight="true" outlineLevel="0" collapsed="false">
      <c r="A411" s="1"/>
      <c r="B411" s="1"/>
      <c r="C411" s="1"/>
      <c r="D411" s="1"/>
    </row>
    <row r="412" customFormat="false" ht="15.75" hidden="false" customHeight="true" outlineLevel="0" collapsed="false">
      <c r="A412" s="1"/>
      <c r="B412" s="1"/>
      <c r="C412" s="1"/>
      <c r="D412" s="1"/>
    </row>
    <row r="413" customFormat="false" ht="15.75" hidden="false" customHeight="true" outlineLevel="0" collapsed="false">
      <c r="A413" s="1"/>
      <c r="B413" s="1"/>
      <c r="C413" s="1"/>
      <c r="D413" s="1"/>
    </row>
    <row r="414" customFormat="false" ht="15.75" hidden="false" customHeight="true" outlineLevel="0" collapsed="false">
      <c r="A414" s="1"/>
      <c r="B414" s="1"/>
      <c r="C414" s="1"/>
      <c r="D414" s="1"/>
    </row>
    <row r="415" customFormat="false" ht="15.75" hidden="false" customHeight="true" outlineLevel="0" collapsed="false">
      <c r="A415" s="1"/>
      <c r="B415" s="1"/>
      <c r="C415" s="1"/>
      <c r="D415" s="1"/>
    </row>
    <row r="416" customFormat="false" ht="15.75" hidden="false" customHeight="true" outlineLevel="0" collapsed="false">
      <c r="A416" s="1"/>
      <c r="B416" s="1"/>
      <c r="C416" s="1"/>
      <c r="D416" s="1"/>
    </row>
    <row r="417" customFormat="false" ht="15.75" hidden="false" customHeight="true" outlineLevel="0" collapsed="false">
      <c r="A417" s="1"/>
      <c r="B417" s="1"/>
      <c r="C417" s="1"/>
      <c r="D417" s="1"/>
    </row>
    <row r="418" customFormat="false" ht="15.75" hidden="false" customHeight="true" outlineLevel="0" collapsed="false">
      <c r="A418" s="1"/>
      <c r="B418" s="1"/>
      <c r="C418" s="1"/>
      <c r="D418" s="1"/>
    </row>
    <row r="419" customFormat="false" ht="15.75" hidden="false" customHeight="true" outlineLevel="0" collapsed="false">
      <c r="A419" s="1"/>
      <c r="B419" s="1"/>
      <c r="C419" s="1"/>
      <c r="D419" s="1"/>
    </row>
    <row r="420" customFormat="false" ht="15.75" hidden="false" customHeight="true" outlineLevel="0" collapsed="false">
      <c r="A420" s="1"/>
      <c r="B420" s="1"/>
      <c r="C420" s="1"/>
      <c r="D420" s="1"/>
    </row>
    <row r="421" customFormat="false" ht="15.75" hidden="false" customHeight="true" outlineLevel="0" collapsed="false">
      <c r="A421" s="1"/>
      <c r="B421" s="1"/>
      <c r="C421" s="1"/>
      <c r="D421" s="1"/>
    </row>
    <row r="422" customFormat="false" ht="15.75" hidden="false" customHeight="true" outlineLevel="0" collapsed="false">
      <c r="A422" s="1"/>
      <c r="B422" s="1"/>
      <c r="C422" s="1"/>
      <c r="D422" s="1"/>
    </row>
    <row r="423" customFormat="false" ht="15.75" hidden="false" customHeight="true" outlineLevel="0" collapsed="false">
      <c r="A423" s="1"/>
      <c r="B423" s="1"/>
      <c r="C423" s="1"/>
      <c r="D423" s="1"/>
    </row>
    <row r="424" customFormat="false" ht="15.75" hidden="false" customHeight="true" outlineLevel="0" collapsed="false">
      <c r="A424" s="1"/>
      <c r="B424" s="1"/>
      <c r="C424" s="1"/>
      <c r="D424" s="1"/>
    </row>
    <row r="425" customFormat="false" ht="15.75" hidden="false" customHeight="true" outlineLevel="0" collapsed="false">
      <c r="A425" s="1"/>
      <c r="B425" s="1"/>
      <c r="C425" s="1"/>
      <c r="D425" s="1"/>
    </row>
    <row r="426" customFormat="false" ht="15.75" hidden="false" customHeight="true" outlineLevel="0" collapsed="false">
      <c r="A426" s="1"/>
      <c r="B426" s="1"/>
      <c r="C426" s="1"/>
      <c r="D426" s="1"/>
    </row>
    <row r="427" customFormat="false" ht="15.75" hidden="false" customHeight="true" outlineLevel="0" collapsed="false">
      <c r="A427" s="1"/>
      <c r="B427" s="1"/>
      <c r="C427" s="1"/>
      <c r="D427" s="1"/>
    </row>
    <row r="428" customFormat="false" ht="15.75" hidden="false" customHeight="true" outlineLevel="0" collapsed="false">
      <c r="A428" s="1"/>
      <c r="B428" s="1"/>
      <c r="C428" s="1"/>
      <c r="D428" s="1"/>
    </row>
    <row r="429" customFormat="false" ht="15.75" hidden="false" customHeight="true" outlineLevel="0" collapsed="false">
      <c r="A429" s="1"/>
      <c r="B429" s="1"/>
      <c r="C429" s="1"/>
      <c r="D429" s="1"/>
    </row>
    <row r="430" customFormat="false" ht="15.75" hidden="false" customHeight="true" outlineLevel="0" collapsed="false">
      <c r="A430" s="1"/>
      <c r="B430" s="1"/>
      <c r="C430" s="1"/>
      <c r="D430" s="1"/>
    </row>
    <row r="431" customFormat="false" ht="15.75" hidden="false" customHeight="true" outlineLevel="0" collapsed="false">
      <c r="A431" s="1"/>
      <c r="B431" s="1"/>
      <c r="C431" s="1"/>
      <c r="D431" s="1"/>
    </row>
    <row r="432" customFormat="false" ht="15.75" hidden="false" customHeight="true" outlineLevel="0" collapsed="false">
      <c r="A432" s="1"/>
      <c r="B432" s="1"/>
      <c r="C432" s="1"/>
      <c r="D432" s="1"/>
    </row>
    <row r="433" customFormat="false" ht="15.75" hidden="false" customHeight="true" outlineLevel="0" collapsed="false">
      <c r="A433" s="1"/>
      <c r="B433" s="1"/>
      <c r="C433" s="1"/>
      <c r="D433" s="1"/>
    </row>
    <row r="434" customFormat="false" ht="15.75" hidden="false" customHeight="true" outlineLevel="0" collapsed="false">
      <c r="A434" s="1"/>
      <c r="B434" s="1"/>
      <c r="C434" s="1"/>
      <c r="D434" s="1"/>
    </row>
    <row r="435" customFormat="false" ht="15.75" hidden="false" customHeight="true" outlineLevel="0" collapsed="false">
      <c r="A435" s="1"/>
      <c r="B435" s="1"/>
      <c r="C435" s="1"/>
      <c r="D435" s="1"/>
    </row>
    <row r="436" customFormat="false" ht="15.75" hidden="false" customHeight="true" outlineLevel="0" collapsed="false">
      <c r="A436" s="1"/>
      <c r="B436" s="1"/>
      <c r="C436" s="1"/>
      <c r="D436" s="1"/>
    </row>
    <row r="437" customFormat="false" ht="15.75" hidden="false" customHeight="true" outlineLevel="0" collapsed="false">
      <c r="A437" s="1"/>
      <c r="B437" s="1"/>
      <c r="C437" s="1"/>
      <c r="D437" s="1"/>
    </row>
    <row r="438" customFormat="false" ht="15.75" hidden="false" customHeight="true" outlineLevel="0" collapsed="false">
      <c r="A438" s="1"/>
      <c r="B438" s="1"/>
      <c r="C438" s="1"/>
      <c r="D438" s="1"/>
    </row>
    <row r="439" customFormat="false" ht="15.75" hidden="false" customHeight="true" outlineLevel="0" collapsed="false">
      <c r="A439" s="1"/>
      <c r="B439" s="1"/>
      <c r="C439" s="1"/>
      <c r="D439" s="1"/>
    </row>
    <row r="440" customFormat="false" ht="15.75" hidden="false" customHeight="true" outlineLevel="0" collapsed="false">
      <c r="A440" s="1"/>
      <c r="B440" s="1"/>
      <c r="C440" s="1"/>
      <c r="D440" s="1"/>
    </row>
    <row r="441" customFormat="false" ht="15.75" hidden="false" customHeight="true" outlineLevel="0" collapsed="false">
      <c r="A441" s="1"/>
      <c r="B441" s="1"/>
      <c r="C441" s="1"/>
      <c r="D441" s="1"/>
    </row>
    <row r="442" customFormat="false" ht="15.75" hidden="false" customHeight="true" outlineLevel="0" collapsed="false">
      <c r="A442" s="1"/>
      <c r="B442" s="1"/>
      <c r="C442" s="1"/>
      <c r="D442" s="1"/>
    </row>
    <row r="443" customFormat="false" ht="15.75" hidden="false" customHeight="true" outlineLevel="0" collapsed="false">
      <c r="A443" s="1"/>
      <c r="B443" s="1"/>
      <c r="C443" s="1"/>
      <c r="D443" s="1"/>
    </row>
    <row r="444" customFormat="false" ht="15.75" hidden="false" customHeight="true" outlineLevel="0" collapsed="false">
      <c r="A444" s="1"/>
      <c r="B444" s="1"/>
      <c r="C444" s="1"/>
      <c r="D444" s="1"/>
    </row>
    <row r="445" customFormat="false" ht="15.75" hidden="false" customHeight="true" outlineLevel="0" collapsed="false">
      <c r="A445" s="1"/>
      <c r="B445" s="1"/>
      <c r="C445" s="1"/>
      <c r="D445" s="1"/>
    </row>
    <row r="446" customFormat="false" ht="15.75" hidden="false" customHeight="true" outlineLevel="0" collapsed="false">
      <c r="A446" s="1"/>
      <c r="B446" s="1"/>
      <c r="C446" s="1"/>
      <c r="D446" s="1"/>
    </row>
    <row r="447" customFormat="false" ht="15.75" hidden="false" customHeight="true" outlineLevel="0" collapsed="false">
      <c r="A447" s="1"/>
      <c r="B447" s="1"/>
      <c r="C447" s="1"/>
      <c r="D447" s="1"/>
    </row>
    <row r="448" customFormat="false" ht="15.75" hidden="false" customHeight="true" outlineLevel="0" collapsed="false">
      <c r="A448" s="1"/>
      <c r="B448" s="1"/>
      <c r="C448" s="1"/>
      <c r="D448" s="1"/>
    </row>
    <row r="449" customFormat="false" ht="15.75" hidden="false" customHeight="true" outlineLevel="0" collapsed="false">
      <c r="A449" s="1"/>
      <c r="B449" s="1"/>
      <c r="C449" s="1"/>
      <c r="D449" s="1"/>
    </row>
    <row r="450" customFormat="false" ht="15.75" hidden="false" customHeight="true" outlineLevel="0" collapsed="false">
      <c r="A450" s="1"/>
      <c r="B450" s="1"/>
      <c r="C450" s="1"/>
      <c r="D450" s="1"/>
    </row>
    <row r="451" customFormat="false" ht="15.75" hidden="false" customHeight="true" outlineLevel="0" collapsed="false">
      <c r="A451" s="1"/>
      <c r="B451" s="1"/>
      <c r="C451" s="1"/>
      <c r="D451" s="1"/>
    </row>
    <row r="452" customFormat="false" ht="15.75" hidden="false" customHeight="true" outlineLevel="0" collapsed="false">
      <c r="A452" s="1"/>
      <c r="B452" s="1"/>
      <c r="C452" s="1"/>
      <c r="D452" s="1"/>
    </row>
    <row r="453" customFormat="false" ht="15.75" hidden="false" customHeight="true" outlineLevel="0" collapsed="false">
      <c r="A453" s="1"/>
      <c r="B453" s="1"/>
      <c r="C453" s="1"/>
      <c r="D453" s="1"/>
    </row>
    <row r="454" customFormat="false" ht="15.75" hidden="false" customHeight="true" outlineLevel="0" collapsed="false">
      <c r="A454" s="1"/>
      <c r="B454" s="1"/>
      <c r="C454" s="1"/>
      <c r="D454" s="1"/>
    </row>
    <row r="455" customFormat="false" ht="15.75" hidden="false" customHeight="true" outlineLevel="0" collapsed="false">
      <c r="A455" s="1"/>
      <c r="B455" s="1"/>
      <c r="C455" s="1"/>
      <c r="D455" s="1"/>
    </row>
    <row r="456" customFormat="false" ht="15.75" hidden="false" customHeight="true" outlineLevel="0" collapsed="false">
      <c r="A456" s="1"/>
      <c r="B456" s="1"/>
      <c r="C456" s="1"/>
      <c r="D456" s="1"/>
    </row>
    <row r="457" customFormat="false" ht="15.75" hidden="false" customHeight="true" outlineLevel="0" collapsed="false">
      <c r="A457" s="1"/>
      <c r="B457" s="1"/>
      <c r="C457" s="1"/>
      <c r="D457" s="1"/>
    </row>
    <row r="458" customFormat="false" ht="15.75" hidden="false" customHeight="true" outlineLevel="0" collapsed="false">
      <c r="A458" s="1"/>
      <c r="B458" s="1"/>
      <c r="C458" s="1"/>
      <c r="D458" s="1"/>
    </row>
    <row r="459" customFormat="false" ht="15.75" hidden="false" customHeight="true" outlineLevel="0" collapsed="false">
      <c r="A459" s="1"/>
      <c r="B459" s="1"/>
      <c r="C459" s="1"/>
      <c r="D459" s="1"/>
    </row>
    <row r="460" customFormat="false" ht="15.75" hidden="false" customHeight="true" outlineLevel="0" collapsed="false">
      <c r="A460" s="1"/>
      <c r="B460" s="1"/>
      <c r="C460" s="1"/>
      <c r="D460" s="1"/>
    </row>
    <row r="461" customFormat="false" ht="15.75" hidden="false" customHeight="true" outlineLevel="0" collapsed="false">
      <c r="A461" s="1"/>
      <c r="B461" s="1"/>
      <c r="C461" s="1"/>
      <c r="D461" s="1"/>
    </row>
    <row r="462" customFormat="false" ht="15.75" hidden="false" customHeight="true" outlineLevel="0" collapsed="false">
      <c r="A462" s="1"/>
      <c r="B462" s="1"/>
      <c r="C462" s="1"/>
      <c r="D462" s="1"/>
    </row>
    <row r="463" customFormat="false" ht="15.75" hidden="false" customHeight="true" outlineLevel="0" collapsed="false">
      <c r="A463" s="1"/>
      <c r="B463" s="1"/>
      <c r="C463" s="1"/>
      <c r="D463" s="1"/>
    </row>
    <row r="464" customFormat="false" ht="15.75" hidden="false" customHeight="true" outlineLevel="0" collapsed="false">
      <c r="A464" s="1"/>
      <c r="B464" s="1"/>
      <c r="C464" s="1"/>
      <c r="D464" s="1"/>
    </row>
    <row r="465" customFormat="false" ht="15.75" hidden="false" customHeight="true" outlineLevel="0" collapsed="false">
      <c r="A465" s="1"/>
      <c r="B465" s="1"/>
      <c r="C465" s="1"/>
      <c r="D465" s="1"/>
    </row>
    <row r="466" customFormat="false" ht="15.75" hidden="false" customHeight="true" outlineLevel="0" collapsed="false">
      <c r="A466" s="1"/>
      <c r="B466" s="1"/>
      <c r="C466" s="1"/>
      <c r="D466" s="1"/>
    </row>
    <row r="467" customFormat="false" ht="15.75" hidden="false" customHeight="true" outlineLevel="0" collapsed="false">
      <c r="A467" s="1"/>
      <c r="B467" s="1"/>
      <c r="C467" s="1"/>
      <c r="D467" s="1"/>
    </row>
    <row r="468" customFormat="false" ht="15.75" hidden="false" customHeight="true" outlineLevel="0" collapsed="false">
      <c r="A468" s="1"/>
      <c r="B468" s="1"/>
      <c r="C468" s="1"/>
      <c r="D468" s="1"/>
    </row>
    <row r="469" customFormat="false" ht="15.75" hidden="false" customHeight="true" outlineLevel="0" collapsed="false">
      <c r="A469" s="1"/>
      <c r="B469" s="1"/>
      <c r="C469" s="1"/>
      <c r="D469" s="1"/>
    </row>
    <row r="470" customFormat="false" ht="15.75" hidden="false" customHeight="true" outlineLevel="0" collapsed="false">
      <c r="A470" s="1"/>
      <c r="B470" s="1"/>
      <c r="C470" s="1"/>
      <c r="D470" s="1"/>
    </row>
    <row r="471" customFormat="false" ht="15.75" hidden="false" customHeight="true" outlineLevel="0" collapsed="false">
      <c r="A471" s="1"/>
      <c r="B471" s="1"/>
      <c r="C471" s="1"/>
      <c r="D471" s="1"/>
    </row>
    <row r="472" customFormat="false" ht="15.75" hidden="false" customHeight="true" outlineLevel="0" collapsed="false">
      <c r="A472" s="1"/>
      <c r="B472" s="1"/>
      <c r="C472" s="1"/>
      <c r="D472" s="1"/>
    </row>
    <row r="473" customFormat="false" ht="15.75" hidden="false" customHeight="true" outlineLevel="0" collapsed="false">
      <c r="A473" s="1"/>
      <c r="B473" s="1"/>
      <c r="C473" s="1"/>
      <c r="D473" s="1"/>
    </row>
    <row r="474" customFormat="false" ht="15.75" hidden="false" customHeight="true" outlineLevel="0" collapsed="false">
      <c r="A474" s="1"/>
      <c r="B474" s="1"/>
      <c r="C474" s="1"/>
      <c r="D474" s="1"/>
    </row>
    <row r="475" customFormat="false" ht="15.75" hidden="false" customHeight="true" outlineLevel="0" collapsed="false">
      <c r="A475" s="1"/>
      <c r="B475" s="1"/>
      <c r="C475" s="1"/>
      <c r="D475" s="1"/>
    </row>
    <row r="476" customFormat="false" ht="15.75" hidden="false" customHeight="true" outlineLevel="0" collapsed="false">
      <c r="A476" s="1"/>
      <c r="B476" s="1"/>
      <c r="C476" s="1"/>
      <c r="D476" s="1"/>
    </row>
    <row r="477" customFormat="false" ht="15.75" hidden="false" customHeight="true" outlineLevel="0" collapsed="false">
      <c r="A477" s="1"/>
      <c r="B477" s="1"/>
      <c r="C477" s="1"/>
      <c r="D477" s="1"/>
    </row>
    <row r="478" customFormat="false" ht="15.75" hidden="false" customHeight="true" outlineLevel="0" collapsed="false">
      <c r="A478" s="1"/>
      <c r="B478" s="1"/>
      <c r="C478" s="1"/>
      <c r="D478" s="1"/>
    </row>
    <row r="479" customFormat="false" ht="15.75" hidden="false" customHeight="true" outlineLevel="0" collapsed="false">
      <c r="A479" s="1"/>
      <c r="B479" s="1"/>
      <c r="C479" s="1"/>
      <c r="D479" s="1"/>
    </row>
    <row r="480" customFormat="false" ht="15.75" hidden="false" customHeight="true" outlineLevel="0" collapsed="false">
      <c r="A480" s="1"/>
      <c r="B480" s="1"/>
      <c r="C480" s="1"/>
      <c r="D480" s="1"/>
    </row>
    <row r="481" customFormat="false" ht="15.75" hidden="false" customHeight="true" outlineLevel="0" collapsed="false">
      <c r="A481" s="1"/>
      <c r="B481" s="1"/>
      <c r="C481" s="1"/>
      <c r="D481" s="1"/>
    </row>
    <row r="482" customFormat="false" ht="15.75" hidden="false" customHeight="true" outlineLevel="0" collapsed="false">
      <c r="A482" s="1"/>
      <c r="B482" s="1"/>
      <c r="C482" s="1"/>
      <c r="D482" s="1"/>
    </row>
    <row r="483" customFormat="false" ht="15.75" hidden="false" customHeight="true" outlineLevel="0" collapsed="false">
      <c r="A483" s="1"/>
      <c r="B483" s="1"/>
      <c r="C483" s="1"/>
      <c r="D483" s="1"/>
    </row>
    <row r="484" customFormat="false" ht="15.75" hidden="false" customHeight="true" outlineLevel="0" collapsed="false">
      <c r="A484" s="1"/>
      <c r="B484" s="1"/>
      <c r="C484" s="1"/>
      <c r="D484" s="1"/>
    </row>
    <row r="485" customFormat="false" ht="15.75" hidden="false" customHeight="true" outlineLevel="0" collapsed="false">
      <c r="A485" s="1"/>
      <c r="B485" s="1"/>
      <c r="C485" s="1"/>
      <c r="D485" s="1"/>
    </row>
    <row r="486" customFormat="false" ht="15.75" hidden="false" customHeight="true" outlineLevel="0" collapsed="false">
      <c r="A486" s="1"/>
      <c r="B486" s="1"/>
      <c r="C486" s="1"/>
      <c r="D486" s="1"/>
    </row>
    <row r="487" customFormat="false" ht="15.75" hidden="false" customHeight="true" outlineLevel="0" collapsed="false">
      <c r="A487" s="1"/>
      <c r="B487" s="1"/>
      <c r="C487" s="1"/>
      <c r="D487" s="1"/>
    </row>
    <row r="488" customFormat="false" ht="15.75" hidden="false" customHeight="true" outlineLevel="0" collapsed="false">
      <c r="A488" s="1"/>
      <c r="B488" s="1"/>
      <c r="C488" s="1"/>
      <c r="D488" s="1"/>
    </row>
    <row r="489" customFormat="false" ht="15.75" hidden="false" customHeight="true" outlineLevel="0" collapsed="false">
      <c r="A489" s="1"/>
      <c r="B489" s="1"/>
      <c r="C489" s="1"/>
      <c r="D489" s="1"/>
    </row>
    <row r="490" customFormat="false" ht="15.75" hidden="false" customHeight="true" outlineLevel="0" collapsed="false">
      <c r="A490" s="1"/>
      <c r="B490" s="1"/>
      <c r="C490" s="1"/>
      <c r="D490" s="1"/>
    </row>
    <row r="491" customFormat="false" ht="15.75" hidden="false" customHeight="true" outlineLevel="0" collapsed="false">
      <c r="A491" s="1"/>
      <c r="B491" s="1"/>
      <c r="C491" s="1"/>
      <c r="D491" s="1"/>
    </row>
    <row r="492" customFormat="false" ht="15.75" hidden="false" customHeight="true" outlineLevel="0" collapsed="false">
      <c r="A492" s="1"/>
      <c r="B492" s="1"/>
      <c r="C492" s="1"/>
      <c r="D492" s="1"/>
    </row>
    <row r="493" customFormat="false" ht="15.75" hidden="false" customHeight="true" outlineLevel="0" collapsed="false">
      <c r="A493" s="1"/>
      <c r="B493" s="1"/>
      <c r="C493" s="1"/>
      <c r="D493" s="1"/>
    </row>
    <row r="494" customFormat="false" ht="15.75" hidden="false" customHeight="true" outlineLevel="0" collapsed="false">
      <c r="A494" s="1"/>
      <c r="B494" s="1"/>
      <c r="C494" s="1"/>
      <c r="D494" s="1"/>
    </row>
    <row r="495" customFormat="false" ht="15.75" hidden="false" customHeight="true" outlineLevel="0" collapsed="false">
      <c r="A495" s="1"/>
      <c r="B495" s="1"/>
      <c r="C495" s="1"/>
      <c r="D495" s="1"/>
    </row>
    <row r="496" customFormat="false" ht="15.75" hidden="false" customHeight="true" outlineLevel="0" collapsed="false">
      <c r="A496" s="1"/>
      <c r="B496" s="1"/>
      <c r="C496" s="1"/>
      <c r="D496" s="1"/>
    </row>
    <row r="497" customFormat="false" ht="15.75" hidden="false" customHeight="true" outlineLevel="0" collapsed="false">
      <c r="A497" s="1"/>
      <c r="B497" s="1"/>
      <c r="C497" s="1"/>
      <c r="D497" s="1"/>
    </row>
    <row r="498" customFormat="false" ht="15.75" hidden="false" customHeight="true" outlineLevel="0" collapsed="false">
      <c r="A498" s="1"/>
      <c r="B498" s="1"/>
      <c r="C498" s="1"/>
      <c r="D498" s="1"/>
    </row>
    <row r="499" customFormat="false" ht="15.75" hidden="false" customHeight="true" outlineLevel="0" collapsed="false">
      <c r="A499" s="1"/>
      <c r="B499" s="1"/>
      <c r="C499" s="1"/>
      <c r="D499" s="1"/>
    </row>
    <row r="500" customFormat="false" ht="15.75" hidden="false" customHeight="true" outlineLevel="0" collapsed="false">
      <c r="A500" s="1"/>
      <c r="B500" s="1"/>
      <c r="C500" s="1"/>
      <c r="D500" s="1"/>
    </row>
    <row r="501" customFormat="false" ht="15.75" hidden="false" customHeight="true" outlineLevel="0" collapsed="false">
      <c r="A501" s="1"/>
      <c r="B501" s="1"/>
      <c r="C501" s="1"/>
      <c r="D501" s="1"/>
    </row>
    <row r="502" customFormat="false" ht="15.75" hidden="false" customHeight="true" outlineLevel="0" collapsed="false">
      <c r="A502" s="1"/>
      <c r="B502" s="1"/>
      <c r="C502" s="1"/>
      <c r="D502" s="1"/>
    </row>
    <row r="503" customFormat="false" ht="15.75" hidden="false" customHeight="true" outlineLevel="0" collapsed="false">
      <c r="A503" s="1"/>
      <c r="B503" s="1"/>
      <c r="C503" s="1"/>
      <c r="D503" s="1"/>
    </row>
    <row r="504" customFormat="false" ht="15.75" hidden="false" customHeight="true" outlineLevel="0" collapsed="false">
      <c r="A504" s="1"/>
      <c r="B504" s="1"/>
      <c r="C504" s="1"/>
      <c r="D504" s="1"/>
    </row>
    <row r="505" customFormat="false" ht="15.75" hidden="false" customHeight="true" outlineLevel="0" collapsed="false">
      <c r="A505" s="1"/>
      <c r="B505" s="1"/>
      <c r="C505" s="1"/>
      <c r="D505" s="1"/>
    </row>
    <row r="506" customFormat="false" ht="15.75" hidden="false" customHeight="true" outlineLevel="0" collapsed="false">
      <c r="A506" s="1"/>
      <c r="B506" s="1"/>
      <c r="C506" s="1"/>
      <c r="D506" s="1"/>
    </row>
    <row r="507" customFormat="false" ht="15.75" hidden="false" customHeight="true" outlineLevel="0" collapsed="false">
      <c r="A507" s="1"/>
      <c r="B507" s="1"/>
      <c r="C507" s="1"/>
      <c r="D507" s="1"/>
    </row>
    <row r="508" customFormat="false" ht="15.75" hidden="false" customHeight="true" outlineLevel="0" collapsed="false">
      <c r="A508" s="1"/>
      <c r="B508" s="1"/>
      <c r="C508" s="1"/>
      <c r="D508" s="1"/>
    </row>
    <row r="509" customFormat="false" ht="15.75" hidden="false" customHeight="true" outlineLevel="0" collapsed="false">
      <c r="A509" s="1"/>
      <c r="B509" s="1"/>
      <c r="C509" s="1"/>
      <c r="D509" s="1"/>
    </row>
    <row r="510" customFormat="false" ht="15.75" hidden="false" customHeight="true" outlineLevel="0" collapsed="false">
      <c r="A510" s="1"/>
      <c r="B510" s="1"/>
      <c r="C510" s="1"/>
      <c r="D510" s="1"/>
    </row>
    <row r="511" customFormat="false" ht="15.75" hidden="false" customHeight="true" outlineLevel="0" collapsed="false">
      <c r="A511" s="1"/>
      <c r="B511" s="1"/>
      <c r="C511" s="1"/>
      <c r="D511" s="1"/>
    </row>
    <row r="512" customFormat="false" ht="15.75" hidden="false" customHeight="true" outlineLevel="0" collapsed="false">
      <c r="A512" s="1"/>
      <c r="B512" s="1"/>
      <c r="C512" s="1"/>
      <c r="D512" s="1"/>
    </row>
    <row r="513" customFormat="false" ht="15.75" hidden="false" customHeight="true" outlineLevel="0" collapsed="false">
      <c r="A513" s="1"/>
      <c r="B513" s="1"/>
      <c r="C513" s="1"/>
      <c r="D513" s="1"/>
    </row>
    <row r="514" customFormat="false" ht="15.75" hidden="false" customHeight="true" outlineLevel="0" collapsed="false">
      <c r="A514" s="1"/>
      <c r="B514" s="1"/>
      <c r="C514" s="1"/>
      <c r="D514" s="1"/>
    </row>
    <row r="515" customFormat="false" ht="15.75" hidden="false" customHeight="true" outlineLevel="0" collapsed="false">
      <c r="A515" s="1"/>
      <c r="B515" s="1"/>
      <c r="C515" s="1"/>
      <c r="D515" s="1"/>
    </row>
    <row r="516" customFormat="false" ht="15.75" hidden="false" customHeight="true" outlineLevel="0" collapsed="false">
      <c r="A516" s="1"/>
      <c r="B516" s="1"/>
      <c r="C516" s="1"/>
      <c r="D516" s="1"/>
    </row>
    <row r="517" customFormat="false" ht="15.75" hidden="false" customHeight="true" outlineLevel="0" collapsed="false">
      <c r="A517" s="1"/>
      <c r="B517" s="1"/>
      <c r="C517" s="1"/>
      <c r="D517" s="1"/>
    </row>
    <row r="518" customFormat="false" ht="15.75" hidden="false" customHeight="true" outlineLevel="0" collapsed="false">
      <c r="A518" s="1"/>
      <c r="B518" s="1"/>
      <c r="C518" s="1"/>
      <c r="D518" s="1"/>
    </row>
    <row r="519" customFormat="false" ht="15.75" hidden="false" customHeight="true" outlineLevel="0" collapsed="false">
      <c r="A519" s="1"/>
      <c r="B519" s="1"/>
      <c r="C519" s="1"/>
      <c r="D519" s="1"/>
    </row>
    <row r="520" customFormat="false" ht="15.75" hidden="false" customHeight="true" outlineLevel="0" collapsed="false">
      <c r="A520" s="1"/>
      <c r="B520" s="1"/>
      <c r="C520" s="1"/>
      <c r="D520" s="1"/>
    </row>
    <row r="521" customFormat="false" ht="15.75" hidden="false" customHeight="true" outlineLevel="0" collapsed="false">
      <c r="A521" s="1"/>
      <c r="B521" s="1"/>
      <c r="C521" s="1"/>
      <c r="D521" s="1"/>
    </row>
    <row r="522" customFormat="false" ht="15.75" hidden="false" customHeight="true" outlineLevel="0" collapsed="false">
      <c r="A522" s="1"/>
      <c r="B522" s="1"/>
      <c r="C522" s="1"/>
      <c r="D522" s="1"/>
    </row>
    <row r="523" customFormat="false" ht="15.75" hidden="false" customHeight="true" outlineLevel="0" collapsed="false">
      <c r="A523" s="1"/>
      <c r="B523" s="1"/>
      <c r="C523" s="1"/>
      <c r="D523" s="1"/>
    </row>
    <row r="524" customFormat="false" ht="15.75" hidden="false" customHeight="true" outlineLevel="0" collapsed="false">
      <c r="A524" s="1"/>
      <c r="B524" s="1"/>
      <c r="C524" s="1"/>
      <c r="D524" s="1"/>
    </row>
    <row r="525" customFormat="false" ht="15.75" hidden="false" customHeight="true" outlineLevel="0" collapsed="false">
      <c r="A525" s="1"/>
      <c r="B525" s="1"/>
      <c r="C525" s="1"/>
      <c r="D525" s="1"/>
    </row>
    <row r="526" customFormat="false" ht="15.75" hidden="false" customHeight="true" outlineLevel="0" collapsed="false">
      <c r="A526" s="1"/>
      <c r="B526" s="1"/>
      <c r="C526" s="1"/>
      <c r="D526" s="1"/>
    </row>
    <row r="527" customFormat="false" ht="15.75" hidden="false" customHeight="true" outlineLevel="0" collapsed="false">
      <c r="A527" s="1"/>
      <c r="B527" s="1"/>
      <c r="C527" s="1"/>
      <c r="D527" s="1"/>
    </row>
    <row r="528" customFormat="false" ht="15.75" hidden="false" customHeight="true" outlineLevel="0" collapsed="false">
      <c r="A528" s="1"/>
      <c r="B528" s="1"/>
      <c r="C528" s="1"/>
      <c r="D528" s="1"/>
    </row>
    <row r="529" customFormat="false" ht="15.75" hidden="false" customHeight="true" outlineLevel="0" collapsed="false">
      <c r="A529" s="1"/>
      <c r="B529" s="1"/>
      <c r="C529" s="1"/>
      <c r="D529" s="1"/>
    </row>
    <row r="530" customFormat="false" ht="15.75" hidden="false" customHeight="true" outlineLevel="0" collapsed="false">
      <c r="A530" s="1"/>
      <c r="B530" s="1"/>
      <c r="C530" s="1"/>
      <c r="D530" s="1"/>
    </row>
    <row r="531" customFormat="false" ht="15.75" hidden="false" customHeight="true" outlineLevel="0" collapsed="false">
      <c r="A531" s="1"/>
      <c r="B531" s="1"/>
      <c r="C531" s="1"/>
      <c r="D531" s="1"/>
    </row>
    <row r="532" customFormat="false" ht="15.75" hidden="false" customHeight="true" outlineLevel="0" collapsed="false">
      <c r="A532" s="1"/>
      <c r="B532" s="1"/>
      <c r="C532" s="1"/>
      <c r="D532" s="1"/>
    </row>
    <row r="533" customFormat="false" ht="15.75" hidden="false" customHeight="true" outlineLevel="0" collapsed="false">
      <c r="A533" s="1"/>
      <c r="B533" s="1"/>
      <c r="C533" s="1"/>
      <c r="D533" s="1"/>
    </row>
    <row r="534" customFormat="false" ht="15.75" hidden="false" customHeight="true" outlineLevel="0" collapsed="false">
      <c r="A534" s="1"/>
      <c r="B534" s="1"/>
      <c r="C534" s="1"/>
      <c r="D534" s="1"/>
    </row>
    <row r="535" customFormat="false" ht="15.75" hidden="false" customHeight="true" outlineLevel="0" collapsed="false">
      <c r="A535" s="1"/>
      <c r="B535" s="1"/>
      <c r="C535" s="1"/>
      <c r="D535" s="1"/>
    </row>
    <row r="536" customFormat="false" ht="15.75" hidden="false" customHeight="true" outlineLevel="0" collapsed="false">
      <c r="A536" s="1"/>
      <c r="B536" s="1"/>
      <c r="C536" s="1"/>
      <c r="D536" s="1"/>
    </row>
    <row r="537" customFormat="false" ht="15.75" hidden="false" customHeight="true" outlineLevel="0" collapsed="false">
      <c r="A537" s="1"/>
      <c r="B537" s="1"/>
      <c r="C537" s="1"/>
      <c r="D537" s="1"/>
    </row>
    <row r="538" customFormat="false" ht="15.75" hidden="false" customHeight="true" outlineLevel="0" collapsed="false">
      <c r="A538" s="1"/>
      <c r="B538" s="1"/>
      <c r="C538" s="1"/>
      <c r="D538" s="1"/>
    </row>
    <row r="539" customFormat="false" ht="15.75" hidden="false" customHeight="true" outlineLevel="0" collapsed="false">
      <c r="A539" s="1"/>
      <c r="B539" s="1"/>
      <c r="C539" s="1"/>
      <c r="D539" s="1"/>
    </row>
    <row r="540" customFormat="false" ht="15.75" hidden="false" customHeight="true" outlineLevel="0" collapsed="false">
      <c r="A540" s="1"/>
      <c r="B540" s="1"/>
      <c r="C540" s="1"/>
      <c r="D540" s="1"/>
    </row>
    <row r="541" customFormat="false" ht="15.75" hidden="false" customHeight="true" outlineLevel="0" collapsed="false">
      <c r="A541" s="1"/>
      <c r="B541" s="1"/>
      <c r="C541" s="1"/>
      <c r="D541" s="1"/>
    </row>
    <row r="542" customFormat="false" ht="15.75" hidden="false" customHeight="true" outlineLevel="0" collapsed="false">
      <c r="A542" s="1"/>
      <c r="B542" s="1"/>
      <c r="C542" s="1"/>
      <c r="D542" s="1"/>
    </row>
    <row r="543" customFormat="false" ht="15.75" hidden="false" customHeight="true" outlineLevel="0" collapsed="false">
      <c r="A543" s="1"/>
      <c r="B543" s="1"/>
      <c r="C543" s="1"/>
      <c r="D543" s="1"/>
    </row>
    <row r="544" customFormat="false" ht="15.75" hidden="false" customHeight="true" outlineLevel="0" collapsed="false">
      <c r="A544" s="1"/>
      <c r="B544" s="1"/>
      <c r="C544" s="1"/>
      <c r="D544" s="1"/>
    </row>
    <row r="545" customFormat="false" ht="15.75" hidden="false" customHeight="true" outlineLevel="0" collapsed="false">
      <c r="A545" s="1"/>
      <c r="B545" s="1"/>
      <c r="C545" s="1"/>
      <c r="D545" s="1"/>
    </row>
    <row r="546" customFormat="false" ht="15.75" hidden="false" customHeight="true" outlineLevel="0" collapsed="false">
      <c r="A546" s="1"/>
      <c r="B546" s="1"/>
      <c r="C546" s="1"/>
      <c r="D546" s="1"/>
    </row>
    <row r="547" customFormat="false" ht="15.75" hidden="false" customHeight="true" outlineLevel="0" collapsed="false">
      <c r="A547" s="1"/>
      <c r="B547" s="1"/>
      <c r="C547" s="1"/>
      <c r="D547" s="1"/>
    </row>
    <row r="548" customFormat="false" ht="15.75" hidden="false" customHeight="true" outlineLevel="0" collapsed="false">
      <c r="A548" s="1"/>
      <c r="B548" s="1"/>
      <c r="C548" s="1"/>
      <c r="D548" s="1"/>
    </row>
    <row r="549" customFormat="false" ht="15.75" hidden="false" customHeight="true" outlineLevel="0" collapsed="false">
      <c r="A549" s="1"/>
      <c r="B549" s="1"/>
      <c r="C549" s="1"/>
      <c r="D549" s="1"/>
    </row>
    <row r="550" customFormat="false" ht="15.75" hidden="false" customHeight="true" outlineLevel="0" collapsed="false">
      <c r="A550" s="1"/>
      <c r="B550" s="1"/>
      <c r="C550" s="1"/>
      <c r="D550" s="1"/>
    </row>
    <row r="551" customFormat="false" ht="15.75" hidden="false" customHeight="true" outlineLevel="0" collapsed="false">
      <c r="A551" s="1"/>
      <c r="B551" s="1"/>
      <c r="C551" s="1"/>
      <c r="D551" s="1"/>
    </row>
    <row r="552" customFormat="false" ht="15.75" hidden="false" customHeight="true" outlineLevel="0" collapsed="false">
      <c r="A552" s="1"/>
      <c r="B552" s="1"/>
      <c r="C552" s="1"/>
      <c r="D552" s="1"/>
    </row>
    <row r="553" customFormat="false" ht="15.75" hidden="false" customHeight="true" outlineLevel="0" collapsed="false">
      <c r="A553" s="1"/>
      <c r="B553" s="1"/>
      <c r="C553" s="1"/>
      <c r="D553" s="1"/>
    </row>
    <row r="554" customFormat="false" ht="15.75" hidden="false" customHeight="true" outlineLevel="0" collapsed="false">
      <c r="A554" s="1"/>
      <c r="B554" s="1"/>
      <c r="C554" s="1"/>
      <c r="D554" s="1"/>
    </row>
    <row r="555" customFormat="false" ht="15.75" hidden="false" customHeight="true" outlineLevel="0" collapsed="false">
      <c r="A555" s="1"/>
      <c r="B555" s="1"/>
      <c r="C555" s="1"/>
      <c r="D555" s="1"/>
    </row>
    <row r="556" customFormat="false" ht="15.75" hidden="false" customHeight="true" outlineLevel="0" collapsed="false">
      <c r="A556" s="1"/>
      <c r="B556" s="1"/>
      <c r="C556" s="1"/>
      <c r="D556" s="1"/>
    </row>
    <row r="557" customFormat="false" ht="15.75" hidden="false" customHeight="true" outlineLevel="0" collapsed="false">
      <c r="A557" s="1"/>
      <c r="B557" s="1"/>
      <c r="C557" s="1"/>
      <c r="D557" s="1"/>
    </row>
    <row r="558" customFormat="false" ht="15.75" hidden="false" customHeight="true" outlineLevel="0" collapsed="false">
      <c r="A558" s="1"/>
      <c r="B558" s="1"/>
      <c r="C558" s="1"/>
      <c r="D558" s="1"/>
    </row>
    <row r="559" customFormat="false" ht="15.75" hidden="false" customHeight="true" outlineLevel="0" collapsed="false">
      <c r="A559" s="1"/>
      <c r="B559" s="1"/>
      <c r="C559" s="1"/>
      <c r="D559" s="1"/>
    </row>
    <row r="560" customFormat="false" ht="15.75" hidden="false" customHeight="true" outlineLevel="0" collapsed="false">
      <c r="A560" s="1"/>
      <c r="B560" s="1"/>
      <c r="C560" s="1"/>
      <c r="D560" s="1"/>
    </row>
    <row r="561" customFormat="false" ht="15.75" hidden="false" customHeight="true" outlineLevel="0" collapsed="false">
      <c r="A561" s="1"/>
      <c r="B561" s="1"/>
      <c r="C561" s="1"/>
      <c r="D561" s="1"/>
    </row>
    <row r="562" customFormat="false" ht="15.75" hidden="false" customHeight="true" outlineLevel="0" collapsed="false">
      <c r="A562" s="1"/>
      <c r="B562" s="1"/>
      <c r="C562" s="1"/>
      <c r="D562" s="1"/>
    </row>
    <row r="563" customFormat="false" ht="15.75" hidden="false" customHeight="true" outlineLevel="0" collapsed="false">
      <c r="A563" s="1"/>
      <c r="B563" s="1"/>
      <c r="C563" s="1"/>
      <c r="D563" s="1"/>
    </row>
    <row r="564" customFormat="false" ht="15.75" hidden="false" customHeight="true" outlineLevel="0" collapsed="false">
      <c r="A564" s="1"/>
      <c r="B564" s="1"/>
      <c r="C564" s="1"/>
      <c r="D564" s="1"/>
    </row>
    <row r="565" customFormat="false" ht="15.75" hidden="false" customHeight="true" outlineLevel="0" collapsed="false">
      <c r="A565" s="1"/>
      <c r="B565" s="1"/>
      <c r="C565" s="1"/>
      <c r="D565" s="1"/>
    </row>
    <row r="566" customFormat="false" ht="15.75" hidden="false" customHeight="true" outlineLevel="0" collapsed="false">
      <c r="A566" s="1"/>
      <c r="B566" s="1"/>
      <c r="C566" s="1"/>
      <c r="D566" s="1"/>
    </row>
    <row r="567" customFormat="false" ht="15.75" hidden="false" customHeight="true" outlineLevel="0" collapsed="false">
      <c r="A567" s="1"/>
      <c r="B567" s="1"/>
      <c r="C567" s="1"/>
      <c r="D567" s="1"/>
    </row>
    <row r="568" customFormat="false" ht="15.75" hidden="false" customHeight="true" outlineLevel="0" collapsed="false">
      <c r="A568" s="1"/>
      <c r="B568" s="1"/>
      <c r="C568" s="1"/>
      <c r="D568" s="1"/>
    </row>
    <row r="569" customFormat="false" ht="15.75" hidden="false" customHeight="true" outlineLevel="0" collapsed="false">
      <c r="A569" s="1"/>
      <c r="B569" s="1"/>
      <c r="C569" s="1"/>
      <c r="D569" s="1"/>
    </row>
    <row r="570" customFormat="false" ht="15.75" hidden="false" customHeight="true" outlineLevel="0" collapsed="false">
      <c r="A570" s="1"/>
      <c r="B570" s="1"/>
      <c r="C570" s="1"/>
      <c r="D570" s="1"/>
    </row>
    <row r="571" customFormat="false" ht="15.75" hidden="false" customHeight="true" outlineLevel="0" collapsed="false">
      <c r="A571" s="1"/>
      <c r="B571" s="1"/>
      <c r="C571" s="1"/>
      <c r="D571" s="1"/>
    </row>
    <row r="572" customFormat="false" ht="15.75" hidden="false" customHeight="true" outlineLevel="0" collapsed="false">
      <c r="A572" s="1"/>
      <c r="B572" s="1"/>
      <c r="C572" s="1"/>
      <c r="D572" s="1"/>
    </row>
    <row r="573" customFormat="false" ht="15.75" hidden="false" customHeight="true" outlineLevel="0" collapsed="false">
      <c r="A573" s="1"/>
      <c r="B573" s="1"/>
      <c r="C573" s="1"/>
      <c r="D573" s="1"/>
    </row>
    <row r="574" customFormat="false" ht="15.75" hidden="false" customHeight="true" outlineLevel="0" collapsed="false">
      <c r="A574" s="1"/>
      <c r="B574" s="1"/>
      <c r="C574" s="1"/>
      <c r="D574" s="1"/>
    </row>
    <row r="575" customFormat="false" ht="15.75" hidden="false" customHeight="true" outlineLevel="0" collapsed="false">
      <c r="A575" s="1"/>
      <c r="B575" s="1"/>
      <c r="C575" s="1"/>
      <c r="D575" s="1"/>
    </row>
    <row r="576" customFormat="false" ht="15.75" hidden="false" customHeight="true" outlineLevel="0" collapsed="false">
      <c r="A576" s="1"/>
      <c r="B576" s="1"/>
      <c r="C576" s="1"/>
      <c r="D576" s="1"/>
    </row>
    <row r="577" customFormat="false" ht="15.75" hidden="false" customHeight="true" outlineLevel="0" collapsed="false">
      <c r="A577" s="1"/>
      <c r="B577" s="1"/>
      <c r="C577" s="1"/>
      <c r="D577" s="1"/>
    </row>
    <row r="578" customFormat="false" ht="15.75" hidden="false" customHeight="true" outlineLevel="0" collapsed="false">
      <c r="A578" s="1"/>
      <c r="B578" s="1"/>
      <c r="C578" s="1"/>
      <c r="D578" s="1"/>
    </row>
    <row r="579" customFormat="false" ht="15.75" hidden="false" customHeight="true" outlineLevel="0" collapsed="false">
      <c r="A579" s="1"/>
      <c r="B579" s="1"/>
      <c r="C579" s="1"/>
      <c r="D579" s="1"/>
    </row>
    <row r="580" customFormat="false" ht="15.75" hidden="false" customHeight="true" outlineLevel="0" collapsed="false">
      <c r="A580" s="1"/>
      <c r="B580" s="1"/>
      <c r="C580" s="1"/>
      <c r="D580" s="1"/>
    </row>
    <row r="581" customFormat="false" ht="15.75" hidden="false" customHeight="true" outlineLevel="0" collapsed="false">
      <c r="A581" s="1"/>
      <c r="B581" s="1"/>
      <c r="C581" s="1"/>
      <c r="D581" s="1"/>
    </row>
    <row r="582" customFormat="false" ht="15.75" hidden="false" customHeight="true" outlineLevel="0" collapsed="false">
      <c r="A582" s="1"/>
      <c r="B582" s="1"/>
      <c r="C582" s="1"/>
      <c r="D582" s="1"/>
    </row>
    <row r="583" customFormat="false" ht="15.75" hidden="false" customHeight="true" outlineLevel="0" collapsed="false">
      <c r="A583" s="1"/>
      <c r="B583" s="1"/>
      <c r="C583" s="1"/>
      <c r="D583" s="1"/>
    </row>
    <row r="584" customFormat="false" ht="15.75" hidden="false" customHeight="true" outlineLevel="0" collapsed="false">
      <c r="A584" s="1"/>
      <c r="B584" s="1"/>
      <c r="C584" s="1"/>
      <c r="D584" s="1"/>
    </row>
    <row r="585" customFormat="false" ht="15.75" hidden="false" customHeight="true" outlineLevel="0" collapsed="false">
      <c r="A585" s="1"/>
      <c r="B585" s="1"/>
      <c r="C585" s="1"/>
      <c r="D585" s="1"/>
    </row>
    <row r="586" customFormat="false" ht="15.75" hidden="false" customHeight="true" outlineLevel="0" collapsed="false">
      <c r="A586" s="1"/>
      <c r="B586" s="1"/>
      <c r="C586" s="1"/>
      <c r="D586" s="1"/>
    </row>
    <row r="587" customFormat="false" ht="15.75" hidden="false" customHeight="true" outlineLevel="0" collapsed="false">
      <c r="A587" s="1"/>
      <c r="B587" s="1"/>
      <c r="C587" s="1"/>
      <c r="D587" s="1"/>
    </row>
    <row r="588" customFormat="false" ht="15.75" hidden="false" customHeight="true" outlineLevel="0" collapsed="false">
      <c r="A588" s="1"/>
      <c r="B588" s="1"/>
      <c r="C588" s="1"/>
      <c r="D588" s="1"/>
    </row>
    <row r="589" customFormat="false" ht="15.75" hidden="false" customHeight="true" outlineLevel="0" collapsed="false">
      <c r="A589" s="1"/>
      <c r="B589" s="1"/>
      <c r="C589" s="1"/>
      <c r="D589" s="1"/>
    </row>
    <row r="590" customFormat="false" ht="15.75" hidden="false" customHeight="true" outlineLevel="0" collapsed="false">
      <c r="A590" s="1"/>
      <c r="B590" s="1"/>
      <c r="C590" s="1"/>
      <c r="D590" s="1"/>
    </row>
    <row r="591" customFormat="false" ht="15.75" hidden="false" customHeight="true" outlineLevel="0" collapsed="false">
      <c r="A591" s="1"/>
      <c r="B591" s="1"/>
      <c r="C591" s="1"/>
      <c r="D591" s="1"/>
    </row>
    <row r="592" customFormat="false" ht="15.75" hidden="false" customHeight="true" outlineLevel="0" collapsed="false">
      <c r="A592" s="1"/>
      <c r="B592" s="1"/>
      <c r="C592" s="1"/>
      <c r="D592" s="1"/>
    </row>
    <row r="593" customFormat="false" ht="15.75" hidden="false" customHeight="true" outlineLevel="0" collapsed="false">
      <c r="A593" s="1"/>
      <c r="B593" s="1"/>
      <c r="C593" s="1"/>
      <c r="D593" s="1"/>
    </row>
    <row r="594" customFormat="false" ht="15.75" hidden="false" customHeight="true" outlineLevel="0" collapsed="false">
      <c r="A594" s="1"/>
      <c r="B594" s="1"/>
      <c r="C594" s="1"/>
      <c r="D594" s="1"/>
    </row>
    <row r="595" customFormat="false" ht="15.75" hidden="false" customHeight="true" outlineLevel="0" collapsed="false">
      <c r="A595" s="1"/>
      <c r="B595" s="1"/>
      <c r="C595" s="1"/>
      <c r="D595" s="1"/>
    </row>
    <row r="596" customFormat="false" ht="15.75" hidden="false" customHeight="true" outlineLevel="0" collapsed="false">
      <c r="A596" s="1"/>
      <c r="B596" s="1"/>
      <c r="C596" s="1"/>
      <c r="D596" s="1"/>
    </row>
    <row r="597" customFormat="false" ht="15.75" hidden="false" customHeight="true" outlineLevel="0" collapsed="false">
      <c r="A597" s="1"/>
      <c r="B597" s="1"/>
      <c r="C597" s="1"/>
      <c r="D597" s="1"/>
    </row>
    <row r="598" customFormat="false" ht="15.75" hidden="false" customHeight="true" outlineLevel="0" collapsed="false">
      <c r="A598" s="1"/>
      <c r="B598" s="1"/>
      <c r="C598" s="1"/>
      <c r="D598" s="1"/>
    </row>
    <row r="599" customFormat="false" ht="15.75" hidden="false" customHeight="true" outlineLevel="0" collapsed="false">
      <c r="A599" s="1"/>
      <c r="B599" s="1"/>
      <c r="C599" s="1"/>
      <c r="D599" s="1"/>
    </row>
    <row r="600" customFormat="false" ht="15.75" hidden="false" customHeight="true" outlineLevel="0" collapsed="false">
      <c r="A600" s="1"/>
      <c r="B600" s="1"/>
      <c r="C600" s="1"/>
      <c r="D600" s="1"/>
    </row>
    <row r="601" customFormat="false" ht="15.75" hidden="false" customHeight="true" outlineLevel="0" collapsed="false">
      <c r="A601" s="1"/>
      <c r="B601" s="1"/>
      <c r="C601" s="1"/>
      <c r="D601" s="1"/>
    </row>
    <row r="602" customFormat="false" ht="15.75" hidden="false" customHeight="true" outlineLevel="0" collapsed="false">
      <c r="A602" s="1"/>
      <c r="B602" s="1"/>
      <c r="C602" s="1"/>
      <c r="D602" s="1"/>
    </row>
    <row r="603" customFormat="false" ht="15.75" hidden="false" customHeight="true" outlineLevel="0" collapsed="false">
      <c r="A603" s="1"/>
      <c r="B603" s="1"/>
      <c r="C603" s="1"/>
      <c r="D603" s="1"/>
    </row>
    <row r="604" customFormat="false" ht="15.75" hidden="false" customHeight="true" outlineLevel="0" collapsed="false">
      <c r="A604" s="1"/>
      <c r="B604" s="1"/>
      <c r="C604" s="1"/>
      <c r="D604" s="1"/>
    </row>
    <row r="605" customFormat="false" ht="15.75" hidden="false" customHeight="true" outlineLevel="0" collapsed="false">
      <c r="A605" s="1"/>
      <c r="B605" s="1"/>
      <c r="C605" s="1"/>
      <c r="D605" s="1"/>
    </row>
    <row r="606" customFormat="false" ht="15.75" hidden="false" customHeight="true" outlineLevel="0" collapsed="false">
      <c r="A606" s="1"/>
      <c r="B606" s="1"/>
      <c r="C606" s="1"/>
      <c r="D606" s="1"/>
    </row>
    <row r="607" customFormat="false" ht="15.75" hidden="false" customHeight="true" outlineLevel="0" collapsed="false">
      <c r="A607" s="1"/>
      <c r="B607" s="1"/>
      <c r="C607" s="1"/>
      <c r="D607" s="1"/>
    </row>
    <row r="608" customFormat="false" ht="15.75" hidden="false" customHeight="true" outlineLevel="0" collapsed="false">
      <c r="A608" s="1"/>
      <c r="B608" s="1"/>
      <c r="C608" s="1"/>
      <c r="D608" s="1"/>
    </row>
    <row r="609" customFormat="false" ht="15.75" hidden="false" customHeight="true" outlineLevel="0" collapsed="false">
      <c r="A609" s="1"/>
      <c r="B609" s="1"/>
      <c r="C609" s="1"/>
      <c r="D609" s="1"/>
    </row>
    <row r="610" customFormat="false" ht="15.75" hidden="false" customHeight="true" outlineLevel="0" collapsed="false">
      <c r="A610" s="1"/>
      <c r="B610" s="1"/>
      <c r="C610" s="1"/>
      <c r="D610" s="1"/>
    </row>
    <row r="611" customFormat="false" ht="15.75" hidden="false" customHeight="true" outlineLevel="0" collapsed="false">
      <c r="A611" s="1"/>
      <c r="B611" s="1"/>
      <c r="C611" s="1"/>
      <c r="D611" s="1"/>
    </row>
    <row r="612" customFormat="false" ht="15.75" hidden="false" customHeight="true" outlineLevel="0" collapsed="false">
      <c r="A612" s="1"/>
      <c r="B612" s="1"/>
      <c r="C612" s="1"/>
      <c r="D612" s="1"/>
    </row>
    <row r="613" customFormat="false" ht="15.75" hidden="false" customHeight="true" outlineLevel="0" collapsed="false">
      <c r="A613" s="1"/>
      <c r="B613" s="1"/>
      <c r="C613" s="1"/>
      <c r="D613" s="1"/>
    </row>
    <row r="614" customFormat="false" ht="15.75" hidden="false" customHeight="true" outlineLevel="0" collapsed="false">
      <c r="A614" s="1"/>
      <c r="B614" s="1"/>
      <c r="C614" s="1"/>
      <c r="D614" s="1"/>
    </row>
    <row r="615" customFormat="false" ht="15.75" hidden="false" customHeight="true" outlineLevel="0" collapsed="false">
      <c r="A615" s="1"/>
      <c r="B615" s="1"/>
      <c r="C615" s="1"/>
      <c r="D615" s="1"/>
    </row>
    <row r="616" customFormat="false" ht="15.75" hidden="false" customHeight="true" outlineLevel="0" collapsed="false">
      <c r="A616" s="1"/>
      <c r="B616" s="1"/>
      <c r="C616" s="1"/>
      <c r="D616" s="1"/>
    </row>
    <row r="617" customFormat="false" ht="15.75" hidden="false" customHeight="true" outlineLevel="0" collapsed="false">
      <c r="A617" s="1"/>
      <c r="B617" s="1"/>
      <c r="C617" s="1"/>
      <c r="D617" s="1"/>
    </row>
    <row r="618" customFormat="false" ht="15.75" hidden="false" customHeight="true" outlineLevel="0" collapsed="false">
      <c r="A618" s="1"/>
      <c r="B618" s="1"/>
      <c r="C618" s="1"/>
      <c r="D618" s="1"/>
    </row>
    <row r="619" customFormat="false" ht="15.75" hidden="false" customHeight="true" outlineLevel="0" collapsed="false">
      <c r="A619" s="1"/>
      <c r="B619" s="1"/>
      <c r="C619" s="1"/>
      <c r="D619" s="1"/>
    </row>
    <row r="620" customFormat="false" ht="15.75" hidden="false" customHeight="true" outlineLevel="0" collapsed="false">
      <c r="A620" s="1"/>
      <c r="B620" s="1"/>
      <c r="C620" s="1"/>
      <c r="D620" s="1"/>
    </row>
    <row r="621" customFormat="false" ht="15.75" hidden="false" customHeight="true" outlineLevel="0" collapsed="false">
      <c r="A621" s="1"/>
      <c r="B621" s="1"/>
      <c r="C621" s="1"/>
      <c r="D621" s="1"/>
    </row>
    <row r="622" customFormat="false" ht="15.75" hidden="false" customHeight="true" outlineLevel="0" collapsed="false">
      <c r="A622" s="1"/>
      <c r="B622" s="1"/>
      <c r="C622" s="1"/>
      <c r="D622" s="1"/>
    </row>
    <row r="623" customFormat="false" ht="15.75" hidden="false" customHeight="true" outlineLevel="0" collapsed="false">
      <c r="A623" s="1"/>
      <c r="B623" s="1"/>
      <c r="C623" s="1"/>
      <c r="D623" s="1"/>
    </row>
    <row r="624" customFormat="false" ht="15.75" hidden="false" customHeight="true" outlineLevel="0" collapsed="false">
      <c r="A624" s="1"/>
      <c r="B624" s="1"/>
      <c r="C624" s="1"/>
      <c r="D624" s="1"/>
    </row>
    <row r="625" customFormat="false" ht="15.75" hidden="false" customHeight="true" outlineLevel="0" collapsed="false">
      <c r="A625" s="1"/>
      <c r="B625" s="1"/>
      <c r="C625" s="1"/>
      <c r="D625" s="1"/>
    </row>
    <row r="626" customFormat="false" ht="15.75" hidden="false" customHeight="true" outlineLevel="0" collapsed="false">
      <c r="A626" s="1"/>
      <c r="B626" s="1"/>
      <c r="C626" s="1"/>
      <c r="D626" s="1"/>
    </row>
    <row r="627" customFormat="false" ht="15.75" hidden="false" customHeight="true" outlineLevel="0" collapsed="false">
      <c r="A627" s="1"/>
      <c r="B627" s="1"/>
      <c r="C627" s="1"/>
      <c r="D627" s="1"/>
    </row>
    <row r="628" customFormat="false" ht="15.75" hidden="false" customHeight="true" outlineLevel="0" collapsed="false">
      <c r="A628" s="1"/>
      <c r="B628" s="1"/>
      <c r="C628" s="1"/>
      <c r="D628" s="1"/>
    </row>
    <row r="629" customFormat="false" ht="15.75" hidden="false" customHeight="true" outlineLevel="0" collapsed="false">
      <c r="A629" s="1"/>
      <c r="B629" s="1"/>
      <c r="C629" s="1"/>
      <c r="D629" s="1"/>
    </row>
    <row r="630" customFormat="false" ht="15.75" hidden="false" customHeight="true" outlineLevel="0" collapsed="false">
      <c r="A630" s="1"/>
      <c r="B630" s="1"/>
      <c r="C630" s="1"/>
      <c r="D630" s="1"/>
    </row>
    <row r="631" customFormat="false" ht="15.75" hidden="false" customHeight="true" outlineLevel="0" collapsed="false">
      <c r="A631" s="1"/>
      <c r="B631" s="1"/>
      <c r="C631" s="1"/>
      <c r="D631" s="1"/>
    </row>
    <row r="632" customFormat="false" ht="15.75" hidden="false" customHeight="true" outlineLevel="0" collapsed="false">
      <c r="A632" s="1"/>
      <c r="B632" s="1"/>
      <c r="C632" s="1"/>
      <c r="D632" s="1"/>
    </row>
    <row r="633" customFormat="false" ht="15.75" hidden="false" customHeight="true" outlineLevel="0" collapsed="false">
      <c r="A633" s="1"/>
      <c r="B633" s="1"/>
      <c r="C633" s="1"/>
      <c r="D633" s="1"/>
    </row>
    <row r="634" customFormat="false" ht="15.75" hidden="false" customHeight="true" outlineLevel="0" collapsed="false">
      <c r="A634" s="1"/>
      <c r="B634" s="1"/>
      <c r="C634" s="1"/>
      <c r="D634" s="1"/>
    </row>
    <row r="635" customFormat="false" ht="15.75" hidden="false" customHeight="true" outlineLevel="0" collapsed="false">
      <c r="A635" s="1"/>
      <c r="B635" s="1"/>
      <c r="C635" s="1"/>
      <c r="D635" s="1"/>
    </row>
    <row r="636" customFormat="false" ht="15.75" hidden="false" customHeight="true" outlineLevel="0" collapsed="false">
      <c r="A636" s="1"/>
      <c r="B636" s="1"/>
      <c r="C636" s="1"/>
      <c r="D636" s="1"/>
    </row>
    <row r="637" customFormat="false" ht="15.75" hidden="false" customHeight="true" outlineLevel="0" collapsed="false">
      <c r="A637" s="1"/>
      <c r="B637" s="1"/>
      <c r="C637" s="1"/>
      <c r="D637" s="1"/>
    </row>
    <row r="638" customFormat="false" ht="15.75" hidden="false" customHeight="true" outlineLevel="0" collapsed="false">
      <c r="A638" s="1"/>
      <c r="B638" s="1"/>
      <c r="C638" s="1"/>
      <c r="D638" s="1"/>
    </row>
    <row r="639" customFormat="false" ht="15.75" hidden="false" customHeight="true" outlineLevel="0" collapsed="false">
      <c r="A639" s="1"/>
      <c r="B639" s="1"/>
      <c r="C639" s="1"/>
      <c r="D639" s="1"/>
    </row>
    <row r="640" customFormat="false" ht="15.75" hidden="false" customHeight="true" outlineLevel="0" collapsed="false">
      <c r="A640" s="1"/>
      <c r="B640" s="1"/>
      <c r="C640" s="1"/>
      <c r="D640" s="1"/>
    </row>
    <row r="641" customFormat="false" ht="15.75" hidden="false" customHeight="true" outlineLevel="0" collapsed="false">
      <c r="A641" s="1"/>
      <c r="B641" s="1"/>
      <c r="C641" s="1"/>
      <c r="D641" s="1"/>
    </row>
    <row r="642" customFormat="false" ht="15.75" hidden="false" customHeight="true" outlineLevel="0" collapsed="false">
      <c r="A642" s="1"/>
      <c r="B642" s="1"/>
      <c r="C642" s="1"/>
      <c r="D642" s="1"/>
    </row>
    <row r="643" customFormat="false" ht="15.75" hidden="false" customHeight="true" outlineLevel="0" collapsed="false">
      <c r="A643" s="1"/>
      <c r="B643" s="1"/>
      <c r="C643" s="1"/>
      <c r="D643" s="1"/>
    </row>
    <row r="644" customFormat="false" ht="15.75" hidden="false" customHeight="true" outlineLevel="0" collapsed="false">
      <c r="A644" s="1"/>
      <c r="B644" s="1"/>
      <c r="C644" s="1"/>
      <c r="D644" s="1"/>
    </row>
    <row r="645" customFormat="false" ht="15.75" hidden="false" customHeight="true" outlineLevel="0" collapsed="false">
      <c r="A645" s="1"/>
      <c r="B645" s="1"/>
      <c r="C645" s="1"/>
      <c r="D645" s="1"/>
    </row>
    <row r="646" customFormat="false" ht="15.75" hidden="false" customHeight="true" outlineLevel="0" collapsed="false">
      <c r="A646" s="1"/>
      <c r="B646" s="1"/>
      <c r="C646" s="1"/>
      <c r="D646" s="1"/>
    </row>
    <row r="647" customFormat="false" ht="15.75" hidden="false" customHeight="true" outlineLevel="0" collapsed="false">
      <c r="A647" s="1"/>
      <c r="B647" s="1"/>
      <c r="C647" s="1"/>
      <c r="D647" s="1"/>
    </row>
    <row r="648" customFormat="false" ht="15.75" hidden="false" customHeight="true" outlineLevel="0" collapsed="false">
      <c r="A648" s="1"/>
      <c r="B648" s="1"/>
      <c r="C648" s="1"/>
      <c r="D648" s="1"/>
    </row>
    <row r="649" customFormat="false" ht="15.75" hidden="false" customHeight="true" outlineLevel="0" collapsed="false">
      <c r="A649" s="1"/>
      <c r="B649" s="1"/>
      <c r="C649" s="1"/>
      <c r="D649" s="1"/>
    </row>
    <row r="650" customFormat="false" ht="15.75" hidden="false" customHeight="true" outlineLevel="0" collapsed="false">
      <c r="A650" s="1"/>
      <c r="B650" s="1"/>
      <c r="C650" s="1"/>
      <c r="D650" s="1"/>
    </row>
    <row r="651" customFormat="false" ht="15.75" hidden="false" customHeight="true" outlineLevel="0" collapsed="false">
      <c r="A651" s="1"/>
      <c r="B651" s="1"/>
      <c r="C651" s="1"/>
      <c r="D651" s="1"/>
    </row>
    <row r="652" customFormat="false" ht="15.75" hidden="false" customHeight="true" outlineLevel="0" collapsed="false">
      <c r="A652" s="1"/>
      <c r="B652" s="1"/>
      <c r="C652" s="1"/>
      <c r="D652" s="1"/>
    </row>
    <row r="653" customFormat="false" ht="15.75" hidden="false" customHeight="true" outlineLevel="0" collapsed="false">
      <c r="A653" s="1"/>
      <c r="B653" s="1"/>
      <c r="C653" s="1"/>
      <c r="D653" s="1"/>
    </row>
    <row r="654" customFormat="false" ht="15.75" hidden="false" customHeight="true" outlineLevel="0" collapsed="false">
      <c r="A654" s="1"/>
      <c r="B654" s="1"/>
      <c r="C654" s="1"/>
      <c r="D654" s="1"/>
    </row>
    <row r="655" customFormat="false" ht="15.75" hidden="false" customHeight="true" outlineLevel="0" collapsed="false">
      <c r="A655" s="1"/>
      <c r="B655" s="1"/>
      <c r="C655" s="1"/>
      <c r="D655" s="1"/>
    </row>
    <row r="656" customFormat="false" ht="15.75" hidden="false" customHeight="true" outlineLevel="0" collapsed="false">
      <c r="A656" s="1"/>
      <c r="B656" s="1"/>
      <c r="C656" s="1"/>
      <c r="D656" s="1"/>
    </row>
    <row r="657" customFormat="false" ht="15.75" hidden="false" customHeight="true" outlineLevel="0" collapsed="false">
      <c r="A657" s="1"/>
      <c r="B657" s="1"/>
      <c r="C657" s="1"/>
      <c r="D657" s="1"/>
    </row>
    <row r="658" customFormat="false" ht="15.75" hidden="false" customHeight="true" outlineLevel="0" collapsed="false">
      <c r="A658" s="1"/>
      <c r="B658" s="1"/>
      <c r="C658" s="1"/>
      <c r="D658" s="1"/>
    </row>
    <row r="659" customFormat="false" ht="15.75" hidden="false" customHeight="true" outlineLevel="0" collapsed="false">
      <c r="A659" s="1"/>
      <c r="B659" s="1"/>
      <c r="C659" s="1"/>
      <c r="D659" s="1"/>
    </row>
    <row r="660" customFormat="false" ht="15.75" hidden="false" customHeight="true" outlineLevel="0" collapsed="false">
      <c r="A660" s="1"/>
      <c r="B660" s="1"/>
      <c r="C660" s="1"/>
      <c r="D660" s="1"/>
    </row>
    <row r="661" customFormat="false" ht="15.75" hidden="false" customHeight="true" outlineLevel="0" collapsed="false">
      <c r="A661" s="1"/>
      <c r="B661" s="1"/>
      <c r="C661" s="1"/>
      <c r="D661" s="1"/>
    </row>
    <row r="662" customFormat="false" ht="15.75" hidden="false" customHeight="true" outlineLevel="0" collapsed="false">
      <c r="A662" s="1"/>
      <c r="B662" s="1"/>
      <c r="C662" s="1"/>
      <c r="D662" s="1"/>
    </row>
    <row r="663" customFormat="false" ht="15.75" hidden="false" customHeight="true" outlineLevel="0" collapsed="false">
      <c r="A663" s="1"/>
      <c r="B663" s="1"/>
      <c r="C663" s="1"/>
      <c r="D663" s="1"/>
    </row>
    <row r="664" customFormat="false" ht="15.75" hidden="false" customHeight="true" outlineLevel="0" collapsed="false">
      <c r="A664" s="1"/>
      <c r="B664" s="1"/>
      <c r="C664" s="1"/>
      <c r="D664" s="1"/>
    </row>
    <row r="665" customFormat="false" ht="15.75" hidden="false" customHeight="true" outlineLevel="0" collapsed="false">
      <c r="A665" s="1"/>
      <c r="B665" s="1"/>
      <c r="C665" s="1"/>
      <c r="D665" s="1"/>
    </row>
    <row r="666" customFormat="false" ht="15.75" hidden="false" customHeight="true" outlineLevel="0" collapsed="false">
      <c r="A666" s="1"/>
      <c r="B666" s="1"/>
      <c r="C666" s="1"/>
      <c r="D666" s="1"/>
    </row>
    <row r="667" customFormat="false" ht="15.75" hidden="false" customHeight="true" outlineLevel="0" collapsed="false">
      <c r="A667" s="1"/>
      <c r="B667" s="1"/>
      <c r="C667" s="1"/>
      <c r="D667" s="1"/>
    </row>
    <row r="668" customFormat="false" ht="15.75" hidden="false" customHeight="true" outlineLevel="0" collapsed="false">
      <c r="A668" s="1"/>
      <c r="B668" s="1"/>
      <c r="C668" s="1"/>
      <c r="D668" s="1"/>
    </row>
    <row r="669" customFormat="false" ht="15.75" hidden="false" customHeight="true" outlineLevel="0" collapsed="false">
      <c r="A669" s="1"/>
      <c r="B669" s="1"/>
      <c r="C669" s="1"/>
      <c r="D669" s="1"/>
    </row>
    <row r="670" customFormat="false" ht="15.75" hidden="false" customHeight="true" outlineLevel="0" collapsed="false">
      <c r="A670" s="1"/>
      <c r="B670" s="1"/>
      <c r="C670" s="1"/>
      <c r="D670" s="1"/>
    </row>
    <row r="671" customFormat="false" ht="15.75" hidden="false" customHeight="true" outlineLevel="0" collapsed="false">
      <c r="A671" s="1"/>
      <c r="B671" s="1"/>
      <c r="C671" s="1"/>
      <c r="D671" s="1"/>
    </row>
    <row r="672" customFormat="false" ht="15.75" hidden="false" customHeight="true" outlineLevel="0" collapsed="false">
      <c r="A672" s="1"/>
      <c r="B672" s="1"/>
      <c r="C672" s="1"/>
      <c r="D672" s="1"/>
    </row>
    <row r="673" customFormat="false" ht="15.75" hidden="false" customHeight="true" outlineLevel="0" collapsed="false">
      <c r="A673" s="1"/>
      <c r="B673" s="1"/>
      <c r="C673" s="1"/>
      <c r="D673" s="1"/>
    </row>
    <row r="674" customFormat="false" ht="15.75" hidden="false" customHeight="true" outlineLevel="0" collapsed="false">
      <c r="A674" s="1"/>
      <c r="B674" s="1"/>
      <c r="C674" s="1"/>
      <c r="D674" s="1"/>
    </row>
    <row r="675" customFormat="false" ht="15.75" hidden="false" customHeight="true" outlineLevel="0" collapsed="false">
      <c r="A675" s="1"/>
      <c r="B675" s="1"/>
      <c r="C675" s="1"/>
      <c r="D675" s="1"/>
    </row>
    <row r="676" customFormat="false" ht="15.75" hidden="false" customHeight="true" outlineLevel="0" collapsed="false">
      <c r="A676" s="1"/>
      <c r="B676" s="1"/>
      <c r="C676" s="1"/>
      <c r="D676" s="1"/>
    </row>
    <row r="677" customFormat="false" ht="15.75" hidden="false" customHeight="true" outlineLevel="0" collapsed="false">
      <c r="A677" s="1"/>
      <c r="B677" s="1"/>
      <c r="C677" s="1"/>
      <c r="D677" s="1"/>
    </row>
    <row r="678" customFormat="false" ht="15.75" hidden="false" customHeight="true" outlineLevel="0" collapsed="false">
      <c r="A678" s="1"/>
      <c r="B678" s="1"/>
      <c r="C678" s="1"/>
      <c r="D678" s="1"/>
    </row>
    <row r="679" customFormat="false" ht="15.75" hidden="false" customHeight="true" outlineLevel="0" collapsed="false">
      <c r="A679" s="1"/>
      <c r="B679" s="1"/>
      <c r="C679" s="1"/>
      <c r="D679" s="1"/>
    </row>
    <row r="680" customFormat="false" ht="15.75" hidden="false" customHeight="true" outlineLevel="0" collapsed="false">
      <c r="A680" s="1"/>
      <c r="B680" s="1"/>
      <c r="C680" s="1"/>
      <c r="D680" s="1"/>
    </row>
    <row r="681" customFormat="false" ht="15.75" hidden="false" customHeight="true" outlineLevel="0" collapsed="false">
      <c r="A681" s="1"/>
      <c r="B681" s="1"/>
      <c r="C681" s="1"/>
      <c r="D681" s="1"/>
    </row>
    <row r="682" customFormat="false" ht="15.75" hidden="false" customHeight="true" outlineLevel="0" collapsed="false">
      <c r="A682" s="1"/>
      <c r="B682" s="1"/>
      <c r="C682" s="1"/>
      <c r="D682" s="1"/>
    </row>
    <row r="683" customFormat="false" ht="15.75" hidden="false" customHeight="true" outlineLevel="0" collapsed="false">
      <c r="A683" s="1"/>
      <c r="B683" s="1"/>
      <c r="C683" s="1"/>
      <c r="D683" s="1"/>
    </row>
    <row r="684" customFormat="false" ht="15.75" hidden="false" customHeight="true" outlineLevel="0" collapsed="false">
      <c r="A684" s="1"/>
      <c r="B684" s="1"/>
      <c r="C684" s="1"/>
      <c r="D684" s="1"/>
    </row>
    <row r="685" customFormat="false" ht="15.75" hidden="false" customHeight="true" outlineLevel="0" collapsed="false">
      <c r="A685" s="1"/>
      <c r="B685" s="1"/>
      <c r="C685" s="1"/>
      <c r="D685" s="1"/>
    </row>
    <row r="686" customFormat="false" ht="15.75" hidden="false" customHeight="true" outlineLevel="0" collapsed="false">
      <c r="A686" s="1"/>
      <c r="B686" s="1"/>
      <c r="C686" s="1"/>
      <c r="D686" s="1"/>
    </row>
    <row r="687" customFormat="false" ht="15.75" hidden="false" customHeight="true" outlineLevel="0" collapsed="false">
      <c r="A687" s="1"/>
      <c r="B687" s="1"/>
      <c r="C687" s="1"/>
      <c r="D687" s="1"/>
    </row>
    <row r="688" customFormat="false" ht="15.75" hidden="false" customHeight="true" outlineLevel="0" collapsed="false">
      <c r="A688" s="1"/>
      <c r="B688" s="1"/>
      <c r="C688" s="1"/>
      <c r="D688" s="1"/>
    </row>
    <row r="689" customFormat="false" ht="15.75" hidden="false" customHeight="true" outlineLevel="0" collapsed="false">
      <c r="A689" s="1"/>
      <c r="B689" s="1"/>
      <c r="C689" s="1"/>
      <c r="D689" s="1"/>
    </row>
    <row r="690" customFormat="false" ht="15.75" hidden="false" customHeight="true" outlineLevel="0" collapsed="false">
      <c r="A690" s="1"/>
      <c r="B690" s="1"/>
      <c r="C690" s="1"/>
      <c r="D690" s="1"/>
    </row>
    <row r="691" customFormat="false" ht="15.75" hidden="false" customHeight="true" outlineLevel="0" collapsed="false">
      <c r="A691" s="1"/>
      <c r="B691" s="1"/>
      <c r="C691" s="1"/>
      <c r="D691" s="1"/>
    </row>
    <row r="692" customFormat="false" ht="15.75" hidden="false" customHeight="true" outlineLevel="0" collapsed="false">
      <c r="A692" s="1"/>
      <c r="B692" s="1"/>
      <c r="C692" s="1"/>
      <c r="D692" s="1"/>
    </row>
    <row r="693" customFormat="false" ht="15.75" hidden="false" customHeight="true" outlineLevel="0" collapsed="false">
      <c r="A693" s="1"/>
      <c r="B693" s="1"/>
      <c r="C693" s="1"/>
      <c r="D693" s="1"/>
    </row>
    <row r="694" customFormat="false" ht="15.75" hidden="false" customHeight="true" outlineLevel="0" collapsed="false">
      <c r="A694" s="1"/>
      <c r="B694" s="1"/>
      <c r="C694" s="1"/>
      <c r="D694" s="1"/>
    </row>
    <row r="695" customFormat="false" ht="15.75" hidden="false" customHeight="true" outlineLevel="0" collapsed="false">
      <c r="A695" s="1"/>
      <c r="B695" s="1"/>
      <c r="C695" s="1"/>
      <c r="D695" s="1"/>
    </row>
    <row r="696" customFormat="false" ht="15.75" hidden="false" customHeight="true" outlineLevel="0" collapsed="false">
      <c r="A696" s="1"/>
      <c r="B696" s="1"/>
      <c r="C696" s="1"/>
      <c r="D696" s="1"/>
    </row>
    <row r="697" customFormat="false" ht="15.75" hidden="false" customHeight="true" outlineLevel="0" collapsed="false">
      <c r="A697" s="1"/>
      <c r="B697" s="1"/>
      <c r="C697" s="1"/>
      <c r="D697" s="1"/>
    </row>
    <row r="698" customFormat="false" ht="15.75" hidden="false" customHeight="true" outlineLevel="0" collapsed="false">
      <c r="A698" s="1"/>
      <c r="B698" s="1"/>
      <c r="C698" s="1"/>
      <c r="D698" s="1"/>
    </row>
    <row r="699" customFormat="false" ht="15.75" hidden="false" customHeight="true" outlineLevel="0" collapsed="false">
      <c r="A699" s="1"/>
      <c r="B699" s="1"/>
      <c r="C699" s="1"/>
      <c r="D699" s="1"/>
    </row>
    <row r="700" customFormat="false" ht="15.75" hidden="false" customHeight="true" outlineLevel="0" collapsed="false">
      <c r="A700" s="1"/>
      <c r="B700" s="1"/>
      <c r="C700" s="1"/>
      <c r="D700" s="1"/>
    </row>
    <row r="701" customFormat="false" ht="15.75" hidden="false" customHeight="true" outlineLevel="0" collapsed="false">
      <c r="A701" s="1"/>
      <c r="B701" s="1"/>
      <c r="C701" s="1"/>
      <c r="D701" s="1"/>
    </row>
    <row r="702" customFormat="false" ht="15.75" hidden="false" customHeight="true" outlineLevel="0" collapsed="false">
      <c r="A702" s="1"/>
      <c r="B702" s="1"/>
      <c r="C702" s="1"/>
      <c r="D702" s="1"/>
    </row>
    <row r="703" customFormat="false" ht="15.75" hidden="false" customHeight="true" outlineLevel="0" collapsed="false">
      <c r="A703" s="1"/>
      <c r="B703" s="1"/>
      <c r="C703" s="1"/>
      <c r="D703" s="1"/>
    </row>
    <row r="704" customFormat="false" ht="15.75" hidden="false" customHeight="true" outlineLevel="0" collapsed="false">
      <c r="A704" s="1"/>
      <c r="B704" s="1"/>
      <c r="C704" s="1"/>
      <c r="D704" s="1"/>
    </row>
    <row r="705" customFormat="false" ht="15.75" hidden="false" customHeight="true" outlineLevel="0" collapsed="false">
      <c r="A705" s="1"/>
      <c r="B705" s="1"/>
      <c r="C705" s="1"/>
      <c r="D705" s="1"/>
    </row>
    <row r="706" customFormat="false" ht="15.75" hidden="false" customHeight="true" outlineLevel="0" collapsed="false">
      <c r="A706" s="1"/>
      <c r="B706" s="1"/>
      <c r="C706" s="1"/>
      <c r="D706" s="1"/>
    </row>
    <row r="707" customFormat="false" ht="15.75" hidden="false" customHeight="true" outlineLevel="0" collapsed="false">
      <c r="A707" s="1"/>
      <c r="B707" s="1"/>
      <c r="C707" s="1"/>
      <c r="D707" s="1"/>
    </row>
    <row r="708" customFormat="false" ht="15.75" hidden="false" customHeight="true" outlineLevel="0" collapsed="false">
      <c r="A708" s="1"/>
      <c r="B708" s="1"/>
      <c r="C708" s="1"/>
      <c r="D708" s="1"/>
    </row>
    <row r="709" customFormat="false" ht="15.75" hidden="false" customHeight="true" outlineLevel="0" collapsed="false">
      <c r="A709" s="1"/>
      <c r="B709" s="1"/>
      <c r="C709" s="1"/>
      <c r="D709" s="1"/>
    </row>
    <row r="710" customFormat="false" ht="15.75" hidden="false" customHeight="true" outlineLevel="0" collapsed="false">
      <c r="A710" s="1"/>
      <c r="B710" s="1"/>
      <c r="C710" s="1"/>
      <c r="D710" s="1"/>
    </row>
    <row r="711" customFormat="false" ht="15.75" hidden="false" customHeight="true" outlineLevel="0" collapsed="false">
      <c r="A711" s="1"/>
      <c r="B711" s="1"/>
      <c r="C711" s="1"/>
      <c r="D711" s="1"/>
    </row>
    <row r="712" customFormat="false" ht="15.75" hidden="false" customHeight="true" outlineLevel="0" collapsed="false">
      <c r="A712" s="1"/>
      <c r="B712" s="1"/>
      <c r="C712" s="1"/>
      <c r="D712" s="1"/>
    </row>
    <row r="713" customFormat="false" ht="15.75" hidden="false" customHeight="true" outlineLevel="0" collapsed="false">
      <c r="A713" s="1"/>
      <c r="B713" s="1"/>
      <c r="C713" s="1"/>
      <c r="D713" s="1"/>
    </row>
    <row r="714" customFormat="false" ht="15.75" hidden="false" customHeight="true" outlineLevel="0" collapsed="false">
      <c r="A714" s="1"/>
      <c r="B714" s="1"/>
      <c r="C714" s="1"/>
      <c r="D714" s="1"/>
    </row>
    <row r="715" customFormat="false" ht="15.75" hidden="false" customHeight="true" outlineLevel="0" collapsed="false">
      <c r="A715" s="1"/>
      <c r="B715" s="1"/>
      <c r="C715" s="1"/>
      <c r="D715" s="1"/>
    </row>
    <row r="716" customFormat="false" ht="15.75" hidden="false" customHeight="true" outlineLevel="0" collapsed="false">
      <c r="A716" s="1"/>
      <c r="B716" s="1"/>
      <c r="C716" s="1"/>
      <c r="D716" s="1"/>
    </row>
    <row r="717" customFormat="false" ht="15.75" hidden="false" customHeight="true" outlineLevel="0" collapsed="false">
      <c r="A717" s="1"/>
      <c r="B717" s="1"/>
      <c r="C717" s="1"/>
      <c r="D717" s="1"/>
    </row>
    <row r="718" customFormat="false" ht="15.75" hidden="false" customHeight="true" outlineLevel="0" collapsed="false">
      <c r="A718" s="1"/>
      <c r="B718" s="1"/>
      <c r="C718" s="1"/>
      <c r="D718" s="1"/>
    </row>
    <row r="719" customFormat="false" ht="15.75" hidden="false" customHeight="true" outlineLevel="0" collapsed="false">
      <c r="A719" s="1"/>
      <c r="B719" s="1"/>
      <c r="C719" s="1"/>
      <c r="D719" s="1"/>
    </row>
    <row r="720" customFormat="false" ht="15.75" hidden="false" customHeight="true" outlineLevel="0" collapsed="false">
      <c r="A720" s="1"/>
      <c r="B720" s="1"/>
      <c r="C720" s="1"/>
      <c r="D720" s="1"/>
    </row>
    <row r="721" customFormat="false" ht="15.75" hidden="false" customHeight="true" outlineLevel="0" collapsed="false">
      <c r="A721" s="1"/>
      <c r="B721" s="1"/>
      <c r="C721" s="1"/>
      <c r="D721" s="1"/>
    </row>
    <row r="722" customFormat="false" ht="15.75" hidden="false" customHeight="true" outlineLevel="0" collapsed="false">
      <c r="A722" s="1"/>
      <c r="B722" s="1"/>
      <c r="C722" s="1"/>
      <c r="D722" s="1"/>
    </row>
    <row r="723" customFormat="false" ht="15.75" hidden="false" customHeight="true" outlineLevel="0" collapsed="false">
      <c r="A723" s="1"/>
      <c r="B723" s="1"/>
      <c r="C723" s="1"/>
      <c r="D723" s="1"/>
    </row>
    <row r="724" customFormat="false" ht="15.75" hidden="false" customHeight="true" outlineLevel="0" collapsed="false">
      <c r="A724" s="1"/>
      <c r="B724" s="1"/>
      <c r="C724" s="1"/>
      <c r="D724" s="1"/>
    </row>
    <row r="725" customFormat="false" ht="15.75" hidden="false" customHeight="true" outlineLevel="0" collapsed="false">
      <c r="A725" s="1"/>
      <c r="B725" s="1"/>
      <c r="C725" s="1"/>
      <c r="D725" s="1"/>
    </row>
    <row r="726" customFormat="false" ht="15.75" hidden="false" customHeight="true" outlineLevel="0" collapsed="false">
      <c r="A726" s="1"/>
      <c r="B726" s="1"/>
      <c r="C726" s="1"/>
      <c r="D726" s="1"/>
    </row>
    <row r="727" customFormat="false" ht="15.75" hidden="false" customHeight="true" outlineLevel="0" collapsed="false">
      <c r="A727" s="1"/>
      <c r="B727" s="1"/>
      <c r="C727" s="1"/>
      <c r="D727" s="1"/>
    </row>
    <row r="728" customFormat="false" ht="15.75" hidden="false" customHeight="true" outlineLevel="0" collapsed="false">
      <c r="A728" s="1"/>
      <c r="B728" s="1"/>
      <c r="C728" s="1"/>
      <c r="D728" s="1"/>
    </row>
    <row r="729" customFormat="false" ht="15.75" hidden="false" customHeight="true" outlineLevel="0" collapsed="false">
      <c r="A729" s="1"/>
      <c r="B729" s="1"/>
      <c r="C729" s="1"/>
      <c r="D729" s="1"/>
    </row>
    <row r="730" customFormat="false" ht="15.75" hidden="false" customHeight="true" outlineLevel="0" collapsed="false">
      <c r="A730" s="1"/>
      <c r="B730" s="1"/>
      <c r="C730" s="1"/>
      <c r="D730" s="1"/>
    </row>
    <row r="731" customFormat="false" ht="15.75" hidden="false" customHeight="true" outlineLevel="0" collapsed="false">
      <c r="A731" s="1"/>
      <c r="B731" s="1"/>
      <c r="C731" s="1"/>
      <c r="D731" s="1"/>
    </row>
    <row r="732" customFormat="false" ht="15.75" hidden="false" customHeight="true" outlineLevel="0" collapsed="false">
      <c r="A732" s="1"/>
      <c r="B732" s="1"/>
      <c r="C732" s="1"/>
      <c r="D732" s="1"/>
    </row>
    <row r="733" customFormat="false" ht="15.75" hidden="false" customHeight="true" outlineLevel="0" collapsed="false">
      <c r="A733" s="1"/>
      <c r="B733" s="1"/>
      <c r="C733" s="1"/>
      <c r="D733" s="1"/>
    </row>
    <row r="734" customFormat="false" ht="15.75" hidden="false" customHeight="true" outlineLevel="0" collapsed="false">
      <c r="A734" s="1"/>
      <c r="B734" s="1"/>
      <c r="C734" s="1"/>
      <c r="D734" s="1"/>
    </row>
    <row r="735" customFormat="false" ht="15.75" hidden="false" customHeight="true" outlineLevel="0" collapsed="false">
      <c r="A735" s="1"/>
      <c r="B735" s="1"/>
      <c r="C735" s="1"/>
      <c r="D735" s="1"/>
    </row>
    <row r="736" customFormat="false" ht="15.75" hidden="false" customHeight="true" outlineLevel="0" collapsed="false">
      <c r="A736" s="1"/>
      <c r="B736" s="1"/>
      <c r="C736" s="1"/>
      <c r="D736" s="1"/>
    </row>
    <row r="737" customFormat="false" ht="15.75" hidden="false" customHeight="true" outlineLevel="0" collapsed="false">
      <c r="A737" s="1"/>
      <c r="B737" s="1"/>
      <c r="C737" s="1"/>
      <c r="D737" s="1"/>
    </row>
    <row r="738" customFormat="false" ht="15.75" hidden="false" customHeight="true" outlineLevel="0" collapsed="false">
      <c r="A738" s="1"/>
      <c r="B738" s="1"/>
      <c r="C738" s="1"/>
      <c r="D738" s="1"/>
    </row>
    <row r="739" customFormat="false" ht="15.75" hidden="false" customHeight="true" outlineLevel="0" collapsed="false">
      <c r="A739" s="1"/>
      <c r="B739" s="1"/>
      <c r="C739" s="1"/>
      <c r="D739" s="1"/>
    </row>
    <row r="740" customFormat="false" ht="15.75" hidden="false" customHeight="true" outlineLevel="0" collapsed="false">
      <c r="A740" s="1"/>
      <c r="B740" s="1"/>
      <c r="C740" s="1"/>
      <c r="D740" s="1"/>
    </row>
    <row r="741" customFormat="false" ht="15.75" hidden="false" customHeight="true" outlineLevel="0" collapsed="false">
      <c r="A741" s="1"/>
      <c r="B741" s="1"/>
      <c r="C741" s="1"/>
      <c r="D741" s="1"/>
    </row>
    <row r="742" customFormat="false" ht="15.75" hidden="false" customHeight="true" outlineLevel="0" collapsed="false">
      <c r="A742" s="1"/>
      <c r="B742" s="1"/>
      <c r="C742" s="1"/>
      <c r="D742" s="1"/>
    </row>
    <row r="743" customFormat="false" ht="15.75" hidden="false" customHeight="true" outlineLevel="0" collapsed="false">
      <c r="A743" s="1"/>
      <c r="B743" s="1"/>
      <c r="C743" s="1"/>
      <c r="D743" s="1"/>
    </row>
    <row r="744" customFormat="false" ht="15.75" hidden="false" customHeight="true" outlineLevel="0" collapsed="false">
      <c r="A744" s="1"/>
      <c r="B744" s="1"/>
      <c r="C744" s="1"/>
      <c r="D744" s="1"/>
    </row>
    <row r="745" customFormat="false" ht="15.75" hidden="false" customHeight="true" outlineLevel="0" collapsed="false">
      <c r="A745" s="1"/>
      <c r="B745" s="1"/>
      <c r="C745" s="1"/>
      <c r="D745" s="1"/>
    </row>
    <row r="746" customFormat="false" ht="15.75" hidden="false" customHeight="true" outlineLevel="0" collapsed="false">
      <c r="A746" s="1"/>
      <c r="B746" s="1"/>
      <c r="C746" s="1"/>
      <c r="D746" s="1"/>
    </row>
    <row r="747" customFormat="false" ht="15.75" hidden="false" customHeight="true" outlineLevel="0" collapsed="false">
      <c r="A747" s="1"/>
      <c r="B747" s="1"/>
      <c r="C747" s="1"/>
      <c r="D747" s="1"/>
    </row>
    <row r="748" customFormat="false" ht="15.75" hidden="false" customHeight="true" outlineLevel="0" collapsed="false">
      <c r="A748" s="1"/>
      <c r="B748" s="1"/>
      <c r="C748" s="1"/>
      <c r="D748" s="1"/>
    </row>
    <row r="749" customFormat="false" ht="15.75" hidden="false" customHeight="true" outlineLevel="0" collapsed="false">
      <c r="A749" s="1"/>
      <c r="B749" s="1"/>
      <c r="C749" s="1"/>
      <c r="D749" s="1"/>
    </row>
    <row r="750" customFormat="false" ht="15.75" hidden="false" customHeight="true" outlineLevel="0" collapsed="false">
      <c r="A750" s="1"/>
      <c r="B750" s="1"/>
      <c r="C750" s="1"/>
      <c r="D750" s="1"/>
    </row>
    <row r="751" customFormat="false" ht="15.75" hidden="false" customHeight="true" outlineLevel="0" collapsed="false">
      <c r="A751" s="1"/>
      <c r="B751" s="1"/>
      <c r="C751" s="1"/>
      <c r="D751" s="1"/>
    </row>
    <row r="752" customFormat="false" ht="15.75" hidden="false" customHeight="true" outlineLevel="0" collapsed="false">
      <c r="A752" s="1"/>
      <c r="B752" s="1"/>
      <c r="C752" s="1"/>
      <c r="D752" s="1"/>
    </row>
    <row r="753" customFormat="false" ht="15.75" hidden="false" customHeight="true" outlineLevel="0" collapsed="false">
      <c r="A753" s="1"/>
      <c r="B753" s="1"/>
      <c r="C753" s="1"/>
      <c r="D753" s="1"/>
    </row>
    <row r="754" customFormat="false" ht="15.75" hidden="false" customHeight="true" outlineLevel="0" collapsed="false">
      <c r="A754" s="1"/>
      <c r="B754" s="1"/>
      <c r="C754" s="1"/>
      <c r="D754" s="1"/>
    </row>
    <row r="755" customFormat="false" ht="15.75" hidden="false" customHeight="true" outlineLevel="0" collapsed="false">
      <c r="A755" s="1"/>
      <c r="B755" s="1"/>
      <c r="C755" s="1"/>
      <c r="D755" s="1"/>
    </row>
    <row r="756" customFormat="false" ht="15.75" hidden="false" customHeight="true" outlineLevel="0" collapsed="false">
      <c r="A756" s="1"/>
      <c r="B756" s="1"/>
      <c r="C756" s="1"/>
      <c r="D756" s="1"/>
    </row>
    <row r="757" customFormat="false" ht="15.75" hidden="false" customHeight="true" outlineLevel="0" collapsed="false">
      <c r="A757" s="1"/>
      <c r="B757" s="1"/>
      <c r="C757" s="1"/>
      <c r="D757" s="1"/>
    </row>
    <row r="758" customFormat="false" ht="15.75" hidden="false" customHeight="true" outlineLevel="0" collapsed="false">
      <c r="A758" s="1"/>
      <c r="B758" s="1"/>
      <c r="C758" s="1"/>
      <c r="D758" s="1"/>
    </row>
    <row r="759" customFormat="false" ht="15.75" hidden="false" customHeight="true" outlineLevel="0" collapsed="false">
      <c r="A759" s="1"/>
      <c r="B759" s="1"/>
      <c r="C759" s="1"/>
      <c r="D759" s="1"/>
    </row>
    <row r="760" customFormat="false" ht="15.75" hidden="false" customHeight="true" outlineLevel="0" collapsed="false">
      <c r="A760" s="1"/>
      <c r="B760" s="1"/>
      <c r="C760" s="1"/>
      <c r="D760" s="1"/>
    </row>
    <row r="761" customFormat="false" ht="15.75" hidden="false" customHeight="true" outlineLevel="0" collapsed="false">
      <c r="A761" s="1"/>
      <c r="B761" s="1"/>
      <c r="C761" s="1"/>
      <c r="D761" s="1"/>
    </row>
    <row r="762" customFormat="false" ht="15.75" hidden="false" customHeight="true" outlineLevel="0" collapsed="false">
      <c r="A762" s="1"/>
      <c r="B762" s="1"/>
      <c r="C762" s="1"/>
      <c r="D762" s="1"/>
    </row>
    <row r="763" customFormat="false" ht="15.75" hidden="false" customHeight="true" outlineLevel="0" collapsed="false">
      <c r="A763" s="1"/>
      <c r="B763" s="1"/>
      <c r="C763" s="1"/>
      <c r="D763" s="1"/>
    </row>
    <row r="764" customFormat="false" ht="15.75" hidden="false" customHeight="true" outlineLevel="0" collapsed="false">
      <c r="A764" s="1"/>
      <c r="B764" s="1"/>
      <c r="C764" s="1"/>
      <c r="D764" s="1"/>
    </row>
    <row r="765" customFormat="false" ht="15.75" hidden="false" customHeight="true" outlineLevel="0" collapsed="false">
      <c r="A765" s="1"/>
      <c r="B765" s="1"/>
      <c r="C765" s="1"/>
      <c r="D765" s="1"/>
    </row>
    <row r="766" customFormat="false" ht="15.75" hidden="false" customHeight="true" outlineLevel="0" collapsed="false">
      <c r="A766" s="1"/>
      <c r="B766" s="1"/>
      <c r="C766" s="1"/>
      <c r="D766" s="1"/>
    </row>
    <row r="767" customFormat="false" ht="15.75" hidden="false" customHeight="true" outlineLevel="0" collapsed="false">
      <c r="A767" s="1"/>
      <c r="B767" s="1"/>
      <c r="C767" s="1"/>
      <c r="D767" s="1"/>
    </row>
    <row r="768" customFormat="false" ht="15.75" hidden="false" customHeight="true" outlineLevel="0" collapsed="false">
      <c r="A768" s="1"/>
      <c r="B768" s="1"/>
      <c r="C768" s="1"/>
      <c r="D768" s="1"/>
    </row>
    <row r="769" customFormat="false" ht="15.75" hidden="false" customHeight="true" outlineLevel="0" collapsed="false">
      <c r="A769" s="1"/>
      <c r="B769" s="1"/>
      <c r="C769" s="1"/>
      <c r="D769" s="1"/>
    </row>
    <row r="770" customFormat="false" ht="15.75" hidden="false" customHeight="true" outlineLevel="0" collapsed="false">
      <c r="A770" s="1"/>
      <c r="B770" s="1"/>
      <c r="C770" s="1"/>
      <c r="D770" s="1"/>
    </row>
    <row r="771" customFormat="false" ht="15.75" hidden="false" customHeight="true" outlineLevel="0" collapsed="false">
      <c r="A771" s="1"/>
      <c r="B771" s="1"/>
      <c r="C771" s="1"/>
      <c r="D771" s="1"/>
    </row>
    <row r="772" customFormat="false" ht="15.75" hidden="false" customHeight="true" outlineLevel="0" collapsed="false">
      <c r="A772" s="1"/>
      <c r="B772" s="1"/>
      <c r="C772" s="1"/>
      <c r="D772" s="1"/>
    </row>
    <row r="773" customFormat="false" ht="15.75" hidden="false" customHeight="true" outlineLevel="0" collapsed="false">
      <c r="A773" s="1"/>
      <c r="B773" s="1"/>
      <c r="C773" s="1"/>
      <c r="D773" s="1"/>
    </row>
    <row r="774" customFormat="false" ht="15.75" hidden="false" customHeight="true" outlineLevel="0" collapsed="false">
      <c r="A774" s="1"/>
      <c r="B774" s="1"/>
      <c r="C774" s="1"/>
      <c r="D774" s="1"/>
    </row>
    <row r="775" customFormat="false" ht="15.75" hidden="false" customHeight="true" outlineLevel="0" collapsed="false">
      <c r="A775" s="1"/>
      <c r="B775" s="1"/>
      <c r="C775" s="1"/>
      <c r="D775" s="1"/>
    </row>
    <row r="776" customFormat="false" ht="15.75" hidden="false" customHeight="true" outlineLevel="0" collapsed="false">
      <c r="A776" s="1"/>
      <c r="B776" s="1"/>
      <c r="C776" s="1"/>
      <c r="D776" s="1"/>
    </row>
    <row r="777" customFormat="false" ht="15.75" hidden="false" customHeight="true" outlineLevel="0" collapsed="false">
      <c r="A777" s="1"/>
      <c r="B777" s="1"/>
      <c r="C777" s="1"/>
      <c r="D777" s="1"/>
    </row>
    <row r="778" customFormat="false" ht="15.75" hidden="false" customHeight="true" outlineLevel="0" collapsed="false">
      <c r="A778" s="1"/>
      <c r="B778" s="1"/>
      <c r="C778" s="1"/>
      <c r="D778" s="1"/>
    </row>
    <row r="779" customFormat="false" ht="15.75" hidden="false" customHeight="true" outlineLevel="0" collapsed="false">
      <c r="A779" s="1"/>
      <c r="B779" s="1"/>
      <c r="C779" s="1"/>
      <c r="D779" s="1"/>
    </row>
    <row r="780" customFormat="false" ht="15.75" hidden="false" customHeight="true" outlineLevel="0" collapsed="false">
      <c r="A780" s="1"/>
      <c r="B780" s="1"/>
      <c r="C780" s="1"/>
      <c r="D780" s="1"/>
    </row>
    <row r="781" customFormat="false" ht="15.75" hidden="false" customHeight="true" outlineLevel="0" collapsed="false">
      <c r="A781" s="1"/>
      <c r="B781" s="1"/>
      <c r="C781" s="1"/>
      <c r="D781" s="1"/>
    </row>
    <row r="782" customFormat="false" ht="15.75" hidden="false" customHeight="true" outlineLevel="0" collapsed="false">
      <c r="A782" s="1"/>
      <c r="B782" s="1"/>
      <c r="C782" s="1"/>
      <c r="D782" s="1"/>
    </row>
    <row r="783" customFormat="false" ht="15.75" hidden="false" customHeight="true" outlineLevel="0" collapsed="false">
      <c r="A783" s="1"/>
      <c r="B783" s="1"/>
      <c r="C783" s="1"/>
      <c r="D783" s="1"/>
    </row>
    <row r="784" customFormat="false" ht="15.75" hidden="false" customHeight="true" outlineLevel="0" collapsed="false">
      <c r="A784" s="1"/>
      <c r="B784" s="1"/>
      <c r="C784" s="1"/>
      <c r="D784" s="1"/>
    </row>
    <row r="785" customFormat="false" ht="15.75" hidden="false" customHeight="true" outlineLevel="0" collapsed="false">
      <c r="A785" s="1"/>
      <c r="B785" s="1"/>
      <c r="C785" s="1"/>
      <c r="D785" s="1"/>
    </row>
    <row r="786" customFormat="false" ht="15.75" hidden="false" customHeight="true" outlineLevel="0" collapsed="false">
      <c r="A786" s="1"/>
      <c r="B786" s="1"/>
      <c r="C786" s="1"/>
      <c r="D786" s="1"/>
    </row>
    <row r="787" customFormat="false" ht="15.75" hidden="false" customHeight="true" outlineLevel="0" collapsed="false">
      <c r="A787" s="1"/>
      <c r="B787" s="1"/>
      <c r="C787" s="1"/>
      <c r="D787" s="1"/>
    </row>
    <row r="788" customFormat="false" ht="15.75" hidden="false" customHeight="true" outlineLevel="0" collapsed="false">
      <c r="A788" s="1"/>
      <c r="B788" s="1"/>
      <c r="C788" s="1"/>
      <c r="D788" s="1"/>
    </row>
    <row r="789" customFormat="false" ht="15.75" hidden="false" customHeight="true" outlineLevel="0" collapsed="false">
      <c r="A789" s="1"/>
      <c r="B789" s="1"/>
      <c r="C789" s="1"/>
      <c r="D789" s="1"/>
    </row>
    <row r="790" customFormat="false" ht="15.75" hidden="false" customHeight="true" outlineLevel="0" collapsed="false">
      <c r="A790" s="1"/>
      <c r="B790" s="1"/>
      <c r="C790" s="1"/>
      <c r="D790" s="1"/>
    </row>
    <row r="791" customFormat="false" ht="15.75" hidden="false" customHeight="true" outlineLevel="0" collapsed="false">
      <c r="A791" s="1"/>
      <c r="B791" s="1"/>
      <c r="C791" s="1"/>
      <c r="D791" s="1"/>
    </row>
    <row r="792" customFormat="false" ht="15.75" hidden="false" customHeight="true" outlineLevel="0" collapsed="false">
      <c r="A792" s="1"/>
      <c r="B792" s="1"/>
      <c r="C792" s="1"/>
      <c r="D792" s="1"/>
    </row>
    <row r="793" customFormat="false" ht="15.75" hidden="false" customHeight="true" outlineLevel="0" collapsed="false">
      <c r="A793" s="1"/>
      <c r="B793" s="1"/>
      <c r="C793" s="1"/>
      <c r="D793" s="1"/>
    </row>
    <row r="794" customFormat="false" ht="15.75" hidden="false" customHeight="true" outlineLevel="0" collapsed="false">
      <c r="A794" s="1"/>
      <c r="B794" s="1"/>
      <c r="C794" s="1"/>
      <c r="D794" s="1"/>
    </row>
    <row r="795" customFormat="false" ht="15.75" hidden="false" customHeight="true" outlineLevel="0" collapsed="false">
      <c r="A795" s="1"/>
      <c r="B795" s="1"/>
      <c r="C795" s="1"/>
      <c r="D795" s="1"/>
    </row>
    <row r="796" customFormat="false" ht="15.75" hidden="false" customHeight="true" outlineLevel="0" collapsed="false">
      <c r="A796" s="1"/>
      <c r="B796" s="1"/>
      <c r="C796" s="1"/>
      <c r="D796" s="1"/>
    </row>
    <row r="797" customFormat="false" ht="15.75" hidden="false" customHeight="true" outlineLevel="0" collapsed="false">
      <c r="A797" s="1"/>
      <c r="B797" s="1"/>
      <c r="C797" s="1"/>
      <c r="D797" s="1"/>
    </row>
    <row r="798" customFormat="false" ht="15.75" hidden="false" customHeight="true" outlineLevel="0" collapsed="false">
      <c r="A798" s="1"/>
      <c r="B798" s="1"/>
      <c r="C798" s="1"/>
      <c r="D798" s="1"/>
    </row>
    <row r="799" customFormat="false" ht="15.75" hidden="false" customHeight="true" outlineLevel="0" collapsed="false">
      <c r="A799" s="1"/>
      <c r="B799" s="1"/>
      <c r="C799" s="1"/>
      <c r="D799" s="1"/>
    </row>
    <row r="800" customFormat="false" ht="15.75" hidden="false" customHeight="true" outlineLevel="0" collapsed="false">
      <c r="A800" s="1"/>
      <c r="B800" s="1"/>
      <c r="C800" s="1"/>
      <c r="D800" s="1"/>
    </row>
    <row r="801" customFormat="false" ht="15.75" hidden="false" customHeight="true" outlineLevel="0" collapsed="false">
      <c r="A801" s="1"/>
      <c r="B801" s="1"/>
      <c r="C801" s="1"/>
      <c r="D801" s="1"/>
    </row>
    <row r="802" customFormat="false" ht="15.75" hidden="false" customHeight="true" outlineLevel="0" collapsed="false">
      <c r="A802" s="1"/>
      <c r="B802" s="1"/>
      <c r="C802" s="1"/>
      <c r="D802" s="1"/>
    </row>
    <row r="803" customFormat="false" ht="15.75" hidden="false" customHeight="true" outlineLevel="0" collapsed="false">
      <c r="A803" s="1"/>
      <c r="B803" s="1"/>
      <c r="C803" s="1"/>
      <c r="D803" s="1"/>
    </row>
    <row r="804" customFormat="false" ht="15.75" hidden="false" customHeight="true" outlineLevel="0" collapsed="false">
      <c r="A804" s="1"/>
      <c r="B804" s="1"/>
      <c r="C804" s="1"/>
      <c r="D804" s="1"/>
    </row>
    <row r="805" customFormat="false" ht="15.75" hidden="false" customHeight="true" outlineLevel="0" collapsed="false">
      <c r="A805" s="1"/>
      <c r="B805" s="1"/>
      <c r="C805" s="1"/>
      <c r="D805" s="1"/>
    </row>
    <row r="806" customFormat="false" ht="15.75" hidden="false" customHeight="true" outlineLevel="0" collapsed="false">
      <c r="A806" s="1"/>
      <c r="B806" s="1"/>
      <c r="C806" s="1"/>
      <c r="D806" s="1"/>
    </row>
    <row r="807" customFormat="false" ht="15.75" hidden="false" customHeight="true" outlineLevel="0" collapsed="false">
      <c r="A807" s="1"/>
      <c r="B807" s="1"/>
      <c r="C807" s="1"/>
      <c r="D807" s="1"/>
    </row>
    <row r="808" customFormat="false" ht="15.75" hidden="false" customHeight="true" outlineLevel="0" collapsed="false">
      <c r="A808" s="1"/>
      <c r="B808" s="1"/>
      <c r="C808" s="1"/>
      <c r="D808" s="1"/>
    </row>
    <row r="809" customFormat="false" ht="15.75" hidden="false" customHeight="true" outlineLevel="0" collapsed="false">
      <c r="A809" s="1"/>
      <c r="B809" s="1"/>
      <c r="C809" s="1"/>
      <c r="D809" s="1"/>
    </row>
    <row r="810" customFormat="false" ht="15.75" hidden="false" customHeight="true" outlineLevel="0" collapsed="false">
      <c r="A810" s="1"/>
      <c r="B810" s="1"/>
      <c r="C810" s="1"/>
      <c r="D810" s="1"/>
    </row>
    <row r="811" customFormat="false" ht="15.75" hidden="false" customHeight="true" outlineLevel="0" collapsed="false">
      <c r="A811" s="1"/>
      <c r="B811" s="1"/>
      <c r="C811" s="1"/>
      <c r="D811" s="1"/>
    </row>
    <row r="812" customFormat="false" ht="15.75" hidden="false" customHeight="true" outlineLevel="0" collapsed="false">
      <c r="A812" s="1"/>
      <c r="B812" s="1"/>
      <c r="C812" s="1"/>
      <c r="D812" s="1"/>
    </row>
    <row r="813" customFormat="false" ht="15.75" hidden="false" customHeight="true" outlineLevel="0" collapsed="false">
      <c r="A813" s="1"/>
      <c r="B813" s="1"/>
      <c r="C813" s="1"/>
      <c r="D813" s="1"/>
    </row>
    <row r="814" customFormat="false" ht="15.75" hidden="false" customHeight="true" outlineLevel="0" collapsed="false">
      <c r="A814" s="1"/>
      <c r="B814" s="1"/>
      <c r="C814" s="1"/>
      <c r="D814" s="1"/>
    </row>
    <row r="815" customFormat="false" ht="15.75" hidden="false" customHeight="true" outlineLevel="0" collapsed="false">
      <c r="A815" s="1"/>
      <c r="B815" s="1"/>
      <c r="C815" s="1"/>
      <c r="D815" s="1"/>
    </row>
    <row r="816" customFormat="false" ht="15.75" hidden="false" customHeight="true" outlineLevel="0" collapsed="false">
      <c r="A816" s="1"/>
      <c r="B816" s="1"/>
      <c r="C816" s="1"/>
      <c r="D816" s="1"/>
    </row>
    <row r="817" customFormat="false" ht="15.75" hidden="false" customHeight="true" outlineLevel="0" collapsed="false">
      <c r="A817" s="1"/>
      <c r="B817" s="1"/>
      <c r="C817" s="1"/>
      <c r="D817" s="1"/>
    </row>
    <row r="818" customFormat="false" ht="15.75" hidden="false" customHeight="true" outlineLevel="0" collapsed="false">
      <c r="A818" s="1"/>
      <c r="B818" s="1"/>
      <c r="C818" s="1"/>
      <c r="D818" s="1"/>
    </row>
    <row r="819" customFormat="false" ht="15.75" hidden="false" customHeight="true" outlineLevel="0" collapsed="false">
      <c r="A819" s="1"/>
      <c r="B819" s="1"/>
      <c r="C819" s="1"/>
      <c r="D819" s="1"/>
    </row>
    <row r="820" customFormat="false" ht="15.75" hidden="false" customHeight="true" outlineLevel="0" collapsed="false">
      <c r="A820" s="1"/>
      <c r="B820" s="1"/>
      <c r="C820" s="1"/>
      <c r="D820" s="1"/>
    </row>
    <row r="821" customFormat="false" ht="15.75" hidden="false" customHeight="true" outlineLevel="0" collapsed="false">
      <c r="A821" s="1"/>
      <c r="B821" s="1"/>
      <c r="C821" s="1"/>
      <c r="D821" s="1"/>
    </row>
    <row r="822" customFormat="false" ht="15.75" hidden="false" customHeight="true" outlineLevel="0" collapsed="false">
      <c r="A822" s="1"/>
      <c r="B822" s="1"/>
      <c r="C822" s="1"/>
      <c r="D822" s="1"/>
    </row>
    <row r="823" customFormat="false" ht="15.75" hidden="false" customHeight="true" outlineLevel="0" collapsed="false">
      <c r="A823" s="1"/>
      <c r="B823" s="1"/>
      <c r="C823" s="1"/>
      <c r="D823" s="1"/>
    </row>
    <row r="824" customFormat="false" ht="15.75" hidden="false" customHeight="true" outlineLevel="0" collapsed="false">
      <c r="A824" s="1"/>
      <c r="B824" s="1"/>
      <c r="C824" s="1"/>
      <c r="D824" s="1"/>
    </row>
    <row r="825" customFormat="false" ht="15.75" hidden="false" customHeight="true" outlineLevel="0" collapsed="false">
      <c r="A825" s="1"/>
      <c r="B825" s="1"/>
      <c r="C825" s="1"/>
      <c r="D825" s="1"/>
    </row>
    <row r="826" customFormat="false" ht="15.75" hidden="false" customHeight="true" outlineLevel="0" collapsed="false">
      <c r="A826" s="1"/>
      <c r="B826" s="1"/>
      <c r="C826" s="1"/>
      <c r="D826" s="1"/>
    </row>
    <row r="827" customFormat="false" ht="15.75" hidden="false" customHeight="true" outlineLevel="0" collapsed="false">
      <c r="A827" s="1"/>
      <c r="B827" s="1"/>
      <c r="C827" s="1"/>
      <c r="D827" s="1"/>
    </row>
    <row r="828" customFormat="false" ht="15.75" hidden="false" customHeight="true" outlineLevel="0" collapsed="false">
      <c r="A828" s="1"/>
      <c r="B828" s="1"/>
      <c r="C828" s="1"/>
      <c r="D828" s="1"/>
    </row>
    <row r="829" customFormat="false" ht="15.75" hidden="false" customHeight="true" outlineLevel="0" collapsed="false">
      <c r="A829" s="1"/>
      <c r="B829" s="1"/>
      <c r="C829" s="1"/>
      <c r="D829" s="1"/>
    </row>
    <row r="830" customFormat="false" ht="15.75" hidden="false" customHeight="true" outlineLevel="0" collapsed="false">
      <c r="A830" s="1"/>
      <c r="B830" s="1"/>
      <c r="C830" s="1"/>
      <c r="D830" s="1"/>
    </row>
    <row r="831" customFormat="false" ht="15.75" hidden="false" customHeight="true" outlineLevel="0" collapsed="false">
      <c r="A831" s="1"/>
      <c r="B831" s="1"/>
      <c r="C831" s="1"/>
      <c r="D831" s="1"/>
    </row>
    <row r="832" customFormat="false" ht="15.75" hidden="false" customHeight="true" outlineLevel="0" collapsed="false">
      <c r="A832" s="1"/>
      <c r="B832" s="1"/>
      <c r="C832" s="1"/>
      <c r="D832" s="1"/>
    </row>
    <row r="833" customFormat="false" ht="15.75" hidden="false" customHeight="true" outlineLevel="0" collapsed="false">
      <c r="A833" s="1"/>
      <c r="B833" s="1"/>
      <c r="C833" s="1"/>
      <c r="D833" s="1"/>
    </row>
    <row r="834" customFormat="false" ht="15.75" hidden="false" customHeight="true" outlineLevel="0" collapsed="false">
      <c r="A834" s="1"/>
      <c r="B834" s="1"/>
      <c r="C834" s="1"/>
      <c r="D834" s="1"/>
    </row>
    <row r="835" customFormat="false" ht="15.75" hidden="false" customHeight="true" outlineLevel="0" collapsed="false">
      <c r="A835" s="1"/>
      <c r="B835" s="1"/>
      <c r="C835" s="1"/>
      <c r="D835" s="1"/>
    </row>
    <row r="836" customFormat="false" ht="15.75" hidden="false" customHeight="true" outlineLevel="0" collapsed="false">
      <c r="A836" s="1"/>
      <c r="B836" s="1"/>
      <c r="C836" s="1"/>
      <c r="D836" s="1"/>
    </row>
    <row r="837" customFormat="false" ht="15.75" hidden="false" customHeight="true" outlineLevel="0" collapsed="false">
      <c r="A837" s="1"/>
      <c r="B837" s="1"/>
      <c r="C837" s="1"/>
      <c r="D837" s="1"/>
    </row>
    <row r="838" customFormat="false" ht="15.75" hidden="false" customHeight="true" outlineLevel="0" collapsed="false">
      <c r="A838" s="1"/>
      <c r="B838" s="1"/>
      <c r="C838" s="1"/>
      <c r="D838" s="1"/>
    </row>
    <row r="839" customFormat="false" ht="15.75" hidden="false" customHeight="true" outlineLevel="0" collapsed="false">
      <c r="A839" s="1"/>
      <c r="B839" s="1"/>
      <c r="C839" s="1"/>
      <c r="D839" s="1"/>
    </row>
    <row r="840" customFormat="false" ht="15.75" hidden="false" customHeight="true" outlineLevel="0" collapsed="false">
      <c r="A840" s="1"/>
      <c r="B840" s="1"/>
      <c r="C840" s="1"/>
      <c r="D840" s="1"/>
    </row>
    <row r="841" customFormat="false" ht="15.75" hidden="false" customHeight="true" outlineLevel="0" collapsed="false">
      <c r="A841" s="1"/>
      <c r="B841" s="1"/>
      <c r="C841" s="1"/>
      <c r="D841" s="1"/>
    </row>
    <row r="842" customFormat="false" ht="15.75" hidden="false" customHeight="true" outlineLevel="0" collapsed="false">
      <c r="A842" s="1"/>
      <c r="B842" s="1"/>
      <c r="C842" s="1"/>
      <c r="D842" s="1"/>
    </row>
    <row r="843" customFormat="false" ht="15.75" hidden="false" customHeight="true" outlineLevel="0" collapsed="false">
      <c r="A843" s="1"/>
      <c r="B843" s="1"/>
      <c r="C843" s="1"/>
      <c r="D843" s="1"/>
    </row>
    <row r="844" customFormat="false" ht="15.75" hidden="false" customHeight="true" outlineLevel="0" collapsed="false">
      <c r="A844" s="1"/>
      <c r="B844" s="1"/>
      <c r="C844" s="1"/>
      <c r="D844" s="1"/>
    </row>
    <row r="845" customFormat="false" ht="15.75" hidden="false" customHeight="true" outlineLevel="0" collapsed="false">
      <c r="A845" s="1"/>
      <c r="B845" s="1"/>
      <c r="C845" s="1"/>
      <c r="D845" s="1"/>
    </row>
    <row r="846" customFormat="false" ht="15.75" hidden="false" customHeight="true" outlineLevel="0" collapsed="false">
      <c r="A846" s="1"/>
      <c r="B846" s="1"/>
      <c r="C846" s="1"/>
      <c r="D846" s="1"/>
    </row>
    <row r="847" customFormat="false" ht="15.75" hidden="false" customHeight="true" outlineLevel="0" collapsed="false">
      <c r="A847" s="1"/>
      <c r="B847" s="1"/>
      <c r="C847" s="1"/>
      <c r="D847" s="1"/>
    </row>
    <row r="848" customFormat="false" ht="15.75" hidden="false" customHeight="true" outlineLevel="0" collapsed="false">
      <c r="A848" s="1"/>
      <c r="B848" s="1"/>
      <c r="C848" s="1"/>
      <c r="D848" s="1"/>
    </row>
    <row r="849" customFormat="false" ht="15.75" hidden="false" customHeight="true" outlineLevel="0" collapsed="false">
      <c r="A849" s="1"/>
      <c r="B849" s="1"/>
      <c r="C849" s="1"/>
      <c r="D849" s="1"/>
    </row>
    <row r="850" customFormat="false" ht="15.75" hidden="false" customHeight="true" outlineLevel="0" collapsed="false">
      <c r="A850" s="1"/>
      <c r="B850" s="1"/>
      <c r="C850" s="1"/>
      <c r="D850" s="1"/>
    </row>
    <row r="851" customFormat="false" ht="15.75" hidden="false" customHeight="true" outlineLevel="0" collapsed="false">
      <c r="A851" s="1"/>
      <c r="B851" s="1"/>
      <c r="C851" s="1"/>
      <c r="D851" s="1"/>
    </row>
    <row r="852" customFormat="false" ht="15.75" hidden="false" customHeight="true" outlineLevel="0" collapsed="false">
      <c r="A852" s="1"/>
      <c r="B852" s="1"/>
      <c r="C852" s="1"/>
      <c r="D852" s="1"/>
    </row>
    <row r="853" customFormat="false" ht="15.75" hidden="false" customHeight="true" outlineLevel="0" collapsed="false">
      <c r="A853" s="1"/>
      <c r="B853" s="1"/>
      <c r="C853" s="1"/>
      <c r="D853" s="1"/>
    </row>
    <row r="854" customFormat="false" ht="15.75" hidden="false" customHeight="true" outlineLevel="0" collapsed="false">
      <c r="A854" s="1"/>
      <c r="B854" s="1"/>
      <c r="C854" s="1"/>
      <c r="D854" s="1"/>
    </row>
    <row r="855" customFormat="false" ht="15.75" hidden="false" customHeight="true" outlineLevel="0" collapsed="false">
      <c r="A855" s="1"/>
      <c r="B855" s="1"/>
      <c r="C855" s="1"/>
      <c r="D855" s="1"/>
    </row>
    <row r="856" customFormat="false" ht="15.75" hidden="false" customHeight="true" outlineLevel="0" collapsed="false">
      <c r="A856" s="1"/>
      <c r="B856" s="1"/>
      <c r="C856" s="1"/>
      <c r="D856" s="1"/>
    </row>
    <row r="857" customFormat="false" ht="15.75" hidden="false" customHeight="true" outlineLevel="0" collapsed="false">
      <c r="A857" s="1"/>
      <c r="B857" s="1"/>
      <c r="C857" s="1"/>
      <c r="D857" s="1"/>
    </row>
    <row r="858" customFormat="false" ht="15.75" hidden="false" customHeight="true" outlineLevel="0" collapsed="false">
      <c r="A858" s="1"/>
      <c r="B858" s="1"/>
      <c r="C858" s="1"/>
      <c r="D858" s="1"/>
    </row>
    <row r="859" customFormat="false" ht="15.75" hidden="false" customHeight="true" outlineLevel="0" collapsed="false">
      <c r="A859" s="1"/>
      <c r="B859" s="1"/>
      <c r="C859" s="1"/>
      <c r="D859" s="1"/>
    </row>
    <row r="860" customFormat="false" ht="15.75" hidden="false" customHeight="true" outlineLevel="0" collapsed="false">
      <c r="A860" s="1"/>
      <c r="B860" s="1"/>
      <c r="C860" s="1"/>
      <c r="D860" s="1"/>
    </row>
    <row r="861" customFormat="false" ht="15.75" hidden="false" customHeight="true" outlineLevel="0" collapsed="false">
      <c r="A861" s="1"/>
      <c r="B861" s="1"/>
      <c r="C861" s="1"/>
      <c r="D861" s="1"/>
    </row>
    <row r="862" customFormat="false" ht="15.75" hidden="false" customHeight="true" outlineLevel="0" collapsed="false">
      <c r="A862" s="1"/>
      <c r="B862" s="1"/>
      <c r="C862" s="1"/>
      <c r="D862" s="1"/>
    </row>
    <row r="863" customFormat="false" ht="15.75" hidden="false" customHeight="true" outlineLevel="0" collapsed="false">
      <c r="A863" s="1"/>
      <c r="B863" s="1"/>
      <c r="C863" s="1"/>
      <c r="D863" s="1"/>
    </row>
    <row r="864" customFormat="false" ht="15.75" hidden="false" customHeight="true" outlineLevel="0" collapsed="false">
      <c r="A864" s="1"/>
      <c r="B864" s="1"/>
      <c r="C864" s="1"/>
      <c r="D864" s="1"/>
    </row>
    <row r="865" customFormat="false" ht="15.75" hidden="false" customHeight="true" outlineLevel="0" collapsed="false">
      <c r="A865" s="1"/>
      <c r="B865" s="1"/>
      <c r="C865" s="1"/>
      <c r="D865" s="1"/>
    </row>
    <row r="866" customFormat="false" ht="15.75" hidden="false" customHeight="true" outlineLevel="0" collapsed="false">
      <c r="A866" s="1"/>
      <c r="B866" s="1"/>
      <c r="C866" s="1"/>
      <c r="D866" s="1"/>
    </row>
    <row r="867" customFormat="false" ht="15.75" hidden="false" customHeight="true" outlineLevel="0" collapsed="false">
      <c r="A867" s="1"/>
      <c r="B867" s="1"/>
      <c r="C867" s="1"/>
      <c r="D867" s="1"/>
    </row>
    <row r="868" customFormat="false" ht="15.75" hidden="false" customHeight="true" outlineLevel="0" collapsed="false">
      <c r="A868" s="1"/>
      <c r="B868" s="1"/>
      <c r="C868" s="1"/>
      <c r="D868" s="1"/>
    </row>
    <row r="869" customFormat="false" ht="15.75" hidden="false" customHeight="true" outlineLevel="0" collapsed="false">
      <c r="A869" s="1"/>
      <c r="B869" s="1"/>
      <c r="C869" s="1"/>
      <c r="D869" s="1"/>
    </row>
    <row r="870" customFormat="false" ht="15.75" hidden="false" customHeight="true" outlineLevel="0" collapsed="false">
      <c r="A870" s="1"/>
      <c r="B870" s="1"/>
      <c r="C870" s="1"/>
      <c r="D870" s="1"/>
    </row>
    <row r="871" customFormat="false" ht="15.75" hidden="false" customHeight="true" outlineLevel="0" collapsed="false">
      <c r="A871" s="1"/>
      <c r="B871" s="1"/>
      <c r="C871" s="1"/>
      <c r="D871" s="1"/>
    </row>
    <row r="872" customFormat="false" ht="15.75" hidden="false" customHeight="true" outlineLevel="0" collapsed="false">
      <c r="A872" s="1"/>
      <c r="B872" s="1"/>
      <c r="C872" s="1"/>
      <c r="D872" s="1"/>
    </row>
    <row r="873" customFormat="false" ht="15.75" hidden="false" customHeight="true" outlineLevel="0" collapsed="false">
      <c r="A873" s="1"/>
      <c r="B873" s="1"/>
      <c r="C873" s="1"/>
      <c r="D873" s="1"/>
    </row>
    <row r="874" customFormat="false" ht="15.75" hidden="false" customHeight="true" outlineLevel="0" collapsed="false">
      <c r="A874" s="1"/>
      <c r="B874" s="1"/>
      <c r="C874" s="1"/>
      <c r="D874" s="1"/>
    </row>
    <row r="875" customFormat="false" ht="15.75" hidden="false" customHeight="true" outlineLevel="0" collapsed="false">
      <c r="A875" s="1"/>
      <c r="B875" s="1"/>
      <c r="C875" s="1"/>
      <c r="D875" s="1"/>
    </row>
    <row r="876" customFormat="false" ht="15.75" hidden="false" customHeight="true" outlineLevel="0" collapsed="false">
      <c r="A876" s="1"/>
      <c r="B876" s="1"/>
      <c r="C876" s="1"/>
      <c r="D876" s="1"/>
    </row>
    <row r="877" customFormat="false" ht="15.75" hidden="false" customHeight="true" outlineLevel="0" collapsed="false">
      <c r="A877" s="1"/>
      <c r="B877" s="1"/>
      <c r="C877" s="1"/>
      <c r="D877" s="1"/>
    </row>
    <row r="878" customFormat="false" ht="15.75" hidden="false" customHeight="true" outlineLevel="0" collapsed="false">
      <c r="A878" s="1"/>
      <c r="B878" s="1"/>
      <c r="C878" s="1"/>
      <c r="D878" s="1"/>
    </row>
    <row r="879" customFormat="false" ht="15.75" hidden="false" customHeight="true" outlineLevel="0" collapsed="false">
      <c r="A879" s="1"/>
      <c r="B879" s="1"/>
      <c r="C879" s="1"/>
      <c r="D879" s="1"/>
    </row>
    <row r="880" customFormat="false" ht="15.75" hidden="false" customHeight="true" outlineLevel="0" collapsed="false">
      <c r="A880" s="1"/>
      <c r="B880" s="1"/>
      <c r="C880" s="1"/>
      <c r="D880" s="1"/>
    </row>
    <row r="881" customFormat="false" ht="15.75" hidden="false" customHeight="true" outlineLevel="0" collapsed="false">
      <c r="A881" s="1"/>
      <c r="B881" s="1"/>
      <c r="C881" s="1"/>
      <c r="D881" s="1"/>
    </row>
    <row r="882" customFormat="false" ht="15.75" hidden="false" customHeight="true" outlineLevel="0" collapsed="false">
      <c r="A882" s="1"/>
      <c r="B882" s="1"/>
      <c r="C882" s="1"/>
      <c r="D882" s="1"/>
    </row>
    <row r="883" customFormat="false" ht="15.75" hidden="false" customHeight="true" outlineLevel="0" collapsed="false">
      <c r="A883" s="1"/>
      <c r="B883" s="1"/>
      <c r="C883" s="1"/>
      <c r="D883" s="1"/>
    </row>
    <row r="884" customFormat="false" ht="15.75" hidden="false" customHeight="true" outlineLevel="0" collapsed="false">
      <c r="A884" s="1"/>
      <c r="B884" s="1"/>
      <c r="C884" s="1"/>
      <c r="D884" s="1"/>
    </row>
    <row r="885" customFormat="false" ht="15.75" hidden="false" customHeight="true" outlineLevel="0" collapsed="false">
      <c r="A885" s="1"/>
      <c r="B885" s="1"/>
      <c r="C885" s="1"/>
      <c r="D885" s="1"/>
    </row>
    <row r="886" customFormat="false" ht="15.75" hidden="false" customHeight="true" outlineLevel="0" collapsed="false">
      <c r="A886" s="1"/>
      <c r="B886" s="1"/>
      <c r="C886" s="1"/>
      <c r="D886" s="1"/>
    </row>
    <row r="887" customFormat="false" ht="15.75" hidden="false" customHeight="true" outlineLevel="0" collapsed="false">
      <c r="A887" s="1"/>
      <c r="B887" s="1"/>
      <c r="C887" s="1"/>
      <c r="D887" s="1"/>
    </row>
    <row r="888" customFormat="false" ht="15.75" hidden="false" customHeight="true" outlineLevel="0" collapsed="false">
      <c r="A888" s="1"/>
      <c r="B888" s="1"/>
      <c r="C888" s="1"/>
      <c r="D888" s="1"/>
    </row>
    <row r="889" customFormat="false" ht="15.75" hidden="false" customHeight="true" outlineLevel="0" collapsed="false">
      <c r="A889" s="1"/>
      <c r="B889" s="1"/>
      <c r="C889" s="1"/>
      <c r="D889" s="1"/>
    </row>
    <row r="890" customFormat="false" ht="15.75" hidden="false" customHeight="true" outlineLevel="0" collapsed="false">
      <c r="A890" s="1"/>
      <c r="B890" s="1"/>
      <c r="C890" s="1"/>
      <c r="D890" s="1"/>
    </row>
    <row r="891" customFormat="false" ht="15.75" hidden="false" customHeight="true" outlineLevel="0" collapsed="false">
      <c r="A891" s="1"/>
      <c r="B891" s="1"/>
      <c r="C891" s="1"/>
      <c r="D891" s="1"/>
    </row>
    <row r="892" customFormat="false" ht="15.75" hidden="false" customHeight="true" outlineLevel="0" collapsed="false">
      <c r="A892" s="1"/>
      <c r="B892" s="1"/>
      <c r="C892" s="1"/>
      <c r="D892" s="1"/>
    </row>
    <row r="893" customFormat="false" ht="15.75" hidden="false" customHeight="true" outlineLevel="0" collapsed="false">
      <c r="A893" s="1"/>
      <c r="B893" s="1"/>
      <c r="C893" s="1"/>
      <c r="D893" s="1"/>
    </row>
    <row r="894" customFormat="false" ht="15.75" hidden="false" customHeight="true" outlineLevel="0" collapsed="false">
      <c r="A894" s="1"/>
      <c r="B894" s="1"/>
      <c r="C894" s="1"/>
      <c r="D894" s="1"/>
    </row>
    <row r="895" customFormat="false" ht="15.75" hidden="false" customHeight="true" outlineLevel="0" collapsed="false">
      <c r="A895" s="1"/>
      <c r="B895" s="1"/>
      <c r="C895" s="1"/>
      <c r="D895" s="1"/>
    </row>
    <row r="896" customFormat="false" ht="15.75" hidden="false" customHeight="true" outlineLevel="0" collapsed="false">
      <c r="A896" s="1"/>
      <c r="B896" s="1"/>
      <c r="C896" s="1"/>
      <c r="D896" s="1"/>
    </row>
    <row r="897" customFormat="false" ht="15.75" hidden="false" customHeight="true" outlineLevel="0" collapsed="false">
      <c r="A897" s="1"/>
      <c r="B897" s="1"/>
      <c r="C897" s="1"/>
      <c r="D897" s="1"/>
    </row>
    <row r="898" customFormat="false" ht="15.75" hidden="false" customHeight="true" outlineLevel="0" collapsed="false">
      <c r="A898" s="1"/>
      <c r="B898" s="1"/>
      <c r="C898" s="1"/>
      <c r="D898" s="1"/>
    </row>
    <row r="899" customFormat="false" ht="15.75" hidden="false" customHeight="true" outlineLevel="0" collapsed="false">
      <c r="A899" s="1"/>
      <c r="B899" s="1"/>
      <c r="C899" s="1"/>
      <c r="D899" s="1"/>
    </row>
    <row r="900" customFormat="false" ht="15.75" hidden="false" customHeight="true" outlineLevel="0" collapsed="false">
      <c r="A900" s="1"/>
      <c r="B900" s="1"/>
      <c r="C900" s="1"/>
      <c r="D900" s="1"/>
    </row>
    <row r="901" customFormat="false" ht="15.75" hidden="false" customHeight="true" outlineLevel="0" collapsed="false">
      <c r="A901" s="1"/>
      <c r="B901" s="1"/>
      <c r="C901" s="1"/>
      <c r="D901" s="1"/>
    </row>
    <row r="902" customFormat="false" ht="15.75" hidden="false" customHeight="true" outlineLevel="0" collapsed="false">
      <c r="A902" s="1"/>
      <c r="B902" s="1"/>
      <c r="C902" s="1"/>
      <c r="D902" s="1"/>
    </row>
    <row r="903" customFormat="false" ht="15.75" hidden="false" customHeight="true" outlineLevel="0" collapsed="false">
      <c r="A903" s="1"/>
      <c r="B903" s="1"/>
      <c r="C903" s="1"/>
      <c r="D903" s="1"/>
    </row>
    <row r="904" customFormat="false" ht="15.75" hidden="false" customHeight="true" outlineLevel="0" collapsed="false">
      <c r="A904" s="1"/>
      <c r="B904" s="1"/>
      <c r="C904" s="1"/>
      <c r="D904" s="1"/>
    </row>
    <row r="905" customFormat="false" ht="15.75" hidden="false" customHeight="true" outlineLevel="0" collapsed="false">
      <c r="A905" s="1"/>
      <c r="B905" s="1"/>
      <c r="C905" s="1"/>
      <c r="D905" s="1"/>
    </row>
    <row r="906" customFormat="false" ht="15.75" hidden="false" customHeight="true" outlineLevel="0" collapsed="false">
      <c r="A906" s="1"/>
      <c r="B906" s="1"/>
      <c r="C906" s="1"/>
      <c r="D906" s="1"/>
    </row>
    <row r="907" customFormat="false" ht="15.75" hidden="false" customHeight="true" outlineLevel="0" collapsed="false">
      <c r="A907" s="1"/>
      <c r="B907" s="1"/>
      <c r="C907" s="1"/>
      <c r="D907" s="1"/>
    </row>
    <row r="908" customFormat="false" ht="15.75" hidden="false" customHeight="true" outlineLevel="0" collapsed="false">
      <c r="A908" s="1"/>
      <c r="B908" s="1"/>
      <c r="C908" s="1"/>
      <c r="D908" s="1"/>
    </row>
    <row r="909" customFormat="false" ht="15.75" hidden="false" customHeight="true" outlineLevel="0" collapsed="false">
      <c r="A909" s="1"/>
      <c r="B909" s="1"/>
      <c r="C909" s="1"/>
      <c r="D909" s="1"/>
    </row>
    <row r="910" customFormat="false" ht="15.75" hidden="false" customHeight="true" outlineLevel="0" collapsed="false">
      <c r="A910" s="1"/>
      <c r="B910" s="1"/>
      <c r="C910" s="1"/>
      <c r="D910" s="1"/>
    </row>
    <row r="911" customFormat="false" ht="15.75" hidden="false" customHeight="true" outlineLevel="0" collapsed="false">
      <c r="A911" s="1"/>
      <c r="B911" s="1"/>
      <c r="C911" s="1"/>
      <c r="D911" s="1"/>
    </row>
    <row r="912" customFormat="false" ht="15.75" hidden="false" customHeight="true" outlineLevel="0" collapsed="false">
      <c r="A912" s="1"/>
      <c r="B912" s="1"/>
      <c r="C912" s="1"/>
      <c r="D912" s="1"/>
    </row>
    <row r="913" customFormat="false" ht="15.75" hidden="false" customHeight="true" outlineLevel="0" collapsed="false">
      <c r="A913" s="1"/>
      <c r="B913" s="1"/>
      <c r="C913" s="1"/>
      <c r="D913" s="1"/>
    </row>
    <row r="914" customFormat="false" ht="15.75" hidden="false" customHeight="true" outlineLevel="0" collapsed="false">
      <c r="A914" s="1"/>
      <c r="B914" s="1"/>
      <c r="C914" s="1"/>
      <c r="D914" s="1"/>
    </row>
    <row r="915" customFormat="false" ht="15.75" hidden="false" customHeight="true" outlineLevel="0" collapsed="false">
      <c r="A915" s="1"/>
      <c r="B915" s="1"/>
      <c r="C915" s="1"/>
      <c r="D915" s="1"/>
    </row>
    <row r="916" customFormat="false" ht="15.75" hidden="false" customHeight="true" outlineLevel="0" collapsed="false">
      <c r="A916" s="1"/>
      <c r="B916" s="1"/>
      <c r="C916" s="1"/>
      <c r="D916" s="1"/>
    </row>
    <row r="917" customFormat="false" ht="15.75" hidden="false" customHeight="true" outlineLevel="0" collapsed="false">
      <c r="A917" s="1"/>
      <c r="B917" s="1"/>
      <c r="C917" s="1"/>
      <c r="D917" s="1"/>
    </row>
    <row r="918" customFormat="false" ht="15.75" hidden="false" customHeight="true" outlineLevel="0" collapsed="false">
      <c r="A918" s="1"/>
      <c r="B918" s="1"/>
      <c r="C918" s="1"/>
      <c r="D918" s="1"/>
    </row>
    <row r="919" customFormat="false" ht="15.75" hidden="false" customHeight="true" outlineLevel="0" collapsed="false">
      <c r="A919" s="1"/>
      <c r="B919" s="1"/>
      <c r="C919" s="1"/>
      <c r="D919" s="1"/>
    </row>
    <row r="920" customFormat="false" ht="15.75" hidden="false" customHeight="true" outlineLevel="0" collapsed="false">
      <c r="A920" s="1"/>
      <c r="B920" s="1"/>
      <c r="C920" s="1"/>
      <c r="D920" s="1"/>
    </row>
    <row r="921" customFormat="false" ht="15.75" hidden="false" customHeight="true" outlineLevel="0" collapsed="false">
      <c r="A921" s="1"/>
      <c r="B921" s="1"/>
      <c r="C921" s="1"/>
      <c r="D921" s="1"/>
    </row>
    <row r="922" customFormat="false" ht="15.75" hidden="false" customHeight="true" outlineLevel="0" collapsed="false">
      <c r="A922" s="1"/>
      <c r="B922" s="1"/>
      <c r="C922" s="1"/>
      <c r="D922" s="1"/>
    </row>
    <row r="923" customFormat="false" ht="15.75" hidden="false" customHeight="true" outlineLevel="0" collapsed="false">
      <c r="A923" s="1"/>
      <c r="B923" s="1"/>
      <c r="C923" s="1"/>
      <c r="D923" s="1"/>
    </row>
    <row r="924" customFormat="false" ht="15.75" hidden="false" customHeight="true" outlineLevel="0" collapsed="false">
      <c r="A924" s="1"/>
      <c r="B924" s="1"/>
      <c r="C924" s="1"/>
      <c r="D924" s="1"/>
    </row>
    <row r="925" customFormat="false" ht="15.75" hidden="false" customHeight="true" outlineLevel="0" collapsed="false">
      <c r="A925" s="1"/>
      <c r="B925" s="1"/>
      <c r="C925" s="1"/>
      <c r="D925" s="1"/>
    </row>
    <row r="926" customFormat="false" ht="15.75" hidden="false" customHeight="true" outlineLevel="0" collapsed="false">
      <c r="A926" s="1"/>
      <c r="B926" s="1"/>
      <c r="C926" s="1"/>
      <c r="D926" s="1"/>
    </row>
    <row r="927" customFormat="false" ht="15.75" hidden="false" customHeight="true" outlineLevel="0" collapsed="false">
      <c r="A927" s="1"/>
      <c r="B927" s="1"/>
      <c r="C927" s="1"/>
      <c r="D927" s="1"/>
    </row>
    <row r="928" customFormat="false" ht="15.75" hidden="false" customHeight="true" outlineLevel="0" collapsed="false">
      <c r="A928" s="1"/>
      <c r="B928" s="1"/>
      <c r="C928" s="1"/>
      <c r="D928" s="1"/>
    </row>
    <row r="929" customFormat="false" ht="15.75" hidden="false" customHeight="true" outlineLevel="0" collapsed="false">
      <c r="A929" s="1"/>
      <c r="B929" s="1"/>
      <c r="C929" s="1"/>
      <c r="D929" s="1"/>
    </row>
    <row r="930" customFormat="false" ht="15.75" hidden="false" customHeight="true" outlineLevel="0" collapsed="false">
      <c r="A930" s="1"/>
      <c r="B930" s="1"/>
      <c r="C930" s="1"/>
      <c r="D930" s="1"/>
    </row>
    <row r="931" customFormat="false" ht="15.75" hidden="false" customHeight="true" outlineLevel="0" collapsed="false">
      <c r="A931" s="1"/>
      <c r="B931" s="1"/>
      <c r="C931" s="1"/>
      <c r="D931" s="1"/>
    </row>
    <row r="932" customFormat="false" ht="15.75" hidden="false" customHeight="true" outlineLevel="0" collapsed="false">
      <c r="A932" s="1"/>
      <c r="B932" s="1"/>
      <c r="C932" s="1"/>
      <c r="D932" s="1"/>
    </row>
    <row r="933" customFormat="false" ht="15.75" hidden="false" customHeight="true" outlineLevel="0" collapsed="false">
      <c r="A933" s="1"/>
      <c r="B933" s="1"/>
      <c r="C933" s="1"/>
      <c r="D933" s="1"/>
    </row>
    <row r="934" customFormat="false" ht="15.75" hidden="false" customHeight="true" outlineLevel="0" collapsed="false">
      <c r="A934" s="1"/>
      <c r="B934" s="1"/>
      <c r="C934" s="1"/>
      <c r="D934" s="1"/>
    </row>
    <row r="935" customFormat="false" ht="15.75" hidden="false" customHeight="true" outlineLevel="0" collapsed="false">
      <c r="A935" s="1"/>
      <c r="B935" s="1"/>
      <c r="C935" s="1"/>
      <c r="D935" s="1"/>
    </row>
    <row r="936" customFormat="false" ht="15.75" hidden="false" customHeight="true" outlineLevel="0" collapsed="false">
      <c r="A936" s="1"/>
      <c r="B936" s="1"/>
      <c r="C936" s="1"/>
      <c r="D936" s="1"/>
    </row>
    <row r="937" customFormat="false" ht="15.75" hidden="false" customHeight="true" outlineLevel="0" collapsed="false">
      <c r="A937" s="1"/>
      <c r="B937" s="1"/>
      <c r="C937" s="1"/>
      <c r="D937" s="1"/>
    </row>
    <row r="938" customFormat="false" ht="15.75" hidden="false" customHeight="true" outlineLevel="0" collapsed="false">
      <c r="A938" s="1"/>
      <c r="B938" s="1"/>
      <c r="C938" s="1"/>
      <c r="D938" s="1"/>
    </row>
    <row r="939" customFormat="false" ht="15.75" hidden="false" customHeight="true" outlineLevel="0" collapsed="false">
      <c r="A939" s="1"/>
      <c r="B939" s="1"/>
      <c r="C939" s="1"/>
      <c r="D939" s="1"/>
    </row>
    <row r="940" customFormat="false" ht="15.75" hidden="false" customHeight="true" outlineLevel="0" collapsed="false">
      <c r="A940" s="1"/>
      <c r="B940" s="1"/>
      <c r="C940" s="1"/>
      <c r="D940" s="1"/>
    </row>
    <row r="941" customFormat="false" ht="15.75" hidden="false" customHeight="true" outlineLevel="0" collapsed="false">
      <c r="A941" s="1"/>
      <c r="B941" s="1"/>
      <c r="C941" s="1"/>
      <c r="D941" s="1"/>
    </row>
    <row r="942" customFormat="false" ht="15.75" hidden="false" customHeight="true" outlineLevel="0" collapsed="false">
      <c r="A942" s="1"/>
      <c r="B942" s="1"/>
      <c r="C942" s="1"/>
      <c r="D942" s="1"/>
    </row>
    <row r="943" customFormat="false" ht="15.75" hidden="false" customHeight="true" outlineLevel="0" collapsed="false">
      <c r="A943" s="1"/>
      <c r="B943" s="1"/>
      <c r="C943" s="1"/>
      <c r="D943" s="1"/>
    </row>
    <row r="944" customFormat="false" ht="15.75" hidden="false" customHeight="true" outlineLevel="0" collapsed="false">
      <c r="A944" s="1"/>
      <c r="B944" s="1"/>
      <c r="C944" s="1"/>
      <c r="D944" s="1"/>
    </row>
    <row r="945" customFormat="false" ht="15.75" hidden="false" customHeight="true" outlineLevel="0" collapsed="false">
      <c r="A945" s="1"/>
      <c r="B945" s="1"/>
      <c r="C945" s="1"/>
      <c r="D945" s="1"/>
    </row>
    <row r="946" customFormat="false" ht="15.75" hidden="false" customHeight="true" outlineLevel="0" collapsed="false">
      <c r="A946" s="1"/>
      <c r="B946" s="1"/>
      <c r="C946" s="1"/>
      <c r="D946" s="1"/>
    </row>
    <row r="947" customFormat="false" ht="15.75" hidden="false" customHeight="true" outlineLevel="0" collapsed="false">
      <c r="A947" s="1"/>
      <c r="B947" s="1"/>
      <c r="C947" s="1"/>
      <c r="D947" s="1"/>
    </row>
    <row r="948" customFormat="false" ht="15.75" hidden="false" customHeight="true" outlineLevel="0" collapsed="false">
      <c r="A948" s="1"/>
      <c r="B948" s="1"/>
      <c r="C948" s="1"/>
      <c r="D948" s="1"/>
    </row>
    <row r="949" customFormat="false" ht="15.75" hidden="false" customHeight="true" outlineLevel="0" collapsed="false">
      <c r="A949" s="1"/>
      <c r="B949" s="1"/>
      <c r="C949" s="1"/>
      <c r="D949" s="1"/>
    </row>
    <row r="950" customFormat="false" ht="15.75" hidden="false" customHeight="true" outlineLevel="0" collapsed="false">
      <c r="A950" s="1"/>
      <c r="B950" s="1"/>
      <c r="C950" s="1"/>
      <c r="D950" s="1"/>
    </row>
    <row r="951" customFormat="false" ht="15.75" hidden="false" customHeight="true" outlineLevel="0" collapsed="false">
      <c r="A951" s="1"/>
      <c r="B951" s="1"/>
      <c r="C951" s="1"/>
      <c r="D951" s="1"/>
    </row>
    <row r="952" customFormat="false" ht="15.75" hidden="false" customHeight="true" outlineLevel="0" collapsed="false">
      <c r="A952" s="1"/>
      <c r="B952" s="1"/>
      <c r="C952" s="1"/>
      <c r="D952" s="1"/>
    </row>
    <row r="953" customFormat="false" ht="15.75" hidden="false" customHeight="true" outlineLevel="0" collapsed="false">
      <c r="A953" s="1"/>
      <c r="B953" s="1"/>
      <c r="C953" s="1"/>
      <c r="D953" s="1"/>
    </row>
    <row r="954" customFormat="false" ht="15.75" hidden="false" customHeight="true" outlineLevel="0" collapsed="false">
      <c r="A954" s="1"/>
      <c r="B954" s="1"/>
      <c r="C954" s="1"/>
      <c r="D954" s="1"/>
    </row>
    <row r="955" customFormat="false" ht="15.75" hidden="false" customHeight="true" outlineLevel="0" collapsed="false">
      <c r="A955" s="1"/>
      <c r="B955" s="1"/>
      <c r="C955" s="1"/>
      <c r="D955" s="1"/>
    </row>
    <row r="956" customFormat="false" ht="15.75" hidden="false" customHeight="true" outlineLevel="0" collapsed="false">
      <c r="A956" s="1"/>
      <c r="B956" s="1"/>
      <c r="C956" s="1"/>
      <c r="D956" s="1"/>
    </row>
    <row r="957" customFormat="false" ht="15.75" hidden="false" customHeight="true" outlineLevel="0" collapsed="false">
      <c r="A957" s="1"/>
      <c r="B957" s="1"/>
      <c r="C957" s="1"/>
      <c r="D957" s="1"/>
    </row>
    <row r="958" customFormat="false" ht="15.75" hidden="false" customHeight="true" outlineLevel="0" collapsed="false">
      <c r="A958" s="1"/>
      <c r="B958" s="1"/>
      <c r="C958" s="1"/>
      <c r="D958" s="1"/>
    </row>
    <row r="959" customFormat="false" ht="15.75" hidden="false" customHeight="true" outlineLevel="0" collapsed="false">
      <c r="A959" s="1"/>
      <c r="B959" s="1"/>
      <c r="C959" s="1"/>
      <c r="D959" s="1"/>
    </row>
    <row r="960" customFormat="false" ht="15.75" hidden="false" customHeight="true" outlineLevel="0" collapsed="false">
      <c r="A960" s="1"/>
      <c r="B960" s="1"/>
      <c r="C960" s="1"/>
      <c r="D960" s="1"/>
    </row>
    <row r="961" customFormat="false" ht="15.75" hidden="false" customHeight="true" outlineLevel="0" collapsed="false">
      <c r="A961" s="1"/>
      <c r="B961" s="1"/>
      <c r="C961" s="1"/>
      <c r="D961" s="1"/>
    </row>
    <row r="962" customFormat="false" ht="15.75" hidden="false" customHeight="true" outlineLevel="0" collapsed="false">
      <c r="A962" s="1"/>
      <c r="B962" s="1"/>
      <c r="C962" s="1"/>
      <c r="D962" s="1"/>
    </row>
    <row r="963" customFormat="false" ht="15.75" hidden="false" customHeight="true" outlineLevel="0" collapsed="false">
      <c r="A963" s="1"/>
      <c r="B963" s="1"/>
      <c r="C963" s="1"/>
      <c r="D963" s="1"/>
    </row>
    <row r="964" customFormat="false" ht="15.75" hidden="false" customHeight="true" outlineLevel="0" collapsed="false">
      <c r="A964" s="1"/>
      <c r="B964" s="1"/>
      <c r="C964" s="1"/>
      <c r="D964" s="1"/>
    </row>
    <row r="965" customFormat="false" ht="15.75" hidden="false" customHeight="true" outlineLevel="0" collapsed="false">
      <c r="A965" s="1"/>
      <c r="B965" s="1"/>
      <c r="C965" s="1"/>
      <c r="D965" s="1"/>
    </row>
    <row r="966" customFormat="false" ht="15.75" hidden="false" customHeight="true" outlineLevel="0" collapsed="false">
      <c r="A966" s="1"/>
      <c r="B966" s="1"/>
      <c r="C966" s="1"/>
      <c r="D966" s="1"/>
    </row>
    <row r="967" customFormat="false" ht="15.75" hidden="false" customHeight="true" outlineLevel="0" collapsed="false">
      <c r="A967" s="1"/>
      <c r="B967" s="1"/>
      <c r="C967" s="1"/>
      <c r="D967" s="1"/>
    </row>
    <row r="968" customFormat="false" ht="15.75" hidden="false" customHeight="true" outlineLevel="0" collapsed="false">
      <c r="A968" s="1"/>
      <c r="B968" s="1"/>
      <c r="C968" s="1"/>
      <c r="D968" s="1"/>
    </row>
    <row r="969" customFormat="false" ht="15.75" hidden="false" customHeight="true" outlineLevel="0" collapsed="false">
      <c r="A969" s="1"/>
      <c r="B969" s="1"/>
      <c r="C969" s="1"/>
      <c r="D969" s="1"/>
    </row>
    <row r="970" customFormat="false" ht="15.75" hidden="false" customHeight="true" outlineLevel="0" collapsed="false">
      <c r="A970" s="1"/>
      <c r="B970" s="1"/>
      <c r="C970" s="1"/>
      <c r="D970" s="1"/>
    </row>
    <row r="971" customFormat="false" ht="15.75" hidden="false" customHeight="true" outlineLevel="0" collapsed="false">
      <c r="A971" s="1"/>
      <c r="B971" s="1"/>
      <c r="C971" s="1"/>
      <c r="D971" s="1"/>
    </row>
    <row r="972" customFormat="false" ht="15.75" hidden="false" customHeight="true" outlineLevel="0" collapsed="false">
      <c r="A972" s="1"/>
      <c r="B972" s="1"/>
      <c r="C972" s="1"/>
      <c r="D972" s="1"/>
    </row>
    <row r="973" customFormat="false" ht="15.75" hidden="false" customHeight="true" outlineLevel="0" collapsed="false">
      <c r="A973" s="1"/>
      <c r="B973" s="1"/>
      <c r="C973" s="1"/>
      <c r="D973" s="1"/>
    </row>
    <row r="974" customFormat="false" ht="15.75" hidden="false" customHeight="true" outlineLevel="0" collapsed="false">
      <c r="A974" s="1"/>
      <c r="B974" s="1"/>
      <c r="C974" s="1"/>
      <c r="D974" s="1"/>
    </row>
    <row r="975" customFormat="false" ht="15.75" hidden="false" customHeight="true" outlineLevel="0" collapsed="false">
      <c r="A975" s="1"/>
      <c r="B975" s="1"/>
      <c r="C975" s="1"/>
      <c r="D975" s="1"/>
    </row>
    <row r="976" customFormat="false" ht="15.75" hidden="false" customHeight="true" outlineLevel="0" collapsed="false">
      <c r="A976" s="1"/>
      <c r="B976" s="1"/>
      <c r="C976" s="1"/>
      <c r="D976" s="1"/>
    </row>
    <row r="977" customFormat="false" ht="15.75" hidden="false" customHeight="true" outlineLevel="0" collapsed="false">
      <c r="A977" s="1"/>
      <c r="B977" s="1"/>
      <c r="C977" s="1"/>
      <c r="D977" s="1"/>
    </row>
    <row r="978" customFormat="false" ht="15.75" hidden="false" customHeight="true" outlineLevel="0" collapsed="false">
      <c r="A978" s="1"/>
      <c r="B978" s="1"/>
      <c r="C978" s="1"/>
      <c r="D978" s="1"/>
    </row>
    <row r="979" customFormat="false" ht="15.75" hidden="false" customHeight="true" outlineLevel="0" collapsed="false">
      <c r="A979" s="1"/>
      <c r="B979" s="1"/>
      <c r="C979" s="1"/>
      <c r="D979" s="1"/>
    </row>
    <row r="980" customFormat="false" ht="15.75" hidden="false" customHeight="true" outlineLevel="0" collapsed="false">
      <c r="A980" s="1"/>
      <c r="B980" s="1"/>
      <c r="C980" s="1"/>
      <c r="D980" s="1"/>
    </row>
    <row r="981" customFormat="false" ht="15.75" hidden="false" customHeight="true" outlineLevel="0" collapsed="false">
      <c r="A981" s="1"/>
      <c r="B981" s="1"/>
      <c r="C981" s="1"/>
      <c r="D981" s="1"/>
    </row>
    <row r="982" customFormat="false" ht="15.75" hidden="false" customHeight="true" outlineLevel="0" collapsed="false">
      <c r="A982" s="1"/>
      <c r="B982" s="1"/>
      <c r="C982" s="1"/>
      <c r="D982" s="1"/>
    </row>
    <row r="983" customFormat="false" ht="15.75" hidden="false" customHeight="true" outlineLevel="0" collapsed="false">
      <c r="A983" s="1"/>
      <c r="B983" s="1"/>
      <c r="C983" s="1"/>
      <c r="D983" s="1"/>
    </row>
    <row r="984" customFormat="false" ht="15.75" hidden="false" customHeight="true" outlineLevel="0" collapsed="false">
      <c r="A984" s="1"/>
      <c r="B984" s="1"/>
      <c r="C984" s="1"/>
      <c r="D984" s="1"/>
    </row>
    <row r="985" customFormat="false" ht="15.75" hidden="false" customHeight="true" outlineLevel="0" collapsed="false">
      <c r="A985" s="1"/>
      <c r="B985" s="1"/>
      <c r="C985" s="1"/>
      <c r="D985" s="1"/>
    </row>
    <row r="986" customFormat="false" ht="15.75" hidden="false" customHeight="true" outlineLevel="0" collapsed="false">
      <c r="A986" s="1"/>
      <c r="B986" s="1"/>
      <c r="C986" s="1"/>
      <c r="D986" s="1"/>
    </row>
    <row r="987" customFormat="false" ht="15.75" hidden="false" customHeight="true" outlineLevel="0" collapsed="false">
      <c r="A987" s="1"/>
      <c r="B987" s="1"/>
      <c r="C987" s="1"/>
      <c r="D987" s="1"/>
    </row>
    <row r="988" customFormat="false" ht="15.75" hidden="false" customHeight="true" outlineLevel="0" collapsed="false">
      <c r="A988" s="1"/>
      <c r="B988" s="1"/>
      <c r="C988" s="1"/>
      <c r="D988" s="1"/>
    </row>
    <row r="989" customFormat="false" ht="15.75" hidden="false" customHeight="true" outlineLevel="0" collapsed="false">
      <c r="A989" s="1"/>
      <c r="B989" s="1"/>
      <c r="C989" s="1"/>
      <c r="D989" s="1"/>
    </row>
    <row r="990" customFormat="false" ht="15.75" hidden="false" customHeight="true" outlineLevel="0" collapsed="false">
      <c r="A990" s="1"/>
      <c r="B990" s="1"/>
      <c r="C990" s="1"/>
      <c r="D990" s="1"/>
    </row>
    <row r="991" customFormat="false" ht="15.75" hidden="false" customHeight="true" outlineLevel="0" collapsed="false">
      <c r="A991" s="1"/>
      <c r="B991" s="1"/>
      <c r="C991" s="1"/>
      <c r="D991" s="1"/>
    </row>
    <row r="992" customFormat="false" ht="15.75" hidden="false" customHeight="true" outlineLevel="0" collapsed="false">
      <c r="A992" s="1"/>
      <c r="B992" s="1"/>
      <c r="C992" s="1"/>
      <c r="D992" s="1"/>
    </row>
    <row r="993" customFormat="false" ht="15.75" hidden="false" customHeight="true" outlineLevel="0" collapsed="false">
      <c r="A993" s="1"/>
      <c r="B993" s="1"/>
      <c r="C993" s="1"/>
      <c r="D993" s="1"/>
    </row>
    <row r="994" customFormat="false" ht="15.75" hidden="false" customHeight="true" outlineLevel="0" collapsed="false">
      <c r="A994" s="1"/>
      <c r="B994" s="1"/>
      <c r="C994" s="1"/>
      <c r="D994" s="1"/>
    </row>
    <row r="995" customFormat="false" ht="15.75" hidden="false" customHeight="true" outlineLevel="0" collapsed="false">
      <c r="A995" s="1"/>
      <c r="B995" s="1"/>
      <c r="C995" s="1"/>
      <c r="D995" s="1"/>
    </row>
    <row r="996" customFormat="false" ht="15.75" hidden="false" customHeight="true" outlineLevel="0" collapsed="false">
      <c r="A996" s="1"/>
      <c r="B996" s="1"/>
      <c r="C996" s="1"/>
      <c r="D996" s="1"/>
    </row>
    <row r="997" customFormat="false" ht="15.75" hidden="false" customHeight="true" outlineLevel="0" collapsed="false">
      <c r="A997" s="1"/>
      <c r="B997" s="1"/>
      <c r="C997" s="1"/>
      <c r="D997" s="1"/>
    </row>
    <row r="998" customFormat="false" ht="15.75" hidden="false" customHeight="true" outlineLevel="0" collapsed="false">
      <c r="A998" s="1"/>
      <c r="B998" s="1"/>
      <c r="C998" s="1"/>
      <c r="D998" s="1"/>
    </row>
    <row r="999" customFormat="false" ht="15.75" hidden="false" customHeight="true" outlineLevel="0" collapsed="false">
      <c r="A999" s="1"/>
      <c r="B999" s="1"/>
      <c r="C999" s="1"/>
      <c r="D999" s="1"/>
    </row>
    <row r="1000" customFormat="false" ht="15.75" hidden="false" customHeight="true" outlineLevel="0" collapsed="false">
      <c r="A1000" s="1"/>
      <c r="B1000" s="1"/>
      <c r="C1000" s="1"/>
      <c r="D1000" s="1"/>
    </row>
  </sheetData>
  <mergeCells count="2">
    <mergeCell ref="B2:D2"/>
    <mergeCell ref="B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AA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5" min="4" style="0" width="14"/>
    <col collapsed="false" customWidth="true" hidden="false" outlineLevel="0" max="6" min="6" style="0" width="24"/>
    <col collapsed="false" customWidth="true" hidden="false" outlineLevel="0" max="7" min="7" style="0" width="48"/>
    <col collapsed="false" customWidth="true" hidden="false" outlineLevel="0" max="27" min="8" style="0" width="8.71"/>
  </cols>
  <sheetData>
    <row r="1" customFormat="false" ht="45.75" hidden="false" customHeight="true" outlineLevel="0" collapsed="false">
      <c r="A1" s="16" t="s">
        <v>26</v>
      </c>
      <c r="B1" s="16"/>
      <c r="C1" s="16"/>
      <c r="D1" s="16"/>
      <c r="E1" s="16"/>
      <c r="F1" s="16"/>
      <c r="G1" s="16"/>
    </row>
    <row r="2" customFormat="false" ht="27.75" hidden="false" customHeight="true" outlineLevel="0" collapsed="false">
      <c r="A2" s="17" t="s">
        <v>27</v>
      </c>
      <c r="B2" s="17"/>
      <c r="C2" s="17"/>
      <c r="D2" s="17"/>
      <c r="E2" s="17"/>
      <c r="F2" s="17"/>
      <c r="G2" s="17"/>
    </row>
    <row r="3" customFormat="false" ht="6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customFormat="false" ht="19.5" hidden="false" customHeight="true" outlineLevel="0" collapsed="false">
      <c r="A4" s="16" t="s">
        <v>28</v>
      </c>
      <c r="B4" s="16"/>
      <c r="C4" s="16"/>
      <c r="D4" s="16"/>
      <c r="E4" s="16"/>
      <c r="F4" s="16"/>
      <c r="G4" s="16"/>
    </row>
    <row r="5" customFormat="false" ht="19.5" hidden="false" customHeight="true" outlineLevel="0" collapsed="false">
      <c r="A5" s="13" t="s">
        <v>29</v>
      </c>
      <c r="B5" s="18" t="s">
        <v>30</v>
      </c>
      <c r="C5" s="19" t="s">
        <v>31</v>
      </c>
      <c r="D5" s="1"/>
      <c r="E5" s="1"/>
      <c r="F5" s="1"/>
    </row>
    <row r="6" customFormat="false" ht="19.5" hidden="false" customHeight="true" outlineLevel="0" collapsed="false">
      <c r="A6" s="20" t="s">
        <v>32</v>
      </c>
      <c r="B6" s="18" t="s">
        <v>33</v>
      </c>
      <c r="C6" s="19" t="s">
        <v>34</v>
      </c>
      <c r="D6" s="1"/>
      <c r="E6" s="1"/>
      <c r="F6" s="1"/>
    </row>
    <row r="7" customFormat="false" ht="19.5" hidden="false" customHeight="true" outlineLevel="0" collapsed="false">
      <c r="A7" s="13" t="s">
        <v>35</v>
      </c>
      <c r="B7" s="18" t="s">
        <v>36</v>
      </c>
      <c r="C7" s="19" t="s">
        <v>37</v>
      </c>
      <c r="D7" s="1"/>
      <c r="E7" s="1"/>
      <c r="F7" s="1"/>
    </row>
    <row r="8" customFormat="false" ht="6" hidden="false" customHeight="tru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customFormat="false" ht="19.5" hidden="false" customHeight="true" outlineLevel="0" collapsed="false">
      <c r="A9" s="16" t="s">
        <v>38</v>
      </c>
      <c r="B9" s="16"/>
      <c r="C9" s="16"/>
      <c r="D9" s="16"/>
      <c r="E9" s="16"/>
      <c r="F9" s="16"/>
      <c r="G9" s="16"/>
    </row>
    <row r="10" customFormat="false" ht="15.75" hidden="false" customHeight="true" outlineLevel="0" collapsed="false">
      <c r="A10" s="21" t="s">
        <v>39</v>
      </c>
      <c r="B10" s="22" t="s">
        <v>40</v>
      </c>
      <c r="C10" s="22" t="s">
        <v>41</v>
      </c>
      <c r="D10" s="23" t="s">
        <v>42</v>
      </c>
      <c r="E10" s="23" t="s">
        <v>43</v>
      </c>
      <c r="F10" s="23" t="s">
        <v>44</v>
      </c>
      <c r="G10" s="24" t="s">
        <v>45</v>
      </c>
    </row>
    <row r="11" customFormat="false" ht="19.5" hidden="false" customHeight="true" outlineLevel="0" collapsed="false">
      <c r="A11" s="13" t="s">
        <v>46</v>
      </c>
      <c r="B11" s="25" t="n">
        <v>500</v>
      </c>
      <c r="C11" s="19"/>
      <c r="D11" s="1"/>
      <c r="E11" s="1"/>
      <c r="F11" s="1"/>
      <c r="G11" s="26" t="s">
        <v>47</v>
      </c>
    </row>
    <row r="12" customFormat="false" ht="19.5" hidden="false" customHeight="true" outlineLevel="0" collapsed="false">
      <c r="A12" s="20" t="s">
        <v>48</v>
      </c>
      <c r="B12" s="25" t="n">
        <v>50</v>
      </c>
      <c r="C12" s="19"/>
      <c r="D12" s="1"/>
      <c r="E12" s="1"/>
      <c r="F12" s="1"/>
      <c r="G12" s="26" t="s">
        <v>49</v>
      </c>
    </row>
    <row r="13" customFormat="false" ht="19.5" hidden="false" customHeight="true" outlineLevel="0" collapsed="false">
      <c r="A13" s="13" t="s">
        <v>50</v>
      </c>
      <c r="B13" s="27" t="n">
        <v>0.1</v>
      </c>
      <c r="C13" s="28" t="n">
        <v>0.1</v>
      </c>
      <c r="D13" s="29" t="n">
        <v>0.1</v>
      </c>
      <c r="E13" s="29" t="n">
        <v>0.1</v>
      </c>
      <c r="F13" s="29" t="n">
        <v>0.1</v>
      </c>
      <c r="G13" s="26" t="s">
        <v>51</v>
      </c>
    </row>
    <row r="14" customFormat="false" ht="19.5" hidden="false" customHeight="true" outlineLevel="0" collapsed="false">
      <c r="A14" s="20" t="s">
        <v>52</v>
      </c>
      <c r="B14" s="27" t="n">
        <v>0.05</v>
      </c>
      <c r="C14" s="28" t="n">
        <v>0.05</v>
      </c>
      <c r="D14" s="29" t="n">
        <v>0.05</v>
      </c>
      <c r="E14" s="29" t="n">
        <v>0.05</v>
      </c>
      <c r="F14" s="29" t="n">
        <v>0.05</v>
      </c>
      <c r="G14" s="26" t="s">
        <v>53</v>
      </c>
    </row>
    <row r="15" customFormat="false" ht="19.5" hidden="false" customHeight="true" outlineLevel="0" collapsed="false">
      <c r="A15" s="13" t="s">
        <v>54</v>
      </c>
      <c r="B15" s="30" t="n">
        <v>150</v>
      </c>
      <c r="C15" s="31" t="n">
        <v>150</v>
      </c>
      <c r="D15" s="32" t="n">
        <v>150</v>
      </c>
      <c r="E15" s="32" t="n">
        <v>150</v>
      </c>
      <c r="F15" s="32" t="n">
        <v>150</v>
      </c>
      <c r="G15" s="26" t="s">
        <v>55</v>
      </c>
    </row>
    <row r="16" customFormat="false" ht="19.5" hidden="false" customHeight="true" outlineLevel="0" collapsed="false">
      <c r="A16" s="20" t="s">
        <v>56</v>
      </c>
      <c r="B16" s="33" t="n">
        <v>1.2</v>
      </c>
      <c r="C16" s="34" t="n">
        <v>1.2</v>
      </c>
      <c r="D16" s="35" t="n">
        <v>1.2</v>
      </c>
      <c r="E16" s="35" t="n">
        <v>1.2</v>
      </c>
      <c r="F16" s="35" t="n">
        <v>1.2</v>
      </c>
      <c r="G16" s="26" t="s">
        <v>57</v>
      </c>
    </row>
    <row r="17" customFormat="false" ht="19.5" hidden="false" customHeight="true" outlineLevel="0" collapsed="false">
      <c r="A17" s="13" t="s">
        <v>58</v>
      </c>
      <c r="B17" s="27" t="n">
        <v>0.15</v>
      </c>
      <c r="C17" s="28" t="n">
        <v>0.15</v>
      </c>
      <c r="D17" s="29" t="n">
        <v>0.15</v>
      </c>
      <c r="E17" s="29" t="n">
        <v>0.15</v>
      </c>
      <c r="F17" s="29" t="n">
        <v>0.15</v>
      </c>
      <c r="G17" s="26" t="s">
        <v>59</v>
      </c>
    </row>
    <row r="18" customFormat="false" ht="19.5" hidden="false" customHeight="true" outlineLevel="0" collapsed="false">
      <c r="A18" s="20" t="s">
        <v>60</v>
      </c>
      <c r="B18" s="25" t="n">
        <v>50</v>
      </c>
      <c r="C18" s="19"/>
      <c r="D18" s="1"/>
      <c r="E18" s="1"/>
      <c r="F18" s="1"/>
      <c r="G18" s="26" t="s">
        <v>61</v>
      </c>
    </row>
    <row r="19" customFormat="false" ht="19.5" hidden="false" customHeight="true" outlineLevel="0" collapsed="false">
      <c r="A19" s="13" t="s">
        <v>62</v>
      </c>
      <c r="B19" s="25" t="n">
        <v>8</v>
      </c>
      <c r="C19" s="19"/>
      <c r="D19" s="1"/>
      <c r="E19" s="1"/>
      <c r="F19" s="1"/>
      <c r="G19" s="26" t="s">
        <v>63</v>
      </c>
    </row>
    <row r="20" customFormat="false" ht="19.5" hidden="false" customHeight="true" outlineLevel="0" collapsed="false">
      <c r="A20" s="20" t="s">
        <v>64</v>
      </c>
      <c r="B20" s="27" t="n">
        <v>0.08</v>
      </c>
      <c r="C20" s="28" t="n">
        <v>0.08</v>
      </c>
      <c r="D20" s="29" t="n">
        <v>0.08</v>
      </c>
      <c r="E20" s="29" t="n">
        <v>0.08</v>
      </c>
      <c r="F20" s="29" t="n">
        <v>0.08</v>
      </c>
      <c r="G20" s="26" t="s">
        <v>65</v>
      </c>
    </row>
    <row r="21" customFormat="false" ht="19.5" hidden="false" customHeight="true" outlineLevel="0" collapsed="false">
      <c r="A21" s="13" t="s">
        <v>66</v>
      </c>
      <c r="B21" s="27" t="n">
        <v>0.03</v>
      </c>
      <c r="C21" s="28" t="n">
        <v>0.03</v>
      </c>
      <c r="D21" s="29" t="n">
        <v>0.03</v>
      </c>
      <c r="E21" s="29" t="n">
        <v>0.03</v>
      </c>
      <c r="F21" s="29" t="n">
        <v>0.03</v>
      </c>
      <c r="G21" s="26" t="s">
        <v>67</v>
      </c>
    </row>
    <row r="22" customFormat="false" ht="19.5" hidden="false" customHeight="true" outlineLevel="0" collapsed="false">
      <c r="A22" s="20" t="s">
        <v>68</v>
      </c>
      <c r="B22" s="30" t="n">
        <v>50</v>
      </c>
      <c r="C22" s="31" t="n">
        <v>50</v>
      </c>
      <c r="D22" s="32" t="n">
        <v>50</v>
      </c>
      <c r="E22" s="32" t="n">
        <v>50</v>
      </c>
      <c r="F22" s="32" t="n">
        <v>50</v>
      </c>
      <c r="G22" s="26" t="s">
        <v>69</v>
      </c>
    </row>
    <row r="23" customFormat="false" ht="19.5" hidden="false" customHeight="true" outlineLevel="0" collapsed="false">
      <c r="A23" s="16" t="s">
        <v>70</v>
      </c>
      <c r="B23" s="16"/>
      <c r="C23" s="16"/>
      <c r="D23" s="16"/>
      <c r="E23" s="16"/>
      <c r="F23" s="16"/>
      <c r="G23" s="16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customFormat="false" ht="15.75" hidden="false" customHeight="tru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customFormat="false" ht="19.5" hidden="false" customHeight="true" outlineLevel="0" collapsed="false">
      <c r="A25" s="13" t="s">
        <v>71</v>
      </c>
      <c r="B25" s="25" t="n">
        <v>20</v>
      </c>
      <c r="C25" s="19"/>
      <c r="D25" s="1"/>
      <c r="E25" s="1"/>
      <c r="F25" s="1"/>
      <c r="G25" s="26" t="s">
        <v>72</v>
      </c>
    </row>
    <row r="26" customFormat="false" ht="19.5" hidden="false" customHeight="true" outlineLevel="0" collapsed="false">
      <c r="A26" s="20" t="s">
        <v>73</v>
      </c>
      <c r="B26" s="25" t="n">
        <v>5</v>
      </c>
      <c r="C26" s="19"/>
      <c r="D26" s="1"/>
      <c r="E26" s="1"/>
      <c r="F26" s="1"/>
      <c r="G26" s="26" t="s">
        <v>74</v>
      </c>
    </row>
    <row r="27" customFormat="false" ht="19.5" hidden="false" customHeight="true" outlineLevel="0" collapsed="false">
      <c r="A27" s="13" t="s">
        <v>75</v>
      </c>
      <c r="B27" s="27" t="n">
        <v>0.15</v>
      </c>
      <c r="C27" s="28" t="n">
        <v>0.15</v>
      </c>
      <c r="D27" s="29" t="n">
        <v>0.15</v>
      </c>
      <c r="E27" s="29" t="n">
        <v>0.15</v>
      </c>
      <c r="F27" s="29" t="n">
        <v>0.15</v>
      </c>
      <c r="G27" s="26" t="s">
        <v>76</v>
      </c>
    </row>
    <row r="28" customFormat="false" ht="19.5" hidden="false" customHeight="true" outlineLevel="0" collapsed="false">
      <c r="A28" s="20" t="s">
        <v>77</v>
      </c>
      <c r="B28" s="27" t="n">
        <v>0.02</v>
      </c>
      <c r="C28" s="28" t="n">
        <v>0.02</v>
      </c>
      <c r="D28" s="29" t="n">
        <v>0.02</v>
      </c>
      <c r="E28" s="29" t="n">
        <v>0.02</v>
      </c>
      <c r="F28" s="29" t="n">
        <v>0.02</v>
      </c>
      <c r="G28" s="26" t="s">
        <v>78</v>
      </c>
    </row>
    <row r="29" customFormat="false" ht="19.5" hidden="false" customHeight="true" outlineLevel="0" collapsed="false">
      <c r="A29" s="13" t="s">
        <v>79</v>
      </c>
      <c r="B29" s="30" t="n">
        <v>299</v>
      </c>
      <c r="C29" s="31" t="n">
        <v>299</v>
      </c>
      <c r="D29" s="32" t="n">
        <v>299</v>
      </c>
      <c r="E29" s="32" t="n">
        <v>299</v>
      </c>
      <c r="F29" s="32" t="n">
        <v>299</v>
      </c>
      <c r="G29" s="26" t="s">
        <v>80</v>
      </c>
    </row>
    <row r="30" customFormat="false" ht="6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customFormat="false" ht="19.5" hidden="false" customHeight="true" outlineLevel="0" collapsed="false">
      <c r="A31" s="16" t="s">
        <v>81</v>
      </c>
      <c r="B31" s="16"/>
      <c r="C31" s="16"/>
      <c r="D31" s="16"/>
      <c r="E31" s="16"/>
      <c r="F31" s="16"/>
      <c r="G31" s="16"/>
    </row>
    <row r="32" customFormat="false" ht="15.75" hidden="false" customHeight="true" outlineLevel="0" collapsed="false">
      <c r="A32" s="1"/>
      <c r="B32" s="1"/>
      <c r="C32" s="1"/>
      <c r="D32" s="1"/>
      <c r="E32" s="1"/>
      <c r="F32" s="1"/>
    </row>
    <row r="33" customFormat="false" ht="19.5" hidden="false" customHeight="true" outlineLevel="0" collapsed="false">
      <c r="A33" s="13" t="s">
        <v>82</v>
      </c>
      <c r="B33" s="30" t="n">
        <v>80</v>
      </c>
      <c r="C33" s="31" t="n">
        <v>80</v>
      </c>
      <c r="D33" s="32" t="n">
        <v>80</v>
      </c>
      <c r="E33" s="32" t="n">
        <v>80</v>
      </c>
      <c r="F33" s="32" t="n">
        <v>80</v>
      </c>
      <c r="G33" s="26" t="s">
        <v>83</v>
      </c>
    </row>
    <row r="34" customFormat="false" ht="19.5" hidden="false" customHeight="true" outlineLevel="0" collapsed="false">
      <c r="A34" s="20" t="s">
        <v>84</v>
      </c>
      <c r="B34" s="30" t="n">
        <v>20</v>
      </c>
      <c r="C34" s="31" t="n">
        <v>20</v>
      </c>
      <c r="D34" s="32" t="n">
        <v>20</v>
      </c>
      <c r="E34" s="32" t="n">
        <v>20</v>
      </c>
      <c r="F34" s="32" t="n">
        <v>20</v>
      </c>
      <c r="G34" s="26" t="s">
        <v>85</v>
      </c>
    </row>
    <row r="35" customFormat="false" ht="19.5" hidden="false" customHeight="true" outlineLevel="0" collapsed="false">
      <c r="A35" s="13" t="s">
        <v>86</v>
      </c>
      <c r="B35" s="27" t="n">
        <v>0.6</v>
      </c>
      <c r="C35" s="28" t="n">
        <v>0.6</v>
      </c>
      <c r="D35" s="29" t="n">
        <v>0.6</v>
      </c>
      <c r="E35" s="29" t="n">
        <v>0.6</v>
      </c>
      <c r="F35" s="29" t="n">
        <v>0.6</v>
      </c>
      <c r="G35" s="26" t="s">
        <v>87</v>
      </c>
    </row>
    <row r="36" customFormat="false" ht="19.5" hidden="false" customHeight="true" outlineLevel="0" collapsed="false">
      <c r="A36" s="20" t="s">
        <v>88</v>
      </c>
      <c r="B36" s="36" t="n">
        <f aca="false">ASSUMPTIONS!$B$33*ASSUMPTIONS!$B$35+ASSUMPTIONS!$B$34*(1-ASSUMPTIONS!$B$35)</f>
        <v>56</v>
      </c>
      <c r="C36" s="37" t="n">
        <f aca="false">C33*C35+C34*(1-C35)</f>
        <v>56</v>
      </c>
      <c r="D36" s="38" t="n">
        <f aca="false">D33*D35+D34*(1-D35)</f>
        <v>56</v>
      </c>
      <c r="E36" s="38" t="n">
        <f aca="false">E33*E35+E34*(1-E35)</f>
        <v>56</v>
      </c>
      <c r="F36" s="38" t="n">
        <f aca="false">F33*F35+F34*(1-F35)</f>
        <v>56</v>
      </c>
    </row>
    <row r="37" customFormat="false" ht="6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customFormat="false" ht="19.5" hidden="false" customHeight="true" outlineLevel="0" collapsed="false">
      <c r="A38" s="16" t="s">
        <v>89</v>
      </c>
      <c r="B38" s="16"/>
      <c r="C38" s="16"/>
      <c r="D38" s="16"/>
      <c r="E38" s="16"/>
      <c r="F38" s="16"/>
      <c r="G38" s="16"/>
    </row>
    <row r="39" customFormat="false" ht="19.5" hidden="false" customHeight="true" outlineLevel="0" collapsed="false">
      <c r="A39" s="13" t="s">
        <v>90</v>
      </c>
      <c r="B39" s="27" t="n">
        <v>0.02</v>
      </c>
      <c r="C39" s="28" t="n">
        <v>0.02</v>
      </c>
      <c r="D39" s="29" t="n">
        <v>0.02</v>
      </c>
      <c r="E39" s="29" t="n">
        <v>0.02</v>
      </c>
      <c r="F39" s="29" t="n">
        <v>0.02</v>
      </c>
      <c r="G39" s="26" t="s">
        <v>91</v>
      </c>
    </row>
    <row r="40" customFormat="false" ht="19.5" hidden="false" customHeight="true" outlineLevel="0" collapsed="false">
      <c r="A40" s="20" t="s">
        <v>92</v>
      </c>
      <c r="B40" s="30" t="n">
        <v>2000</v>
      </c>
      <c r="C40" s="31" t="n">
        <v>2000</v>
      </c>
      <c r="D40" s="32" t="n">
        <v>2000</v>
      </c>
      <c r="E40" s="32" t="n">
        <v>2000</v>
      </c>
      <c r="F40" s="32" t="n">
        <v>2000</v>
      </c>
      <c r="G40" s="26" t="s">
        <v>93</v>
      </c>
    </row>
    <row r="41" customFormat="false" ht="19.5" hidden="false" customHeight="true" outlineLevel="0" collapsed="false">
      <c r="A41" s="13" t="s">
        <v>94</v>
      </c>
      <c r="B41" s="30" t="n">
        <v>50</v>
      </c>
      <c r="C41" s="31" t="n">
        <v>50</v>
      </c>
      <c r="D41" s="32" t="n">
        <v>50</v>
      </c>
      <c r="E41" s="32" t="n">
        <v>50</v>
      </c>
      <c r="F41" s="32" t="n">
        <v>50</v>
      </c>
      <c r="G41" s="26" t="s">
        <v>95</v>
      </c>
    </row>
    <row r="42" customFormat="false" ht="19.5" hidden="false" customHeight="true" outlineLevel="0" collapsed="false">
      <c r="A42" s="20" t="s">
        <v>96</v>
      </c>
      <c r="B42" s="30" t="n">
        <v>500</v>
      </c>
      <c r="C42" s="31" t="n">
        <v>500</v>
      </c>
      <c r="D42" s="32" t="n">
        <v>500</v>
      </c>
      <c r="E42" s="32" t="n">
        <v>500</v>
      </c>
      <c r="F42" s="32" t="n">
        <v>500</v>
      </c>
      <c r="G42" s="26" t="s">
        <v>97</v>
      </c>
    </row>
    <row r="43" customFormat="false" ht="19.5" hidden="false" customHeight="true" outlineLevel="0" collapsed="false">
      <c r="A43" s="13" t="s">
        <v>98</v>
      </c>
      <c r="B43" s="27" t="n">
        <v>0.002</v>
      </c>
      <c r="C43" s="28" t="n">
        <v>0.002</v>
      </c>
      <c r="D43" s="29" t="n">
        <v>0.002</v>
      </c>
      <c r="E43" s="29" t="n">
        <v>0.002</v>
      </c>
      <c r="F43" s="29" t="n">
        <v>0.002</v>
      </c>
      <c r="G43" s="26" t="s">
        <v>99</v>
      </c>
    </row>
    <row r="44" customFormat="false" ht="6" hidden="false" customHeight="tru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customFormat="false" ht="19.5" hidden="false" customHeight="true" outlineLevel="0" collapsed="false">
      <c r="A45" s="16" t="s">
        <v>100</v>
      </c>
      <c r="B45" s="16"/>
      <c r="C45" s="16"/>
      <c r="D45" s="16"/>
      <c r="E45" s="16"/>
      <c r="F45" s="16"/>
      <c r="G45" s="16"/>
    </row>
    <row r="46" customFormat="false" ht="18" hidden="false" customHeight="true" outlineLevel="0" collapsed="false">
      <c r="A46" s="39" t="s">
        <v>101</v>
      </c>
      <c r="B46" s="39" t="s">
        <v>102</v>
      </c>
      <c r="C46" s="39" t="s">
        <v>103</v>
      </c>
      <c r="D46" s="39" t="s">
        <v>104</v>
      </c>
      <c r="E46" s="39" t="s">
        <v>105</v>
      </c>
      <c r="F46" s="1"/>
    </row>
    <row r="47" customFormat="false" ht="19.5" hidden="false" customHeight="true" outlineLevel="0" collapsed="false">
      <c r="A47" s="15" t="s">
        <v>106</v>
      </c>
      <c r="B47" s="18" t="s">
        <v>107</v>
      </c>
      <c r="C47" s="25" t="n">
        <v>1</v>
      </c>
      <c r="D47" s="30" t="n">
        <v>9000</v>
      </c>
      <c r="E47" s="19" t="s">
        <v>108</v>
      </c>
      <c r="F47" s="1"/>
    </row>
    <row r="48" customFormat="false" ht="19.5" hidden="false" customHeight="true" outlineLevel="0" collapsed="false">
      <c r="A48" s="15" t="s">
        <v>109</v>
      </c>
      <c r="B48" s="18" t="s">
        <v>107</v>
      </c>
      <c r="C48" s="25" t="n">
        <v>1</v>
      </c>
      <c r="D48" s="30" t="n">
        <v>7000</v>
      </c>
      <c r="E48" s="19" t="s">
        <v>108</v>
      </c>
      <c r="F48" s="1"/>
    </row>
    <row r="49" customFormat="false" ht="19.5" hidden="false" customHeight="true" outlineLevel="0" collapsed="false">
      <c r="A49" s="15" t="s">
        <v>110</v>
      </c>
      <c r="B49" s="18" t="s">
        <v>107</v>
      </c>
      <c r="C49" s="25" t="n">
        <v>3</v>
      </c>
      <c r="D49" s="30" t="n">
        <v>5500</v>
      </c>
      <c r="E49" s="19" t="s">
        <v>108</v>
      </c>
      <c r="F49" s="1"/>
    </row>
    <row r="50" customFormat="false" ht="19.5" hidden="false" customHeight="true" outlineLevel="0" collapsed="false">
      <c r="A50" s="15" t="s">
        <v>110</v>
      </c>
      <c r="B50" s="18" t="s">
        <v>107</v>
      </c>
      <c r="C50" s="25" t="n">
        <v>6</v>
      </c>
      <c r="D50" s="30" t="n">
        <v>5500</v>
      </c>
      <c r="E50" s="19" t="s">
        <v>108</v>
      </c>
      <c r="F50" s="1"/>
    </row>
    <row r="51" customFormat="false" ht="19.5" hidden="false" customHeight="true" outlineLevel="0" collapsed="false">
      <c r="A51" s="15" t="s">
        <v>111</v>
      </c>
      <c r="B51" s="18" t="s">
        <v>107</v>
      </c>
      <c r="C51" s="25" t="n">
        <v>6</v>
      </c>
      <c r="D51" s="30" t="n">
        <v>4500</v>
      </c>
      <c r="E51" s="19" t="s">
        <v>108</v>
      </c>
      <c r="F51" s="1"/>
    </row>
    <row r="52" customFormat="false" ht="19.5" hidden="false" customHeight="true" outlineLevel="0" collapsed="false">
      <c r="A52" s="40" t="s">
        <v>112</v>
      </c>
      <c r="B52" s="18" t="s">
        <v>113</v>
      </c>
      <c r="C52" s="25" t="n">
        <v>1</v>
      </c>
      <c r="D52" s="30" t="n">
        <v>8000</v>
      </c>
      <c r="E52" s="19" t="s">
        <v>108</v>
      </c>
      <c r="F52" s="1"/>
    </row>
    <row r="53" customFormat="false" ht="19.5" hidden="false" customHeight="true" outlineLevel="0" collapsed="false">
      <c r="A53" s="40" t="s">
        <v>114</v>
      </c>
      <c r="B53" s="18" t="s">
        <v>113</v>
      </c>
      <c r="C53" s="25" t="n">
        <v>3</v>
      </c>
      <c r="D53" s="30" t="n">
        <v>6000</v>
      </c>
      <c r="E53" s="19" t="s">
        <v>108</v>
      </c>
      <c r="F53" s="1"/>
    </row>
    <row r="54" customFormat="false" ht="19.5" hidden="false" customHeight="true" outlineLevel="0" collapsed="false">
      <c r="A54" s="40" t="s">
        <v>115</v>
      </c>
      <c r="B54" s="18" t="s">
        <v>113</v>
      </c>
      <c r="C54" s="25" t="n">
        <v>6</v>
      </c>
      <c r="D54" s="30" t="n">
        <v>5000</v>
      </c>
      <c r="E54" s="19" t="s">
        <v>108</v>
      </c>
      <c r="F54" s="1"/>
    </row>
    <row r="55" customFormat="false" ht="19.5" hidden="false" customHeight="true" outlineLevel="0" collapsed="false">
      <c r="A55" s="41" t="s">
        <v>116</v>
      </c>
      <c r="B55" s="18" t="s">
        <v>117</v>
      </c>
      <c r="C55" s="25" t="n">
        <v>6</v>
      </c>
      <c r="D55" s="30" t="n">
        <v>9000</v>
      </c>
      <c r="E55" s="19" t="s">
        <v>108</v>
      </c>
      <c r="F55" s="1"/>
    </row>
    <row r="56" customFormat="false" ht="19.5" hidden="false" customHeight="true" outlineLevel="0" collapsed="false">
      <c r="A56" s="41" t="s">
        <v>118</v>
      </c>
      <c r="B56" s="18" t="s">
        <v>117</v>
      </c>
      <c r="C56" s="25" t="n">
        <v>9</v>
      </c>
      <c r="D56" s="30" t="n">
        <v>5000</v>
      </c>
      <c r="E56" s="19" t="s">
        <v>108</v>
      </c>
      <c r="F56" s="1"/>
    </row>
    <row r="57" customFormat="false" ht="19.5" hidden="false" customHeight="true" outlineLevel="0" collapsed="false">
      <c r="A57" s="41" t="s">
        <v>118</v>
      </c>
      <c r="B57" s="18" t="s">
        <v>117</v>
      </c>
      <c r="C57" s="25" t="n">
        <v>12</v>
      </c>
      <c r="D57" s="30" t="n">
        <v>5000</v>
      </c>
      <c r="E57" s="19" t="s">
        <v>108</v>
      </c>
      <c r="F57" s="1"/>
    </row>
    <row r="58" customFormat="false" ht="19.5" hidden="false" customHeight="true" outlineLevel="0" collapsed="false">
      <c r="A58" s="41" t="s">
        <v>119</v>
      </c>
      <c r="B58" s="18" t="s">
        <v>117</v>
      </c>
      <c r="C58" s="25" t="n">
        <v>9</v>
      </c>
      <c r="D58" s="30" t="n">
        <v>3500</v>
      </c>
      <c r="E58" s="19" t="s">
        <v>108</v>
      </c>
      <c r="F58" s="1"/>
    </row>
    <row r="59" customFormat="false" ht="19.5" hidden="false" customHeight="true" outlineLevel="0" collapsed="false">
      <c r="A59" s="41" t="s">
        <v>120</v>
      </c>
      <c r="B59" s="18" t="s">
        <v>121</v>
      </c>
      <c r="C59" s="25" t="n">
        <v>6</v>
      </c>
      <c r="D59" s="30" t="n">
        <v>8000</v>
      </c>
      <c r="E59" s="19" t="s">
        <v>108</v>
      </c>
      <c r="F59" s="1"/>
    </row>
    <row r="60" customFormat="false" ht="19.5" hidden="false" customHeight="true" outlineLevel="0" collapsed="false">
      <c r="A60" s="41" t="s">
        <v>122</v>
      </c>
      <c r="B60" s="18" t="s">
        <v>121</v>
      </c>
      <c r="C60" s="25" t="n">
        <v>9</v>
      </c>
      <c r="D60" s="30" t="n">
        <v>4500</v>
      </c>
      <c r="E60" s="19" t="s">
        <v>108</v>
      </c>
      <c r="F60" s="1"/>
    </row>
    <row r="61" customFormat="false" ht="19.5" hidden="false" customHeight="true" outlineLevel="0" collapsed="false">
      <c r="A61" s="41" t="s">
        <v>123</v>
      </c>
      <c r="B61" s="18" t="s">
        <v>121</v>
      </c>
      <c r="C61" s="25" t="n">
        <v>12</v>
      </c>
      <c r="D61" s="30" t="n">
        <v>5500</v>
      </c>
      <c r="E61" s="19" t="s">
        <v>108</v>
      </c>
      <c r="F61" s="1"/>
    </row>
    <row r="62" customFormat="false" ht="19.5" hidden="false" customHeight="true" outlineLevel="0" collapsed="false">
      <c r="A62" s="42" t="s">
        <v>124</v>
      </c>
      <c r="B62" s="18" t="s">
        <v>125</v>
      </c>
      <c r="C62" s="25" t="n">
        <v>3</v>
      </c>
      <c r="D62" s="30" t="n">
        <v>6000</v>
      </c>
      <c r="E62" s="19" t="s">
        <v>108</v>
      </c>
      <c r="F62" s="1"/>
    </row>
    <row r="63" customFormat="false" ht="19.5" hidden="false" customHeight="true" outlineLevel="0" collapsed="false">
      <c r="A63" s="42" t="s">
        <v>126</v>
      </c>
      <c r="B63" s="18" t="s">
        <v>125</v>
      </c>
      <c r="C63" s="25" t="n">
        <v>9</v>
      </c>
      <c r="D63" s="30" t="n">
        <v>4500</v>
      </c>
      <c r="E63" s="19" t="s">
        <v>108</v>
      </c>
      <c r="F63" s="1"/>
    </row>
    <row r="64" customFormat="false" ht="19.5" hidden="false" customHeight="true" outlineLevel="0" collapsed="false">
      <c r="A64" s="42" t="s">
        <v>127</v>
      </c>
      <c r="B64" s="18" t="s">
        <v>125</v>
      </c>
      <c r="C64" s="25" t="n">
        <v>12</v>
      </c>
      <c r="D64" s="30" t="n">
        <v>3500</v>
      </c>
      <c r="E64" s="19" t="s">
        <v>108</v>
      </c>
      <c r="F64" s="1"/>
    </row>
    <row r="65" customFormat="false" ht="19.5" hidden="false" customHeight="true" outlineLevel="0" collapsed="false">
      <c r="A65" s="20" t="s">
        <v>128</v>
      </c>
      <c r="B65" s="18" t="s">
        <v>129</v>
      </c>
      <c r="C65" s="25" t="n">
        <v>1</v>
      </c>
      <c r="D65" s="30" t="n">
        <v>8000</v>
      </c>
      <c r="E65" s="19" t="s">
        <v>108</v>
      </c>
      <c r="F65" s="1"/>
    </row>
    <row r="66" customFormat="false" ht="19.5" hidden="false" customHeight="true" outlineLevel="0" collapsed="false">
      <c r="A66" s="43" t="s">
        <v>130</v>
      </c>
      <c r="B66" s="27" t="n">
        <v>0.138</v>
      </c>
      <c r="C66" s="44"/>
      <c r="D66" s="1"/>
      <c r="E66" s="1"/>
      <c r="F66" s="1"/>
      <c r="G66" s="26" t="s">
        <v>131</v>
      </c>
    </row>
    <row r="67" customFormat="false" ht="6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customFormat="false" ht="19.5" hidden="false" customHeight="true" outlineLevel="0" collapsed="false">
      <c r="A68" s="16" t="s">
        <v>132</v>
      </c>
      <c r="B68" s="16"/>
      <c r="C68" s="16"/>
      <c r="D68" s="16"/>
      <c r="E68" s="16"/>
      <c r="F68" s="16"/>
      <c r="G68" s="16"/>
    </row>
    <row r="69" customFormat="false" ht="15.75" hidden="false" customHeight="true" outlineLevel="0" collapsed="false">
      <c r="A69" s="1"/>
      <c r="B69" s="1"/>
      <c r="C69" s="1"/>
      <c r="D69" s="1"/>
      <c r="E69" s="1"/>
      <c r="F69" s="1"/>
    </row>
    <row r="70" customFormat="false" ht="19.5" hidden="false" customHeight="true" outlineLevel="0" collapsed="false">
      <c r="A70" s="20" t="s">
        <v>133</v>
      </c>
      <c r="B70" s="30" t="n">
        <v>3000</v>
      </c>
      <c r="C70" s="31" t="n">
        <v>3000</v>
      </c>
      <c r="D70" s="32" t="n">
        <v>3000</v>
      </c>
      <c r="E70" s="32" t="n">
        <v>3000</v>
      </c>
      <c r="F70" s="32" t="n">
        <v>3000</v>
      </c>
      <c r="G70" s="26" t="s">
        <v>134</v>
      </c>
    </row>
    <row r="71" customFormat="false" ht="19.5" hidden="false" customHeight="true" outlineLevel="0" collapsed="false">
      <c r="A71" s="13" t="s">
        <v>135</v>
      </c>
      <c r="B71" s="27" t="n">
        <v>0.08</v>
      </c>
      <c r="C71" s="19" t="s">
        <v>136</v>
      </c>
      <c r="D71" s="1"/>
      <c r="E71" s="1"/>
      <c r="F71" s="1"/>
    </row>
    <row r="72" customFormat="false" ht="19.5" hidden="false" customHeight="true" outlineLevel="0" collapsed="false">
      <c r="A72" s="20" t="s">
        <v>137</v>
      </c>
      <c r="B72" s="30" t="n">
        <v>1000</v>
      </c>
      <c r="C72" s="31" t="n">
        <v>1000</v>
      </c>
      <c r="D72" s="32" t="n">
        <v>1000</v>
      </c>
      <c r="E72" s="32" t="n">
        <v>1000</v>
      </c>
      <c r="F72" s="32" t="n">
        <v>1000</v>
      </c>
      <c r="G72" s="26" t="s">
        <v>138</v>
      </c>
    </row>
    <row r="73" customFormat="false" ht="19.5" hidden="false" customHeight="true" outlineLevel="0" collapsed="false">
      <c r="A73" s="13" t="s">
        <v>139</v>
      </c>
      <c r="B73" s="27" t="n">
        <v>0.05</v>
      </c>
      <c r="C73" s="19" t="s">
        <v>140</v>
      </c>
      <c r="D73" s="1"/>
      <c r="E73" s="1"/>
      <c r="F73" s="1"/>
    </row>
    <row r="74" customFormat="false" ht="19.5" hidden="false" customHeight="true" outlineLevel="0" collapsed="false">
      <c r="A74" s="20" t="s">
        <v>141</v>
      </c>
      <c r="B74" s="30" t="n">
        <v>2500</v>
      </c>
      <c r="C74" s="31" t="n">
        <v>2500</v>
      </c>
      <c r="D74" s="32" t="n">
        <v>2500</v>
      </c>
      <c r="E74" s="32" t="n">
        <v>2500</v>
      </c>
      <c r="F74" s="32" t="n">
        <v>2500</v>
      </c>
      <c r="G74" s="26" t="s">
        <v>142</v>
      </c>
    </row>
    <row r="75" customFormat="false" ht="19.5" hidden="false" customHeight="true" outlineLevel="0" collapsed="false">
      <c r="A75" s="13" t="s">
        <v>143</v>
      </c>
      <c r="B75" s="27" t="n">
        <v>0.03</v>
      </c>
      <c r="C75" s="19" t="s">
        <v>144</v>
      </c>
      <c r="D75" s="1"/>
      <c r="E75" s="1"/>
      <c r="F75" s="1"/>
    </row>
    <row r="76" customFormat="false" ht="6" hidden="false" customHeight="tru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customFormat="false" ht="19.5" hidden="false" customHeight="true" outlineLevel="0" collapsed="false">
      <c r="A77" s="16" t="s">
        <v>145</v>
      </c>
      <c r="B77" s="16"/>
      <c r="C77" s="16"/>
      <c r="D77" s="16"/>
      <c r="E77" s="16"/>
      <c r="F77" s="16"/>
      <c r="G77" s="16"/>
    </row>
    <row r="78" customFormat="false" ht="15.75" hidden="false" customHeight="true" outlineLevel="0" collapsed="false">
      <c r="A78" s="1"/>
      <c r="B78" s="1"/>
      <c r="C78" s="1"/>
      <c r="D78" s="1"/>
      <c r="E78" s="1"/>
      <c r="F78" s="1"/>
    </row>
    <row r="79" customFormat="false" ht="19.5" hidden="false" customHeight="true" outlineLevel="0" collapsed="false">
      <c r="A79" s="13" t="s">
        <v>146</v>
      </c>
      <c r="B79" s="30" t="n">
        <v>500000</v>
      </c>
      <c r="C79" s="19"/>
      <c r="D79" s="1"/>
      <c r="E79" s="1"/>
      <c r="F79" s="1"/>
      <c r="G79" s="26" t="s">
        <v>147</v>
      </c>
    </row>
    <row r="80" customFormat="false" ht="19.5" hidden="false" customHeight="true" outlineLevel="0" collapsed="false">
      <c r="A80" s="20" t="s">
        <v>148</v>
      </c>
      <c r="B80" s="30" t="n">
        <v>1500000</v>
      </c>
      <c r="C80" s="19"/>
      <c r="D80" s="1"/>
      <c r="E80" s="1"/>
      <c r="F80" s="1"/>
      <c r="G80" s="26" t="s">
        <v>149</v>
      </c>
    </row>
    <row r="81" customFormat="false" ht="19.5" hidden="false" customHeight="true" outlineLevel="0" collapsed="false">
      <c r="A81" s="13" t="s">
        <v>150</v>
      </c>
      <c r="B81" s="25" t="n">
        <v>6</v>
      </c>
      <c r="C81" s="19"/>
      <c r="D81" s="1"/>
      <c r="E81" s="1"/>
      <c r="F81" s="1"/>
      <c r="G81" s="26" t="s">
        <v>151</v>
      </c>
    </row>
    <row r="82" customFormat="false" ht="19.5" hidden="false" customHeight="true" outlineLevel="0" collapsed="false">
      <c r="A82" s="20" t="s">
        <v>152</v>
      </c>
      <c r="B82" s="30" t="n">
        <v>3000000</v>
      </c>
      <c r="C82" s="19"/>
      <c r="D82" s="1"/>
      <c r="E82" s="1"/>
      <c r="F82" s="1"/>
      <c r="G82" s="26" t="s">
        <v>153</v>
      </c>
    </row>
    <row r="83" customFormat="false" ht="19.5" hidden="false" customHeight="true" outlineLevel="0" collapsed="false">
      <c r="A83" s="13" t="s">
        <v>154</v>
      </c>
      <c r="B83" s="25" t="n">
        <v>18</v>
      </c>
      <c r="C83" s="19"/>
      <c r="D83" s="1"/>
      <c r="E83" s="1"/>
      <c r="F83" s="1"/>
      <c r="G83" s="26" t="s">
        <v>155</v>
      </c>
    </row>
    <row r="84" customFormat="false" ht="19.5" hidden="false" customHeight="true" outlineLevel="0" collapsed="false">
      <c r="A84" s="20" t="s">
        <v>156</v>
      </c>
      <c r="B84" s="25" t="n">
        <v>5</v>
      </c>
      <c r="C84" s="19"/>
      <c r="D84" s="1"/>
      <c r="E84" s="1"/>
      <c r="F84" s="1"/>
      <c r="G84" s="26" t="s">
        <v>157</v>
      </c>
    </row>
    <row r="85" customFormat="false" ht="19.5" hidden="false" customHeight="true" outlineLevel="0" collapsed="false">
      <c r="A85" s="13" t="s">
        <v>158</v>
      </c>
      <c r="B85" s="25" t="n">
        <v>30</v>
      </c>
      <c r="C85" s="19"/>
      <c r="D85" s="1"/>
      <c r="E85" s="1"/>
      <c r="F85" s="1"/>
      <c r="G85" s="26" t="s">
        <v>159</v>
      </c>
    </row>
    <row r="86" customFormat="false" ht="19.5" hidden="false" customHeight="true" outlineLevel="0" collapsed="false">
      <c r="A86" s="20" t="s">
        <v>160</v>
      </c>
      <c r="B86" s="27" t="n">
        <v>0.25</v>
      </c>
      <c r="C86" s="19"/>
      <c r="D86" s="1"/>
      <c r="E86" s="1"/>
      <c r="F86" s="1"/>
      <c r="G86" s="26" t="s">
        <v>161</v>
      </c>
    </row>
    <row r="87" customFormat="false" ht="15.75" hidden="false" customHeight="true" outlineLevel="0" collapsed="false">
      <c r="A87" s="1"/>
      <c r="B87" s="1"/>
      <c r="C87" s="1"/>
      <c r="D87" s="1"/>
      <c r="E87" s="1"/>
      <c r="F87" s="1"/>
    </row>
    <row r="88" customFormat="false" ht="15.75" hidden="false" customHeight="true" outlineLevel="0" collapsed="false">
      <c r="A88" s="1"/>
      <c r="B88" s="1"/>
      <c r="C88" s="1"/>
      <c r="D88" s="1"/>
      <c r="E88" s="1"/>
      <c r="F88" s="1"/>
    </row>
    <row r="89" customFormat="false" ht="15.75" hidden="false" customHeight="true" outlineLevel="0" collapsed="false">
      <c r="A89" s="1"/>
      <c r="B89" s="1"/>
      <c r="C89" s="1"/>
      <c r="D89" s="1"/>
      <c r="E89" s="1"/>
      <c r="F89" s="1"/>
    </row>
    <row r="90" customFormat="false" ht="15.75" hidden="false" customHeight="true" outlineLevel="0" collapsed="false">
      <c r="A90" s="1"/>
      <c r="B90" s="1"/>
      <c r="C90" s="1"/>
      <c r="D90" s="1"/>
      <c r="E90" s="1"/>
      <c r="F90" s="1"/>
    </row>
    <row r="91" customFormat="false" ht="15.75" hidden="false" customHeight="true" outlineLevel="0" collapsed="false">
      <c r="A91" s="1"/>
      <c r="B91" s="1"/>
      <c r="C91" s="1"/>
      <c r="D91" s="1"/>
      <c r="E91" s="1"/>
      <c r="F91" s="1"/>
    </row>
    <row r="92" customFormat="false" ht="15.75" hidden="false" customHeight="true" outlineLevel="0" collapsed="false">
      <c r="A92" s="1"/>
      <c r="B92" s="1"/>
      <c r="C92" s="1"/>
      <c r="D92" s="1"/>
      <c r="E92" s="1"/>
      <c r="F92" s="1"/>
    </row>
    <row r="93" customFormat="false" ht="15.75" hidden="false" customHeight="true" outlineLevel="0" collapsed="false">
      <c r="A93" s="1"/>
      <c r="B93" s="1"/>
      <c r="C93" s="1"/>
      <c r="D93" s="1"/>
      <c r="E93" s="1"/>
      <c r="F93" s="1"/>
    </row>
    <row r="94" customFormat="false" ht="15.75" hidden="false" customHeight="true" outlineLevel="0" collapsed="false">
      <c r="A94" s="1"/>
      <c r="B94" s="1"/>
      <c r="C94" s="1"/>
      <c r="D94" s="1"/>
      <c r="E94" s="1"/>
      <c r="F94" s="1"/>
    </row>
    <row r="95" customFormat="false" ht="15.75" hidden="false" customHeight="true" outlineLevel="0" collapsed="false">
      <c r="A95" s="1"/>
      <c r="B95" s="1"/>
      <c r="C95" s="1"/>
      <c r="D95" s="1"/>
      <c r="E95" s="1"/>
      <c r="F95" s="1"/>
    </row>
    <row r="96" customFormat="false" ht="15.75" hidden="false" customHeight="true" outlineLevel="0" collapsed="false">
      <c r="A96" s="1"/>
      <c r="B96" s="1"/>
      <c r="C96" s="1"/>
      <c r="D96" s="1"/>
      <c r="E96" s="1"/>
      <c r="F96" s="1"/>
    </row>
    <row r="97" customFormat="false" ht="15.75" hidden="false" customHeight="true" outlineLevel="0" collapsed="false">
      <c r="A97" s="1"/>
      <c r="B97" s="1"/>
      <c r="C97" s="1"/>
      <c r="D97" s="1"/>
      <c r="E97" s="1"/>
      <c r="F97" s="1"/>
    </row>
    <row r="98" customFormat="false" ht="15.75" hidden="false" customHeight="true" outlineLevel="0" collapsed="false">
      <c r="A98" s="1"/>
      <c r="B98" s="1"/>
      <c r="C98" s="1"/>
      <c r="D98" s="1"/>
      <c r="E98" s="1"/>
      <c r="F98" s="1"/>
    </row>
    <row r="99" customFormat="false" ht="15.75" hidden="false" customHeight="true" outlineLevel="0" collapsed="false">
      <c r="A99" s="1"/>
      <c r="B99" s="1"/>
      <c r="C99" s="1"/>
      <c r="D99" s="1"/>
      <c r="E99" s="1"/>
      <c r="F99" s="1"/>
    </row>
    <row r="100" customFormat="false" ht="15.75" hidden="false" customHeight="true" outlineLevel="0" collapsed="false">
      <c r="A100" s="1"/>
      <c r="B100" s="1"/>
      <c r="C100" s="1"/>
      <c r="D100" s="1"/>
      <c r="E100" s="1"/>
      <c r="F100" s="1"/>
    </row>
    <row r="101" customFormat="false" ht="15.75" hidden="false" customHeight="true" outlineLevel="0" collapsed="false">
      <c r="A101" s="1"/>
      <c r="B101" s="1"/>
      <c r="C101" s="1"/>
      <c r="D101" s="1"/>
      <c r="E101" s="1"/>
      <c r="F101" s="1"/>
    </row>
    <row r="102" customFormat="false" ht="15.75" hidden="false" customHeight="true" outlineLevel="0" collapsed="false">
      <c r="A102" s="1"/>
      <c r="B102" s="1"/>
      <c r="C102" s="1"/>
      <c r="D102" s="1"/>
      <c r="E102" s="1"/>
      <c r="F102" s="1"/>
    </row>
    <row r="103" customFormat="false" ht="15.75" hidden="false" customHeight="true" outlineLevel="0" collapsed="false">
      <c r="A103" s="1"/>
      <c r="B103" s="1"/>
      <c r="C103" s="1"/>
      <c r="D103" s="1"/>
      <c r="E103" s="1"/>
      <c r="F103" s="1"/>
    </row>
    <row r="104" customFormat="false" ht="15.75" hidden="false" customHeight="true" outlineLevel="0" collapsed="false">
      <c r="A104" s="1"/>
      <c r="B104" s="1"/>
      <c r="C104" s="1"/>
      <c r="D104" s="1"/>
      <c r="E104" s="1"/>
      <c r="F104" s="1"/>
    </row>
    <row r="105" customFormat="false" ht="15.75" hidden="false" customHeight="true" outlineLevel="0" collapsed="false">
      <c r="A105" s="1"/>
      <c r="B105" s="1"/>
      <c r="C105" s="1"/>
      <c r="D105" s="1"/>
      <c r="E105" s="1"/>
      <c r="F105" s="1"/>
    </row>
    <row r="106" customFormat="false" ht="15.75" hidden="false" customHeight="true" outlineLevel="0" collapsed="false">
      <c r="A106" s="1"/>
      <c r="B106" s="1"/>
      <c r="C106" s="1"/>
      <c r="D106" s="1"/>
      <c r="E106" s="1"/>
      <c r="F106" s="1"/>
    </row>
    <row r="107" customFormat="false" ht="15.75" hidden="false" customHeight="true" outlineLevel="0" collapsed="false">
      <c r="A107" s="1"/>
      <c r="B107" s="1"/>
      <c r="C107" s="1"/>
      <c r="D107" s="1"/>
      <c r="E107" s="1"/>
      <c r="F107" s="1"/>
    </row>
    <row r="108" customFormat="false" ht="15.75" hidden="false" customHeight="true" outlineLevel="0" collapsed="false">
      <c r="A108" s="1"/>
      <c r="B108" s="1"/>
      <c r="C108" s="1"/>
      <c r="D108" s="1"/>
      <c r="E108" s="1"/>
      <c r="F108" s="1"/>
    </row>
    <row r="109" customFormat="false" ht="15.75" hidden="false" customHeight="true" outlineLevel="0" collapsed="false">
      <c r="A109" s="1"/>
      <c r="B109" s="1"/>
      <c r="C109" s="1"/>
      <c r="D109" s="1"/>
      <c r="E109" s="1"/>
      <c r="F109" s="1"/>
    </row>
    <row r="110" customFormat="false" ht="15.75" hidden="false" customHeight="true" outlineLevel="0" collapsed="false">
      <c r="A110" s="1"/>
      <c r="B110" s="1"/>
      <c r="C110" s="1"/>
      <c r="D110" s="1"/>
      <c r="E110" s="1"/>
      <c r="F110" s="1"/>
    </row>
    <row r="111" customFormat="false" ht="15.75" hidden="false" customHeight="true" outlineLevel="0" collapsed="false">
      <c r="A111" s="1"/>
      <c r="B111" s="1"/>
      <c r="C111" s="1"/>
      <c r="D111" s="1"/>
      <c r="E111" s="1"/>
      <c r="F111" s="1"/>
    </row>
    <row r="112" customFormat="false" ht="15.75" hidden="false" customHeight="true" outlineLevel="0" collapsed="false">
      <c r="A112" s="1"/>
      <c r="B112" s="1"/>
      <c r="C112" s="1"/>
      <c r="D112" s="1"/>
      <c r="E112" s="1"/>
      <c r="F112" s="1"/>
    </row>
    <row r="113" customFormat="false" ht="15.75" hidden="false" customHeight="true" outlineLevel="0" collapsed="false">
      <c r="A113" s="1"/>
      <c r="B113" s="1"/>
      <c r="C113" s="1"/>
      <c r="D113" s="1"/>
      <c r="E113" s="1"/>
      <c r="F113" s="1"/>
    </row>
    <row r="114" customFormat="false" ht="15.75" hidden="false" customHeight="true" outlineLevel="0" collapsed="false">
      <c r="A114" s="1"/>
      <c r="B114" s="1"/>
      <c r="C114" s="1"/>
      <c r="D114" s="1"/>
      <c r="E114" s="1"/>
      <c r="F114" s="1"/>
    </row>
    <row r="115" customFormat="false" ht="15.75" hidden="false" customHeight="true" outlineLevel="0" collapsed="false">
      <c r="A115" s="1"/>
      <c r="B115" s="1"/>
      <c r="C115" s="1"/>
      <c r="D115" s="1"/>
      <c r="E115" s="1"/>
      <c r="F115" s="1"/>
    </row>
    <row r="116" customFormat="false" ht="15.75" hidden="false" customHeight="true" outlineLevel="0" collapsed="false">
      <c r="A116" s="1"/>
      <c r="B116" s="1"/>
      <c r="C116" s="1"/>
      <c r="D116" s="1"/>
      <c r="E116" s="1"/>
      <c r="F116" s="1"/>
    </row>
    <row r="117" customFormat="false" ht="15.75" hidden="false" customHeight="true" outlineLevel="0" collapsed="false">
      <c r="A117" s="1"/>
      <c r="B117" s="1"/>
      <c r="C117" s="1"/>
      <c r="D117" s="1"/>
      <c r="E117" s="1"/>
      <c r="F117" s="1"/>
    </row>
    <row r="118" customFormat="false" ht="15.75" hidden="false" customHeight="true" outlineLevel="0" collapsed="false">
      <c r="A118" s="1"/>
      <c r="B118" s="1"/>
      <c r="C118" s="1"/>
      <c r="D118" s="1"/>
      <c r="E118" s="1"/>
      <c r="F118" s="1"/>
    </row>
    <row r="119" customFormat="false" ht="15.75" hidden="false" customHeight="true" outlineLevel="0" collapsed="false">
      <c r="A119" s="1"/>
      <c r="B119" s="1"/>
      <c r="C119" s="1"/>
      <c r="D119" s="1"/>
      <c r="E119" s="1"/>
      <c r="F119" s="1"/>
    </row>
    <row r="120" customFormat="false" ht="15.75" hidden="false" customHeight="true" outlineLevel="0" collapsed="false">
      <c r="A120" s="1"/>
      <c r="B120" s="1"/>
      <c r="C120" s="1"/>
      <c r="D120" s="1"/>
      <c r="E120" s="1"/>
      <c r="F120" s="1"/>
    </row>
    <row r="121" customFormat="false" ht="15.75" hidden="false" customHeight="true" outlineLevel="0" collapsed="false">
      <c r="A121" s="1"/>
      <c r="B121" s="1"/>
      <c r="C121" s="1"/>
      <c r="D121" s="1"/>
      <c r="E121" s="1"/>
      <c r="F121" s="1"/>
    </row>
    <row r="122" customFormat="false" ht="15.75" hidden="false" customHeight="true" outlineLevel="0" collapsed="false">
      <c r="A122" s="1"/>
      <c r="B122" s="1"/>
      <c r="C122" s="1"/>
      <c r="D122" s="1"/>
      <c r="E122" s="1"/>
      <c r="F122" s="1"/>
    </row>
    <row r="123" customFormat="false" ht="15.75" hidden="false" customHeight="true" outlineLevel="0" collapsed="false">
      <c r="A123" s="1"/>
      <c r="B123" s="1"/>
      <c r="C123" s="1"/>
      <c r="D123" s="1"/>
      <c r="E123" s="1"/>
      <c r="F123" s="1"/>
    </row>
    <row r="124" customFormat="false" ht="15.75" hidden="false" customHeight="true" outlineLevel="0" collapsed="false">
      <c r="A124" s="1"/>
      <c r="B124" s="1"/>
      <c r="C124" s="1"/>
      <c r="D124" s="1"/>
      <c r="E124" s="1"/>
      <c r="F124" s="1"/>
    </row>
    <row r="125" customFormat="false" ht="15.75" hidden="false" customHeight="true" outlineLevel="0" collapsed="false">
      <c r="A125" s="1"/>
      <c r="B125" s="1"/>
      <c r="C125" s="1"/>
      <c r="D125" s="1"/>
      <c r="E125" s="1"/>
      <c r="F125" s="1"/>
    </row>
    <row r="126" customFormat="false" ht="15.75" hidden="false" customHeight="true" outlineLevel="0" collapsed="false">
      <c r="A126" s="1"/>
      <c r="B126" s="1"/>
      <c r="C126" s="1"/>
      <c r="D126" s="1"/>
      <c r="E126" s="1"/>
      <c r="F126" s="1"/>
    </row>
    <row r="127" customFormat="false" ht="15.75" hidden="false" customHeight="true" outlineLevel="0" collapsed="false">
      <c r="A127" s="1"/>
      <c r="B127" s="1"/>
      <c r="C127" s="1"/>
      <c r="D127" s="1"/>
      <c r="E127" s="1"/>
      <c r="F127" s="1"/>
    </row>
    <row r="128" customFormat="false" ht="15.75" hidden="false" customHeight="true" outlineLevel="0" collapsed="false">
      <c r="A128" s="1"/>
      <c r="B128" s="1"/>
      <c r="C128" s="1"/>
      <c r="D128" s="1"/>
      <c r="E128" s="1"/>
      <c r="F128" s="1"/>
    </row>
    <row r="129" customFormat="false" ht="15.75" hidden="false" customHeight="true" outlineLevel="0" collapsed="false">
      <c r="A129" s="1"/>
      <c r="B129" s="1"/>
      <c r="C129" s="1"/>
      <c r="D129" s="1"/>
      <c r="E129" s="1"/>
      <c r="F129" s="1"/>
    </row>
    <row r="130" customFormat="false" ht="15.75" hidden="false" customHeight="true" outlineLevel="0" collapsed="false">
      <c r="A130" s="1"/>
      <c r="B130" s="1"/>
      <c r="C130" s="1"/>
      <c r="D130" s="1"/>
      <c r="E130" s="1"/>
      <c r="F130" s="1"/>
    </row>
    <row r="131" customFormat="false" ht="15.75" hidden="false" customHeight="true" outlineLevel="0" collapsed="false">
      <c r="A131" s="1"/>
      <c r="B131" s="1"/>
      <c r="C131" s="1"/>
      <c r="D131" s="1"/>
      <c r="E131" s="1"/>
      <c r="F131" s="1"/>
    </row>
    <row r="132" customFormat="false" ht="15.75" hidden="false" customHeight="true" outlineLevel="0" collapsed="false">
      <c r="A132" s="1"/>
      <c r="B132" s="1"/>
      <c r="C132" s="1"/>
      <c r="D132" s="1"/>
      <c r="E132" s="1"/>
      <c r="F132" s="1"/>
    </row>
    <row r="133" customFormat="false" ht="15.75" hidden="false" customHeight="true" outlineLevel="0" collapsed="false">
      <c r="A133" s="1"/>
      <c r="B133" s="1"/>
      <c r="C133" s="1"/>
      <c r="D133" s="1"/>
      <c r="E133" s="1"/>
      <c r="F133" s="1"/>
    </row>
    <row r="134" customFormat="false" ht="15.75" hidden="false" customHeight="true" outlineLevel="0" collapsed="false">
      <c r="A134" s="1"/>
      <c r="B134" s="1"/>
      <c r="C134" s="1"/>
      <c r="D134" s="1"/>
      <c r="E134" s="1"/>
      <c r="F134" s="1"/>
    </row>
    <row r="135" customFormat="false" ht="15.75" hidden="false" customHeight="true" outlineLevel="0" collapsed="false">
      <c r="A135" s="1"/>
      <c r="B135" s="1"/>
      <c r="C135" s="1"/>
      <c r="D135" s="1"/>
      <c r="E135" s="1"/>
      <c r="F135" s="1"/>
    </row>
    <row r="136" customFormat="false" ht="15.75" hidden="false" customHeight="true" outlineLevel="0" collapsed="false">
      <c r="A136" s="1"/>
      <c r="B136" s="1"/>
      <c r="C136" s="1"/>
      <c r="D136" s="1"/>
      <c r="E136" s="1"/>
      <c r="F136" s="1"/>
    </row>
    <row r="137" customFormat="false" ht="15.75" hidden="false" customHeight="true" outlineLevel="0" collapsed="false">
      <c r="A137" s="1"/>
      <c r="B137" s="1"/>
      <c r="C137" s="1"/>
      <c r="D137" s="1"/>
      <c r="E137" s="1"/>
      <c r="F137" s="1"/>
    </row>
    <row r="138" customFormat="false" ht="15.75" hidden="false" customHeight="true" outlineLevel="0" collapsed="false">
      <c r="A138" s="1"/>
      <c r="B138" s="1"/>
      <c r="C138" s="1"/>
      <c r="D138" s="1"/>
      <c r="E138" s="1"/>
      <c r="F138" s="1"/>
    </row>
    <row r="139" customFormat="false" ht="15.75" hidden="false" customHeight="true" outlineLevel="0" collapsed="false">
      <c r="A139" s="1"/>
      <c r="B139" s="1"/>
      <c r="C139" s="1"/>
      <c r="D139" s="1"/>
      <c r="E139" s="1"/>
      <c r="F139" s="1"/>
    </row>
    <row r="140" customFormat="false" ht="15.75" hidden="false" customHeight="true" outlineLevel="0" collapsed="false">
      <c r="A140" s="1"/>
      <c r="B140" s="1"/>
      <c r="C140" s="1"/>
      <c r="D140" s="1"/>
      <c r="E140" s="1"/>
      <c r="F140" s="1"/>
    </row>
    <row r="141" customFormat="false" ht="15.75" hidden="false" customHeight="true" outlineLevel="0" collapsed="false">
      <c r="A141" s="1"/>
      <c r="B141" s="1"/>
      <c r="C141" s="1"/>
      <c r="D141" s="1"/>
      <c r="E141" s="1"/>
      <c r="F141" s="1"/>
    </row>
    <row r="142" customFormat="false" ht="15.75" hidden="false" customHeight="true" outlineLevel="0" collapsed="false">
      <c r="A142" s="1"/>
      <c r="B142" s="1"/>
      <c r="C142" s="1"/>
      <c r="D142" s="1"/>
      <c r="E142" s="1"/>
      <c r="F142" s="1"/>
    </row>
    <row r="143" customFormat="false" ht="15.75" hidden="false" customHeight="true" outlineLevel="0" collapsed="false">
      <c r="A143" s="1"/>
      <c r="B143" s="1"/>
      <c r="C143" s="1"/>
      <c r="D143" s="1"/>
      <c r="E143" s="1"/>
      <c r="F143" s="1"/>
    </row>
    <row r="144" customFormat="false" ht="15.75" hidden="false" customHeight="true" outlineLevel="0" collapsed="false">
      <c r="A144" s="1"/>
      <c r="B144" s="1"/>
      <c r="C144" s="1"/>
      <c r="D144" s="1"/>
      <c r="E144" s="1"/>
      <c r="F144" s="1"/>
    </row>
    <row r="145" customFormat="false" ht="15.75" hidden="false" customHeight="true" outlineLevel="0" collapsed="false">
      <c r="A145" s="1"/>
      <c r="B145" s="1"/>
      <c r="C145" s="1"/>
      <c r="D145" s="1"/>
      <c r="E145" s="1"/>
      <c r="F145" s="1"/>
    </row>
    <row r="146" customFormat="false" ht="15.75" hidden="false" customHeight="true" outlineLevel="0" collapsed="false">
      <c r="A146" s="1"/>
      <c r="B146" s="1"/>
      <c r="C146" s="1"/>
      <c r="D146" s="1"/>
      <c r="E146" s="1"/>
      <c r="F146" s="1"/>
    </row>
    <row r="147" customFormat="false" ht="15.75" hidden="false" customHeight="true" outlineLevel="0" collapsed="false">
      <c r="A147" s="1"/>
      <c r="B147" s="1"/>
      <c r="C147" s="1"/>
      <c r="D147" s="1"/>
      <c r="E147" s="1"/>
      <c r="F147" s="1"/>
    </row>
    <row r="148" customFormat="false" ht="15.75" hidden="false" customHeight="true" outlineLevel="0" collapsed="false">
      <c r="A148" s="1"/>
      <c r="B148" s="1"/>
      <c r="C148" s="1"/>
      <c r="D148" s="1"/>
      <c r="E148" s="1"/>
      <c r="F148" s="1"/>
    </row>
    <row r="149" customFormat="false" ht="15.75" hidden="false" customHeight="true" outlineLevel="0" collapsed="false">
      <c r="A149" s="1"/>
      <c r="B149" s="1"/>
      <c r="C149" s="1"/>
      <c r="D149" s="1"/>
      <c r="E149" s="1"/>
      <c r="F149" s="1"/>
    </row>
    <row r="150" customFormat="false" ht="15.75" hidden="false" customHeight="true" outlineLevel="0" collapsed="false">
      <c r="A150" s="1"/>
      <c r="B150" s="1"/>
      <c r="C150" s="1"/>
      <c r="D150" s="1"/>
      <c r="E150" s="1"/>
      <c r="F150" s="1"/>
    </row>
    <row r="151" customFormat="false" ht="15.75" hidden="false" customHeight="true" outlineLevel="0" collapsed="false">
      <c r="A151" s="1"/>
      <c r="B151" s="1"/>
      <c r="C151" s="1"/>
      <c r="D151" s="1"/>
      <c r="E151" s="1"/>
      <c r="F151" s="1"/>
    </row>
    <row r="152" customFormat="false" ht="15.75" hidden="false" customHeight="true" outlineLevel="0" collapsed="false">
      <c r="A152" s="1"/>
      <c r="B152" s="1"/>
      <c r="C152" s="1"/>
      <c r="D152" s="1"/>
      <c r="E152" s="1"/>
      <c r="F152" s="1"/>
    </row>
    <row r="153" customFormat="false" ht="15.75" hidden="false" customHeight="true" outlineLevel="0" collapsed="false">
      <c r="A153" s="1"/>
      <c r="B153" s="1"/>
      <c r="C153" s="1"/>
      <c r="D153" s="1"/>
      <c r="E153" s="1"/>
      <c r="F153" s="1"/>
    </row>
    <row r="154" customFormat="false" ht="15.75" hidden="false" customHeight="true" outlineLevel="0" collapsed="false">
      <c r="A154" s="1"/>
      <c r="B154" s="1"/>
      <c r="C154" s="1"/>
      <c r="D154" s="1"/>
      <c r="E154" s="1"/>
      <c r="F154" s="1"/>
    </row>
    <row r="155" customFormat="false" ht="15.75" hidden="false" customHeight="true" outlineLevel="0" collapsed="false">
      <c r="A155" s="1"/>
      <c r="B155" s="1"/>
      <c r="C155" s="1"/>
      <c r="D155" s="1"/>
      <c r="E155" s="1"/>
      <c r="F155" s="1"/>
    </row>
    <row r="156" customFormat="false" ht="15.75" hidden="false" customHeight="true" outlineLevel="0" collapsed="false">
      <c r="A156" s="1"/>
      <c r="B156" s="1"/>
      <c r="C156" s="1"/>
      <c r="D156" s="1"/>
      <c r="E156" s="1"/>
      <c r="F156" s="1"/>
    </row>
    <row r="157" customFormat="false" ht="15.75" hidden="false" customHeight="true" outlineLevel="0" collapsed="false">
      <c r="A157" s="1"/>
      <c r="B157" s="1"/>
      <c r="C157" s="1"/>
      <c r="D157" s="1"/>
      <c r="E157" s="1"/>
      <c r="F157" s="1"/>
    </row>
    <row r="158" customFormat="false" ht="15.75" hidden="false" customHeight="true" outlineLevel="0" collapsed="false">
      <c r="A158" s="1"/>
      <c r="B158" s="1"/>
      <c r="C158" s="1"/>
      <c r="D158" s="1"/>
      <c r="E158" s="1"/>
      <c r="F158" s="1"/>
    </row>
    <row r="159" customFormat="false" ht="15.75" hidden="false" customHeight="true" outlineLevel="0" collapsed="false">
      <c r="A159" s="1"/>
      <c r="B159" s="1"/>
      <c r="C159" s="1"/>
      <c r="D159" s="1"/>
      <c r="E159" s="1"/>
      <c r="F159" s="1"/>
    </row>
    <row r="160" customFormat="false" ht="15.75" hidden="false" customHeight="true" outlineLevel="0" collapsed="false">
      <c r="A160" s="1"/>
      <c r="B160" s="1"/>
      <c r="C160" s="1"/>
      <c r="D160" s="1"/>
      <c r="E160" s="1"/>
      <c r="F160" s="1"/>
    </row>
    <row r="161" customFormat="false" ht="15.75" hidden="false" customHeight="true" outlineLevel="0" collapsed="false">
      <c r="A161" s="1"/>
      <c r="B161" s="1"/>
      <c r="C161" s="1"/>
      <c r="D161" s="1"/>
      <c r="E161" s="1"/>
      <c r="F161" s="1"/>
    </row>
    <row r="162" customFormat="false" ht="15.75" hidden="false" customHeight="true" outlineLevel="0" collapsed="false">
      <c r="A162" s="1"/>
      <c r="B162" s="1"/>
      <c r="C162" s="1"/>
      <c r="D162" s="1"/>
      <c r="E162" s="1"/>
      <c r="F162" s="1"/>
    </row>
    <row r="163" customFormat="false" ht="15.75" hidden="false" customHeight="true" outlineLevel="0" collapsed="false">
      <c r="A163" s="1"/>
      <c r="B163" s="1"/>
      <c r="C163" s="1"/>
      <c r="D163" s="1"/>
      <c r="E163" s="1"/>
      <c r="F163" s="1"/>
    </row>
    <row r="164" customFormat="false" ht="15.75" hidden="false" customHeight="true" outlineLevel="0" collapsed="false">
      <c r="A164" s="1"/>
      <c r="B164" s="1"/>
      <c r="C164" s="1"/>
      <c r="D164" s="1"/>
      <c r="E164" s="1"/>
      <c r="F164" s="1"/>
    </row>
    <row r="165" customFormat="false" ht="15.75" hidden="false" customHeight="true" outlineLevel="0" collapsed="false">
      <c r="A165" s="1"/>
      <c r="B165" s="1"/>
      <c r="C165" s="1"/>
      <c r="D165" s="1"/>
      <c r="E165" s="1"/>
      <c r="F165" s="1"/>
    </row>
    <row r="166" customFormat="false" ht="15.75" hidden="false" customHeight="true" outlineLevel="0" collapsed="false">
      <c r="A166" s="1"/>
      <c r="B166" s="1"/>
      <c r="C166" s="1"/>
      <c r="D166" s="1"/>
      <c r="E166" s="1"/>
      <c r="F166" s="1"/>
    </row>
    <row r="167" customFormat="false" ht="15.75" hidden="false" customHeight="true" outlineLevel="0" collapsed="false">
      <c r="A167" s="1"/>
      <c r="B167" s="1"/>
      <c r="C167" s="1"/>
      <c r="D167" s="1"/>
      <c r="E167" s="1"/>
      <c r="F167" s="1"/>
    </row>
    <row r="168" customFormat="false" ht="15.75" hidden="false" customHeight="true" outlineLevel="0" collapsed="false">
      <c r="A168" s="1"/>
      <c r="B168" s="1"/>
      <c r="C168" s="1"/>
      <c r="D168" s="1"/>
      <c r="E168" s="1"/>
      <c r="F168" s="1"/>
    </row>
    <row r="169" customFormat="false" ht="15.75" hidden="false" customHeight="true" outlineLevel="0" collapsed="false">
      <c r="A169" s="1"/>
      <c r="B169" s="1"/>
      <c r="C169" s="1"/>
      <c r="D169" s="1"/>
      <c r="E169" s="1"/>
      <c r="F169" s="1"/>
    </row>
    <row r="170" customFormat="false" ht="15.75" hidden="false" customHeight="true" outlineLevel="0" collapsed="false">
      <c r="A170" s="1"/>
      <c r="B170" s="1"/>
      <c r="C170" s="1"/>
      <c r="D170" s="1"/>
      <c r="E170" s="1"/>
      <c r="F170" s="1"/>
    </row>
    <row r="171" customFormat="false" ht="15.75" hidden="false" customHeight="true" outlineLevel="0" collapsed="false">
      <c r="A171" s="1"/>
      <c r="B171" s="1"/>
      <c r="C171" s="1"/>
      <c r="D171" s="1"/>
      <c r="E171" s="1"/>
      <c r="F171" s="1"/>
    </row>
    <row r="172" customFormat="false" ht="15.75" hidden="false" customHeight="true" outlineLevel="0" collapsed="false">
      <c r="A172" s="1"/>
      <c r="B172" s="1"/>
      <c r="C172" s="1"/>
      <c r="D172" s="1"/>
      <c r="E172" s="1"/>
      <c r="F172" s="1"/>
    </row>
    <row r="173" customFormat="false" ht="15.75" hidden="false" customHeight="true" outlineLevel="0" collapsed="false">
      <c r="A173" s="1"/>
      <c r="B173" s="1"/>
      <c r="C173" s="1"/>
      <c r="D173" s="1"/>
      <c r="E173" s="1"/>
      <c r="F173" s="1"/>
    </row>
    <row r="174" customFormat="false" ht="15.75" hidden="false" customHeight="true" outlineLevel="0" collapsed="false">
      <c r="A174" s="1"/>
      <c r="B174" s="1"/>
      <c r="C174" s="1"/>
      <c r="D174" s="1"/>
      <c r="E174" s="1"/>
      <c r="F174" s="1"/>
    </row>
    <row r="175" customFormat="false" ht="15.75" hidden="false" customHeight="true" outlineLevel="0" collapsed="false">
      <c r="A175" s="1"/>
      <c r="B175" s="1"/>
      <c r="C175" s="1"/>
      <c r="D175" s="1"/>
      <c r="E175" s="1"/>
      <c r="F175" s="1"/>
    </row>
    <row r="176" customFormat="false" ht="15.75" hidden="false" customHeight="true" outlineLevel="0" collapsed="false">
      <c r="A176" s="1"/>
      <c r="B176" s="1"/>
      <c r="C176" s="1"/>
      <c r="D176" s="1"/>
      <c r="E176" s="1"/>
      <c r="F176" s="1"/>
    </row>
    <row r="177" customFormat="false" ht="15.75" hidden="false" customHeight="true" outlineLevel="0" collapsed="false">
      <c r="A177" s="1"/>
      <c r="B177" s="1"/>
      <c r="C177" s="1"/>
      <c r="D177" s="1"/>
      <c r="E177" s="1"/>
      <c r="F177" s="1"/>
    </row>
    <row r="178" customFormat="false" ht="15.75" hidden="false" customHeight="true" outlineLevel="0" collapsed="false">
      <c r="A178" s="1"/>
      <c r="B178" s="1"/>
      <c r="C178" s="1"/>
      <c r="D178" s="1"/>
      <c r="E178" s="1"/>
      <c r="F178" s="1"/>
    </row>
    <row r="179" customFormat="false" ht="15.75" hidden="false" customHeight="true" outlineLevel="0" collapsed="false">
      <c r="A179" s="1"/>
      <c r="B179" s="1"/>
      <c r="C179" s="1"/>
      <c r="D179" s="1"/>
      <c r="E179" s="1"/>
      <c r="F179" s="1"/>
    </row>
    <row r="180" customFormat="false" ht="15.75" hidden="false" customHeight="true" outlineLevel="0" collapsed="false">
      <c r="A180" s="1"/>
      <c r="B180" s="1"/>
      <c r="C180" s="1"/>
      <c r="D180" s="1"/>
      <c r="E180" s="1"/>
      <c r="F180" s="1"/>
    </row>
    <row r="181" customFormat="false" ht="15.75" hidden="false" customHeight="true" outlineLevel="0" collapsed="false">
      <c r="A181" s="1"/>
      <c r="B181" s="1"/>
      <c r="C181" s="1"/>
      <c r="D181" s="1"/>
      <c r="E181" s="1"/>
      <c r="F181" s="1"/>
    </row>
    <row r="182" customFormat="false" ht="15.75" hidden="false" customHeight="true" outlineLevel="0" collapsed="false">
      <c r="A182" s="1"/>
      <c r="B182" s="1"/>
      <c r="C182" s="1"/>
      <c r="D182" s="1"/>
      <c r="E182" s="1"/>
      <c r="F182" s="1"/>
    </row>
    <row r="183" customFormat="false" ht="15.75" hidden="false" customHeight="true" outlineLevel="0" collapsed="false">
      <c r="A183" s="1"/>
      <c r="B183" s="1"/>
      <c r="C183" s="1"/>
      <c r="D183" s="1"/>
      <c r="E183" s="1"/>
      <c r="F183" s="1"/>
    </row>
    <row r="184" customFormat="false" ht="15.75" hidden="false" customHeight="true" outlineLevel="0" collapsed="false">
      <c r="A184" s="1"/>
      <c r="B184" s="1"/>
      <c r="C184" s="1"/>
      <c r="D184" s="1"/>
      <c r="E184" s="1"/>
      <c r="F184" s="1"/>
    </row>
    <row r="185" customFormat="false" ht="15.75" hidden="false" customHeight="true" outlineLevel="0" collapsed="false">
      <c r="A185" s="1"/>
      <c r="B185" s="1"/>
      <c r="C185" s="1"/>
      <c r="D185" s="1"/>
      <c r="E185" s="1"/>
      <c r="F185" s="1"/>
    </row>
    <row r="186" customFormat="false" ht="15.75" hidden="false" customHeight="true" outlineLevel="0" collapsed="false">
      <c r="A186" s="1"/>
      <c r="B186" s="1"/>
      <c r="C186" s="1"/>
      <c r="D186" s="1"/>
      <c r="E186" s="1"/>
      <c r="F186" s="1"/>
    </row>
    <row r="187" customFormat="false" ht="15.75" hidden="false" customHeight="true" outlineLevel="0" collapsed="false">
      <c r="A187" s="1"/>
      <c r="B187" s="1"/>
      <c r="C187" s="1"/>
      <c r="D187" s="1"/>
      <c r="E187" s="1"/>
      <c r="F187" s="1"/>
    </row>
    <row r="188" customFormat="false" ht="15.75" hidden="false" customHeight="true" outlineLevel="0" collapsed="false">
      <c r="A188" s="1"/>
      <c r="B188" s="1"/>
      <c r="C188" s="1"/>
      <c r="D188" s="1"/>
      <c r="E188" s="1"/>
      <c r="F188" s="1"/>
    </row>
    <row r="189" customFormat="false" ht="15.75" hidden="false" customHeight="true" outlineLevel="0" collapsed="false">
      <c r="A189" s="1"/>
      <c r="B189" s="1"/>
      <c r="C189" s="1"/>
      <c r="D189" s="1"/>
      <c r="E189" s="1"/>
      <c r="F189" s="1"/>
    </row>
    <row r="190" customFormat="false" ht="15.75" hidden="false" customHeight="true" outlineLevel="0" collapsed="false">
      <c r="A190" s="1"/>
      <c r="B190" s="1"/>
      <c r="C190" s="1"/>
      <c r="D190" s="1"/>
      <c r="E190" s="1"/>
      <c r="F190" s="1"/>
    </row>
    <row r="191" customFormat="false" ht="15.75" hidden="false" customHeight="true" outlineLevel="0" collapsed="false">
      <c r="A191" s="1"/>
      <c r="B191" s="1"/>
      <c r="C191" s="1"/>
      <c r="D191" s="1"/>
      <c r="E191" s="1"/>
      <c r="F191" s="1"/>
    </row>
    <row r="192" customFormat="false" ht="15.75" hidden="false" customHeight="true" outlineLevel="0" collapsed="false">
      <c r="A192" s="1"/>
      <c r="B192" s="1"/>
      <c r="C192" s="1"/>
      <c r="D192" s="1"/>
      <c r="E192" s="1"/>
      <c r="F192" s="1"/>
    </row>
    <row r="193" customFormat="false" ht="15.75" hidden="false" customHeight="true" outlineLevel="0" collapsed="false">
      <c r="A193" s="1"/>
      <c r="B193" s="1"/>
      <c r="C193" s="1"/>
      <c r="D193" s="1"/>
      <c r="E193" s="1"/>
      <c r="F193" s="1"/>
    </row>
    <row r="194" customFormat="false" ht="15.75" hidden="false" customHeight="true" outlineLevel="0" collapsed="false">
      <c r="A194" s="1"/>
      <c r="B194" s="1"/>
      <c r="C194" s="1"/>
      <c r="D194" s="1"/>
      <c r="E194" s="1"/>
      <c r="F194" s="1"/>
    </row>
    <row r="195" customFormat="false" ht="15.75" hidden="false" customHeight="true" outlineLevel="0" collapsed="false">
      <c r="A195" s="1"/>
      <c r="B195" s="1"/>
      <c r="C195" s="1"/>
      <c r="D195" s="1"/>
      <c r="E195" s="1"/>
      <c r="F195" s="1"/>
    </row>
    <row r="196" customFormat="false" ht="15.75" hidden="false" customHeight="true" outlineLevel="0" collapsed="false">
      <c r="A196" s="1"/>
      <c r="B196" s="1"/>
      <c r="C196" s="1"/>
      <c r="D196" s="1"/>
      <c r="E196" s="1"/>
      <c r="F196" s="1"/>
    </row>
    <row r="197" customFormat="false" ht="15.75" hidden="false" customHeight="true" outlineLevel="0" collapsed="false">
      <c r="A197" s="1"/>
      <c r="B197" s="1"/>
      <c r="C197" s="1"/>
      <c r="D197" s="1"/>
      <c r="E197" s="1"/>
      <c r="F197" s="1"/>
    </row>
    <row r="198" customFormat="false" ht="15.75" hidden="false" customHeight="true" outlineLevel="0" collapsed="false">
      <c r="A198" s="1"/>
      <c r="B198" s="1"/>
      <c r="C198" s="1"/>
      <c r="D198" s="1"/>
      <c r="E198" s="1"/>
      <c r="F198" s="1"/>
    </row>
    <row r="199" customFormat="false" ht="15.75" hidden="false" customHeight="true" outlineLevel="0" collapsed="false">
      <c r="A199" s="1"/>
      <c r="B199" s="1"/>
      <c r="C199" s="1"/>
      <c r="D199" s="1"/>
      <c r="E199" s="1"/>
      <c r="F199" s="1"/>
    </row>
    <row r="200" customFormat="false" ht="15.75" hidden="false" customHeight="true" outlineLevel="0" collapsed="false">
      <c r="A200" s="1"/>
      <c r="B200" s="1"/>
      <c r="C200" s="1"/>
      <c r="D200" s="1"/>
      <c r="E200" s="1"/>
      <c r="F200" s="1"/>
    </row>
    <row r="201" customFormat="false" ht="15.75" hidden="false" customHeight="true" outlineLevel="0" collapsed="false">
      <c r="A201" s="1"/>
      <c r="B201" s="1"/>
      <c r="C201" s="1"/>
      <c r="D201" s="1"/>
      <c r="E201" s="1"/>
      <c r="F201" s="1"/>
    </row>
    <row r="202" customFormat="false" ht="15.75" hidden="false" customHeight="true" outlineLevel="0" collapsed="false">
      <c r="A202" s="1"/>
      <c r="B202" s="1"/>
      <c r="C202" s="1"/>
      <c r="D202" s="1"/>
      <c r="E202" s="1"/>
      <c r="F202" s="1"/>
    </row>
    <row r="203" customFormat="false" ht="15.75" hidden="false" customHeight="true" outlineLevel="0" collapsed="false">
      <c r="A203" s="1"/>
      <c r="B203" s="1"/>
      <c r="C203" s="1"/>
      <c r="D203" s="1"/>
      <c r="E203" s="1"/>
      <c r="F203" s="1"/>
    </row>
    <row r="204" customFormat="false" ht="15.75" hidden="false" customHeight="true" outlineLevel="0" collapsed="false">
      <c r="A204" s="1"/>
      <c r="B204" s="1"/>
      <c r="C204" s="1"/>
      <c r="D204" s="1"/>
      <c r="E204" s="1"/>
      <c r="F204" s="1"/>
    </row>
    <row r="205" customFormat="false" ht="15.75" hidden="false" customHeight="true" outlineLevel="0" collapsed="false">
      <c r="A205" s="1"/>
      <c r="B205" s="1"/>
      <c r="C205" s="1"/>
      <c r="D205" s="1"/>
      <c r="E205" s="1"/>
      <c r="F205" s="1"/>
    </row>
    <row r="206" customFormat="false" ht="15.75" hidden="false" customHeight="true" outlineLevel="0" collapsed="false">
      <c r="A206" s="1"/>
      <c r="B206" s="1"/>
      <c r="C206" s="1"/>
      <c r="D206" s="1"/>
      <c r="E206" s="1"/>
      <c r="F206" s="1"/>
    </row>
    <row r="207" customFormat="false" ht="15.75" hidden="false" customHeight="true" outlineLevel="0" collapsed="false">
      <c r="A207" s="1"/>
      <c r="B207" s="1"/>
      <c r="C207" s="1"/>
      <c r="D207" s="1"/>
      <c r="E207" s="1"/>
      <c r="F207" s="1"/>
    </row>
    <row r="208" customFormat="false" ht="15.75" hidden="false" customHeight="true" outlineLevel="0" collapsed="false">
      <c r="A208" s="1"/>
      <c r="B208" s="1"/>
      <c r="C208" s="1"/>
      <c r="D208" s="1"/>
      <c r="E208" s="1"/>
      <c r="F208" s="1"/>
    </row>
    <row r="209" customFormat="false" ht="15.75" hidden="false" customHeight="true" outlineLevel="0" collapsed="false">
      <c r="A209" s="1"/>
      <c r="B209" s="1"/>
      <c r="C209" s="1"/>
      <c r="D209" s="1"/>
      <c r="E209" s="1"/>
      <c r="F209" s="1"/>
    </row>
    <row r="210" customFormat="false" ht="15.75" hidden="false" customHeight="true" outlineLevel="0" collapsed="false">
      <c r="A210" s="1"/>
      <c r="B210" s="1"/>
      <c r="C210" s="1"/>
      <c r="D210" s="1"/>
      <c r="E210" s="1"/>
      <c r="F210" s="1"/>
    </row>
    <row r="211" customFormat="false" ht="15.75" hidden="false" customHeight="true" outlineLevel="0" collapsed="false">
      <c r="A211" s="1"/>
      <c r="B211" s="1"/>
      <c r="C211" s="1"/>
      <c r="D211" s="1"/>
      <c r="E211" s="1"/>
      <c r="F211" s="1"/>
    </row>
    <row r="212" customFormat="false" ht="15.75" hidden="false" customHeight="true" outlineLevel="0" collapsed="false">
      <c r="A212" s="1"/>
      <c r="B212" s="1"/>
      <c r="C212" s="1"/>
      <c r="D212" s="1"/>
      <c r="E212" s="1"/>
      <c r="F212" s="1"/>
    </row>
    <row r="213" customFormat="false" ht="15.75" hidden="false" customHeight="true" outlineLevel="0" collapsed="false">
      <c r="A213" s="1"/>
      <c r="B213" s="1"/>
      <c r="C213" s="1"/>
      <c r="D213" s="1"/>
      <c r="E213" s="1"/>
      <c r="F213" s="1"/>
    </row>
    <row r="214" customFormat="false" ht="15.75" hidden="false" customHeight="true" outlineLevel="0" collapsed="false">
      <c r="A214" s="1"/>
      <c r="B214" s="1"/>
      <c r="C214" s="1"/>
      <c r="D214" s="1"/>
      <c r="E214" s="1"/>
      <c r="F214" s="1"/>
    </row>
    <row r="215" customFormat="false" ht="15.75" hidden="false" customHeight="true" outlineLevel="0" collapsed="false">
      <c r="A215" s="1"/>
      <c r="B215" s="1"/>
      <c r="C215" s="1"/>
      <c r="D215" s="1"/>
      <c r="E215" s="1"/>
      <c r="F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</row>
  </sheetData>
  <mergeCells count="10">
    <mergeCell ref="A1:G1"/>
    <mergeCell ref="A2:G2"/>
    <mergeCell ref="A4:G4"/>
    <mergeCell ref="A9:G9"/>
    <mergeCell ref="A23:G23"/>
    <mergeCell ref="A31:G31"/>
    <mergeCell ref="A38:G38"/>
    <mergeCell ref="A45:G45"/>
    <mergeCell ref="A68:G68"/>
    <mergeCell ref="A77:G7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BN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3" min="2" style="0" width="9.57"/>
    <col collapsed="false" customWidth="true" hidden="false" outlineLevel="0" max="14" min="14" style="0" width="11"/>
    <col collapsed="false" customWidth="true" hidden="false" outlineLevel="0" max="26" min="15" style="0" width="9.57"/>
    <col collapsed="false" customWidth="true" hidden="false" outlineLevel="0" max="27" min="27" style="0" width="11"/>
    <col collapsed="false" customWidth="true" hidden="false" outlineLevel="0" max="39" min="28" style="0" width="9.57"/>
    <col collapsed="false" customWidth="true" hidden="false" outlineLevel="0" max="40" min="40" style="0" width="11"/>
    <col collapsed="false" customWidth="true" hidden="false" outlineLevel="0" max="41" min="41" style="0" width="9.57"/>
    <col collapsed="false" customWidth="true" hidden="false" outlineLevel="0" max="52" min="42" style="0" width="13"/>
    <col collapsed="false" customWidth="true" hidden="false" outlineLevel="0" max="53" min="53" style="0" width="11"/>
    <col collapsed="false" customWidth="true" hidden="false" outlineLevel="0" max="54" min="54" style="0" width="9.57"/>
    <col collapsed="false" customWidth="true" hidden="false" outlineLevel="0" max="65" min="55" style="0" width="13"/>
    <col collapsed="false" customWidth="true" hidden="false" outlineLevel="0" max="66" min="66" style="0" width="11"/>
  </cols>
  <sheetData>
    <row r="1" customFormat="false" ht="39.75" hidden="false" customHeight="true" outlineLevel="0" collapsed="false">
      <c r="A1" s="45" t="s">
        <v>162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</row>
    <row r="2" customFormat="false" ht="18" hidden="false" customHeight="true" outlineLevel="0" collapsed="false">
      <c r="A2" s="46" t="s">
        <v>163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46"/>
    </row>
    <row r="3" customFormat="false" ht="6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customFormat="false" ht="13.5" hidden="false" customHeight="true" outlineLevel="0" collapsed="false">
      <c r="A4" s="47"/>
      <c r="B4" s="16" t="s">
        <v>164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48" t="s">
        <v>165</v>
      </c>
      <c r="O4" s="49" t="s">
        <v>166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50" t="s">
        <v>167</v>
      </c>
      <c r="AB4" s="51" t="s">
        <v>168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52" t="s">
        <v>169</v>
      </c>
      <c r="AO4" s="53" t="s">
        <v>170</v>
      </c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4" t="s">
        <v>171</v>
      </c>
      <c r="BB4" s="53" t="s">
        <v>172</v>
      </c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4" t="s">
        <v>173</v>
      </c>
    </row>
    <row r="5" customFormat="false" ht="21.75" hidden="false" customHeight="true" outlineLevel="0" collapsed="false">
      <c r="A5" s="47"/>
      <c r="B5" s="55" t="s">
        <v>174</v>
      </c>
      <c r="C5" s="55" t="s">
        <v>175</v>
      </c>
      <c r="D5" s="55" t="s">
        <v>176</v>
      </c>
      <c r="E5" s="55" t="s">
        <v>177</v>
      </c>
      <c r="F5" s="55" t="s">
        <v>178</v>
      </c>
      <c r="G5" s="55" t="s">
        <v>179</v>
      </c>
      <c r="H5" s="55" t="s">
        <v>180</v>
      </c>
      <c r="I5" s="55" t="s">
        <v>181</v>
      </c>
      <c r="J5" s="55" t="s">
        <v>182</v>
      </c>
      <c r="K5" s="55" t="s">
        <v>183</v>
      </c>
      <c r="L5" s="55" t="s">
        <v>184</v>
      </c>
      <c r="M5" s="55" t="s">
        <v>185</v>
      </c>
      <c r="N5" s="55" t="s">
        <v>186</v>
      </c>
      <c r="O5" s="39" t="s">
        <v>174</v>
      </c>
      <c r="P5" s="39" t="s">
        <v>175</v>
      </c>
      <c r="Q5" s="39" t="s">
        <v>176</v>
      </c>
      <c r="R5" s="39" t="s">
        <v>177</v>
      </c>
      <c r="S5" s="39" t="s">
        <v>178</v>
      </c>
      <c r="T5" s="39" t="s">
        <v>179</v>
      </c>
      <c r="U5" s="39" t="s">
        <v>180</v>
      </c>
      <c r="V5" s="39" t="s">
        <v>181</v>
      </c>
      <c r="W5" s="39" t="s">
        <v>182</v>
      </c>
      <c r="X5" s="39" t="s">
        <v>183</v>
      </c>
      <c r="Y5" s="39" t="s">
        <v>184</v>
      </c>
      <c r="Z5" s="39" t="s">
        <v>185</v>
      </c>
      <c r="AA5" s="39" t="s">
        <v>187</v>
      </c>
      <c r="AB5" s="56" t="s">
        <v>174</v>
      </c>
      <c r="AC5" s="56" t="s">
        <v>175</v>
      </c>
      <c r="AD5" s="56" t="s">
        <v>176</v>
      </c>
      <c r="AE5" s="56" t="s">
        <v>177</v>
      </c>
      <c r="AF5" s="56" t="s">
        <v>178</v>
      </c>
      <c r="AG5" s="56" t="s">
        <v>179</v>
      </c>
      <c r="AH5" s="56" t="s">
        <v>180</v>
      </c>
      <c r="AI5" s="56" t="s">
        <v>181</v>
      </c>
      <c r="AJ5" s="56" t="s">
        <v>182</v>
      </c>
      <c r="AK5" s="56" t="s">
        <v>183</v>
      </c>
      <c r="AL5" s="56" t="s">
        <v>184</v>
      </c>
      <c r="AM5" s="56" t="s">
        <v>185</v>
      </c>
      <c r="AN5" s="56" t="s">
        <v>188</v>
      </c>
      <c r="AO5" s="56" t="s">
        <v>174</v>
      </c>
      <c r="AP5" s="56" t="s">
        <v>175</v>
      </c>
      <c r="AQ5" s="56" t="s">
        <v>176</v>
      </c>
      <c r="AR5" s="56" t="s">
        <v>177</v>
      </c>
      <c r="AS5" s="56" t="s">
        <v>178</v>
      </c>
      <c r="AT5" s="56" t="s">
        <v>179</v>
      </c>
      <c r="AU5" s="56" t="s">
        <v>180</v>
      </c>
      <c r="AV5" s="56" t="s">
        <v>181</v>
      </c>
      <c r="AW5" s="56" t="s">
        <v>182</v>
      </c>
      <c r="AX5" s="56" t="s">
        <v>183</v>
      </c>
      <c r="AY5" s="56" t="s">
        <v>184</v>
      </c>
      <c r="AZ5" s="56" t="s">
        <v>185</v>
      </c>
      <c r="BA5" s="56" t="s">
        <v>189</v>
      </c>
      <c r="BB5" s="56" t="s">
        <v>174</v>
      </c>
      <c r="BC5" s="56" t="s">
        <v>175</v>
      </c>
      <c r="BD5" s="56" t="s">
        <v>176</v>
      </c>
      <c r="BE5" s="56" t="s">
        <v>177</v>
      </c>
      <c r="BF5" s="56" t="s">
        <v>178</v>
      </c>
      <c r="BG5" s="56" t="s">
        <v>179</v>
      </c>
      <c r="BH5" s="56" t="s">
        <v>180</v>
      </c>
      <c r="BI5" s="56" t="s">
        <v>181</v>
      </c>
      <c r="BJ5" s="56" t="s">
        <v>182</v>
      </c>
      <c r="BK5" s="56" t="s">
        <v>183</v>
      </c>
      <c r="BL5" s="56" t="s">
        <v>184</v>
      </c>
      <c r="BM5" s="56" t="s">
        <v>185</v>
      </c>
      <c r="BN5" s="56" t="s">
        <v>190</v>
      </c>
    </row>
    <row r="6" customFormat="false" ht="19.5" hidden="false" customHeight="true" outlineLevel="0" collapsed="false">
      <c r="A6" s="57" t="s">
        <v>191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</row>
    <row r="7" customFormat="false" ht="18" hidden="false" customHeight="true" outlineLevel="0" collapsed="false">
      <c r="A7" s="13" t="s">
        <v>192</v>
      </c>
      <c r="B7" s="58" t="n">
        <f aca="false">IFERROR(ASSUMPTIONS!$B$12,0)</f>
        <v>50</v>
      </c>
      <c r="C7" s="58" t="n">
        <f aca="false">IFERROR(ROUND(B7*(1+ASSUMPTIONS!$B$13),0),0)</f>
        <v>55</v>
      </c>
      <c r="D7" s="58" t="n">
        <f aca="false">IFERROR(ROUND(C7*(1+ASSUMPTIONS!$B$13),0),0)</f>
        <v>61</v>
      </c>
      <c r="E7" s="58" t="n">
        <f aca="false">IFERROR(ROUND(D7*(1+ASSUMPTIONS!$B$13),0),0)</f>
        <v>67</v>
      </c>
      <c r="F7" s="58" t="n">
        <f aca="false">IFERROR(ROUND(E7*(1+ASSUMPTIONS!$B$13),0),0)</f>
        <v>74</v>
      </c>
      <c r="G7" s="58" t="n">
        <f aca="false">IFERROR(ROUND(F7*(1+ASSUMPTIONS!$B$13),0),0)</f>
        <v>81</v>
      </c>
      <c r="H7" s="58" t="n">
        <f aca="false">IFERROR(ROUND(G7*(1+ASSUMPTIONS!$B$13),0),0)</f>
        <v>89</v>
      </c>
      <c r="I7" s="58" t="n">
        <f aca="false">IFERROR(ROUND(H7*(1+ASSUMPTIONS!$B$13),0),0)</f>
        <v>98</v>
      </c>
      <c r="J7" s="58" t="n">
        <f aca="false">IFERROR(ROUND(I7*(1+ASSUMPTIONS!$B$13),0),0)</f>
        <v>108</v>
      </c>
      <c r="K7" s="58" t="n">
        <f aca="false">IFERROR(ROUND(J7*(1+ASSUMPTIONS!$B$13),0),0)</f>
        <v>119</v>
      </c>
      <c r="L7" s="58" t="n">
        <f aca="false">IFERROR(ROUND(K7*(1+ASSUMPTIONS!$B$13),0),0)</f>
        <v>131</v>
      </c>
      <c r="M7" s="58" t="n">
        <f aca="false">IFERROR(ROUND(L7*(1+ASSUMPTIONS!$B$13),0),0)</f>
        <v>144</v>
      </c>
      <c r="N7" s="59" t="n">
        <f aca="false">SUM(B7:M7)</f>
        <v>1077</v>
      </c>
      <c r="O7" s="58" t="n">
        <f aca="false">IFERROR(ROUND(M7*(1+ASSUMPTIONS!$C$13),0),0)</f>
        <v>158</v>
      </c>
      <c r="P7" s="58" t="n">
        <f aca="false">IFERROR(ROUND(O7*(1+ASSUMPTIONS!$C$13),0),0)</f>
        <v>174</v>
      </c>
      <c r="Q7" s="58" t="n">
        <f aca="false">IFERROR(ROUND(P7*(1+ASSUMPTIONS!$C$13),0),0)</f>
        <v>191</v>
      </c>
      <c r="R7" s="58" t="n">
        <f aca="false">IFERROR(ROUND(Q7*(1+ASSUMPTIONS!$C$13),0),0)</f>
        <v>210</v>
      </c>
      <c r="S7" s="58" t="n">
        <f aca="false">IFERROR(ROUND(R7*(1+ASSUMPTIONS!$C$13),0),0)</f>
        <v>231</v>
      </c>
      <c r="T7" s="58" t="n">
        <f aca="false">IFERROR(ROUND(S7*(1+ASSUMPTIONS!$C$13),0),0)</f>
        <v>254</v>
      </c>
      <c r="U7" s="58" t="n">
        <f aca="false">IFERROR(ROUND(T7*(1+ASSUMPTIONS!$C$13),0),0)</f>
        <v>279</v>
      </c>
      <c r="V7" s="58" t="n">
        <f aca="false">IFERROR(ROUND(U7*(1+ASSUMPTIONS!$C$13),0),0)</f>
        <v>307</v>
      </c>
      <c r="W7" s="58" t="n">
        <f aca="false">IFERROR(ROUND(V7*(1+ASSUMPTIONS!$C$13),0),0)</f>
        <v>338</v>
      </c>
      <c r="X7" s="58" t="n">
        <f aca="false">IFERROR(ROUND(W7*(1+ASSUMPTIONS!$C$13),0),0)</f>
        <v>372</v>
      </c>
      <c r="Y7" s="58" t="n">
        <f aca="false">IFERROR(ROUND(X7*(1+ASSUMPTIONS!$C$13),0),0)</f>
        <v>409</v>
      </c>
      <c r="Z7" s="58" t="n">
        <f aca="false">IFERROR(ROUND(Y7*(1+ASSUMPTIONS!$C$13),0),0)</f>
        <v>450</v>
      </c>
      <c r="AA7" s="59" t="n">
        <f aca="false">SUM(O7:Z7)</f>
        <v>3373</v>
      </c>
      <c r="AB7" s="58" t="n">
        <f aca="false">IFERROR(ROUND(Z7*(1+ASSUMPTIONS!$D$13),0),0)</f>
        <v>495</v>
      </c>
      <c r="AC7" s="58" t="n">
        <f aca="false">IFERROR(ROUND(AB7*(1+ASSUMPTIONS!$D$13),0),0)</f>
        <v>545</v>
      </c>
      <c r="AD7" s="58" t="n">
        <f aca="false">IFERROR(ROUND(AC7*(1+ASSUMPTIONS!$D$13),0),0)</f>
        <v>600</v>
      </c>
      <c r="AE7" s="58" t="n">
        <f aca="false">IFERROR(ROUND(AD7*(1+ASSUMPTIONS!$D$13),0),0)</f>
        <v>660</v>
      </c>
      <c r="AF7" s="58" t="n">
        <f aca="false">IFERROR(ROUND(AE7*(1+ASSUMPTIONS!$D$13),0),0)</f>
        <v>726</v>
      </c>
      <c r="AG7" s="58" t="n">
        <f aca="false">IFERROR(ROUND(AF7*(1+ASSUMPTIONS!$D$13),0),0)</f>
        <v>799</v>
      </c>
      <c r="AH7" s="58" t="n">
        <f aca="false">IFERROR(ROUND(AG7*(1+ASSUMPTIONS!$D$13),0),0)</f>
        <v>879</v>
      </c>
      <c r="AI7" s="58" t="n">
        <f aca="false">IFERROR(ROUND(AH7*(1+ASSUMPTIONS!$D$13),0),0)</f>
        <v>967</v>
      </c>
      <c r="AJ7" s="58" t="n">
        <f aca="false">IFERROR(ROUND(AI7*(1+ASSUMPTIONS!$D$13),0),0)</f>
        <v>1064</v>
      </c>
      <c r="AK7" s="58" t="n">
        <f aca="false">IFERROR(ROUND(AJ7*(1+ASSUMPTIONS!$D$13),0),0)</f>
        <v>1170</v>
      </c>
      <c r="AL7" s="58" t="n">
        <f aca="false">IFERROR(ROUND(AK7*(1+ASSUMPTIONS!$D$13),0),0)</f>
        <v>1287</v>
      </c>
      <c r="AM7" s="58" t="n">
        <f aca="false">IFERROR(ROUND(AL7*(1+ASSUMPTIONS!$D$13),0),0)</f>
        <v>1416</v>
      </c>
      <c r="AN7" s="59" t="n">
        <f aca="false">SUM(AB7:AM7)</f>
        <v>10608</v>
      </c>
      <c r="AO7" s="58" t="n">
        <f aca="false">IFERROR(ROUND(AM7*(1+ASSUMPTIONS!$E$13),0),0)</f>
        <v>1558</v>
      </c>
      <c r="AP7" s="58" t="n">
        <f aca="false">IFERROR(ROUND(AO7*(1+ASSUMPTIONS!$E$13),0),0)</f>
        <v>1714</v>
      </c>
      <c r="AQ7" s="58" t="n">
        <f aca="false">IFERROR(ROUND(AP7*(1+ASSUMPTIONS!$E$13),0),0)</f>
        <v>1885</v>
      </c>
      <c r="AR7" s="58" t="n">
        <f aca="false">IFERROR(ROUND(AQ7*(1+ASSUMPTIONS!$E$13),0),0)</f>
        <v>2074</v>
      </c>
      <c r="AS7" s="58" t="n">
        <f aca="false">IFERROR(ROUND(AR7*(1+ASSUMPTIONS!$E$13),0),0)</f>
        <v>2281</v>
      </c>
      <c r="AT7" s="58" t="n">
        <f aca="false">IFERROR(ROUND(AS7*(1+ASSUMPTIONS!$E$13),0),0)</f>
        <v>2509</v>
      </c>
      <c r="AU7" s="58" t="n">
        <f aca="false">IFERROR(ROUND(AT7*(1+ASSUMPTIONS!$E$13),0),0)</f>
        <v>2760</v>
      </c>
      <c r="AV7" s="58" t="n">
        <f aca="false">IFERROR(ROUND(AU7*(1+ASSUMPTIONS!$E$13),0),0)</f>
        <v>3036</v>
      </c>
      <c r="AW7" s="58" t="n">
        <f aca="false">IFERROR(ROUND(AV7*(1+ASSUMPTIONS!$E$13),0),0)</f>
        <v>3340</v>
      </c>
      <c r="AX7" s="58" t="n">
        <f aca="false">IFERROR(ROUND(AW7*(1+ASSUMPTIONS!$E$13),0),0)</f>
        <v>3674</v>
      </c>
      <c r="AY7" s="58" t="n">
        <f aca="false">IFERROR(ROUND(AX7*(1+ASSUMPTIONS!$E$13),0),0)</f>
        <v>4041</v>
      </c>
      <c r="AZ7" s="58" t="n">
        <f aca="false">IFERROR(ROUND(AY7*(1+ASSUMPTIONS!$E$13),0),0)</f>
        <v>4445</v>
      </c>
      <c r="BA7" s="60" t="n">
        <f aca="false">SUM(AO7:AZ7)</f>
        <v>33317</v>
      </c>
      <c r="BB7" s="58" t="n">
        <f aca="false">IFERROR(ROUND(AZ7*(1+ASSUMPTIONS!$F$13),0),0)</f>
        <v>4890</v>
      </c>
      <c r="BC7" s="58" t="n">
        <f aca="false">IFERROR(ROUND(BB7*(1+ASSUMPTIONS!$F$13),0),0)</f>
        <v>5379</v>
      </c>
      <c r="BD7" s="58" t="n">
        <f aca="false">IFERROR(ROUND(BC7*(1+ASSUMPTIONS!$F$13),0),0)</f>
        <v>5917</v>
      </c>
      <c r="BE7" s="58" t="n">
        <f aca="false">IFERROR(ROUND(BD7*(1+ASSUMPTIONS!$F$13),0),0)</f>
        <v>6509</v>
      </c>
      <c r="BF7" s="58" t="n">
        <f aca="false">IFERROR(ROUND(BE7*(1+ASSUMPTIONS!$F$13),0),0)</f>
        <v>7160</v>
      </c>
      <c r="BG7" s="58" t="n">
        <f aca="false">IFERROR(ROUND(BF7*(1+ASSUMPTIONS!$F$13),0),0)</f>
        <v>7876</v>
      </c>
      <c r="BH7" s="58" t="n">
        <f aca="false">IFERROR(ROUND(BG7*(1+ASSUMPTIONS!$F$13),0),0)</f>
        <v>8664</v>
      </c>
      <c r="BI7" s="58" t="n">
        <f aca="false">IFERROR(ROUND(BH7*(1+ASSUMPTIONS!$F$13),0),0)</f>
        <v>9530</v>
      </c>
      <c r="BJ7" s="58" t="n">
        <f aca="false">IFERROR(ROUND(BI7*(1+ASSUMPTIONS!$F$13),0),0)</f>
        <v>10483</v>
      </c>
      <c r="BK7" s="58" t="n">
        <f aca="false">IFERROR(ROUND(BJ7*(1+ASSUMPTIONS!$F$13),0),0)</f>
        <v>11531</v>
      </c>
      <c r="BL7" s="58" t="n">
        <f aca="false">IFERROR(ROUND(BK7*(1+ASSUMPTIONS!$F$13),0),0)</f>
        <v>12684</v>
      </c>
      <c r="BM7" s="58" t="n">
        <f aca="false">IFERROR(ROUND(BL7*(1+ASSUMPTIONS!$F$13),0),0)</f>
        <v>13952</v>
      </c>
      <c r="BN7" s="60" t="n">
        <f aca="false">SUM(BB7:BM7)</f>
        <v>104575</v>
      </c>
    </row>
    <row r="8" customFormat="false" ht="18" hidden="false" customHeight="true" outlineLevel="0" collapsed="false">
      <c r="A8" s="20" t="s">
        <v>193</v>
      </c>
      <c r="B8" s="61" t="n">
        <f aca="false">IFERROR(ROUND(ASSUMPTIONS!$B$11*ASSUMPTIONS!$B$14,0),0)</f>
        <v>25</v>
      </c>
      <c r="C8" s="61" t="n">
        <f aca="false">IFERROR(ROUND(B9*ASSUMPTIONS!$B$14,0),0)</f>
        <v>26</v>
      </c>
      <c r="D8" s="61" t="n">
        <f aca="false">IFERROR(ROUND(C9*ASSUMPTIONS!$B$14,0),0)</f>
        <v>28</v>
      </c>
      <c r="E8" s="61" t="n">
        <f aca="false">IFERROR(ROUND(D9*ASSUMPTIONS!$B$14,0),0)</f>
        <v>29</v>
      </c>
      <c r="F8" s="61" t="n">
        <f aca="false">IFERROR(ROUND(E9*ASSUMPTIONS!$B$14,0),0)</f>
        <v>31</v>
      </c>
      <c r="G8" s="61" t="n">
        <f aca="false">IFERROR(ROUND(F9*ASSUMPTIONS!$B$14,0),0)</f>
        <v>33</v>
      </c>
      <c r="H8" s="61" t="n">
        <f aca="false">IFERROR(ROUND(G9*ASSUMPTIONS!$B$14,0),0)</f>
        <v>36</v>
      </c>
      <c r="I8" s="61" t="n">
        <f aca="false">IFERROR(ROUND(H9*ASSUMPTIONS!$B$14,0),0)</f>
        <v>38</v>
      </c>
      <c r="J8" s="61" t="n">
        <f aca="false">IFERROR(ROUND(I9*ASSUMPTIONS!$B$14,0),0)</f>
        <v>41</v>
      </c>
      <c r="K8" s="61" t="n">
        <f aca="false">IFERROR(ROUND(J9*ASSUMPTIONS!$B$14,0),0)</f>
        <v>45</v>
      </c>
      <c r="L8" s="61" t="n">
        <f aca="false">IFERROR(ROUND(K9*ASSUMPTIONS!$B$14,0),0)</f>
        <v>49</v>
      </c>
      <c r="M8" s="61" t="n">
        <f aca="false">IFERROR(ROUND(L9*ASSUMPTIONS!$B$14,0),0)</f>
        <v>53</v>
      </c>
      <c r="N8" s="62" t="n">
        <f aca="false">SUM(B8:M8)</f>
        <v>434</v>
      </c>
      <c r="O8" s="61" t="n">
        <f aca="false">IFERROR(ROUND(M9*ASSUMPTIONS!$C$14,0),0)</f>
        <v>57</v>
      </c>
      <c r="P8" s="61" t="n">
        <f aca="false">IFERROR(ROUND(O9*ASSUMPTIONS!$C$14,0),0)</f>
        <v>62</v>
      </c>
      <c r="Q8" s="61" t="n">
        <f aca="false">IFERROR(ROUND(P9*ASSUMPTIONS!$C$14,0),0)</f>
        <v>68</v>
      </c>
      <c r="R8" s="61" t="n">
        <f aca="false">IFERROR(ROUND(Q9*ASSUMPTIONS!$C$14,0),0)</f>
        <v>74</v>
      </c>
      <c r="S8" s="61" t="n">
        <f aca="false">IFERROR(ROUND(R9*ASSUMPTIONS!$C$14,0),0)</f>
        <v>81</v>
      </c>
      <c r="T8" s="61" t="n">
        <f aca="false">IFERROR(ROUND(S9*ASSUMPTIONS!$C$14,0),0)</f>
        <v>88</v>
      </c>
      <c r="U8" s="61" t="n">
        <f aca="false">IFERROR(ROUND(T9*ASSUMPTIONS!$C$14,0),0)</f>
        <v>97</v>
      </c>
      <c r="V8" s="61" t="n">
        <f aca="false">IFERROR(ROUND(U9*ASSUMPTIONS!$C$14,0),0)</f>
        <v>106</v>
      </c>
      <c r="W8" s="61" t="n">
        <f aca="false">IFERROR(ROUND(V9*ASSUMPTIONS!$C$14,0),0)</f>
        <v>116</v>
      </c>
      <c r="X8" s="61" t="n">
        <f aca="false">IFERROR(ROUND(W9*ASSUMPTIONS!$C$14,0),0)</f>
        <v>127</v>
      </c>
      <c r="Y8" s="61" t="n">
        <f aca="false">IFERROR(ROUND(X9*ASSUMPTIONS!$C$14,0),0)</f>
        <v>139</v>
      </c>
      <c r="Z8" s="61" t="n">
        <f aca="false">IFERROR(ROUND(Y9*ASSUMPTIONS!$C$14,0),0)</f>
        <v>153</v>
      </c>
      <c r="AA8" s="62" t="n">
        <f aca="false">SUM(O8:Z8)</f>
        <v>1168</v>
      </c>
      <c r="AB8" s="61" t="n">
        <f aca="false">IFERROR(ROUND(Z9*ASSUMPTIONS!$D$14,0),0)</f>
        <v>167</v>
      </c>
      <c r="AC8" s="61" t="n">
        <f aca="false">IFERROR(ROUND(AB9*ASSUMPTIONS!$D$14,0),0)</f>
        <v>184</v>
      </c>
      <c r="AD8" s="61" t="n">
        <f aca="false">IFERROR(ROUND(AC9*ASSUMPTIONS!$D$14,0),0)</f>
        <v>202</v>
      </c>
      <c r="AE8" s="61" t="n">
        <f aca="false">IFERROR(ROUND(AD9*ASSUMPTIONS!$D$14,0),0)</f>
        <v>222</v>
      </c>
      <c r="AF8" s="61" t="n">
        <f aca="false">IFERROR(ROUND(AE9*ASSUMPTIONS!$D$14,0),0)</f>
        <v>244</v>
      </c>
      <c r="AG8" s="61" t="n">
        <f aca="false">IFERROR(ROUND(AF9*ASSUMPTIONS!$D$14,0),0)</f>
        <v>268</v>
      </c>
      <c r="AH8" s="61" t="n">
        <f aca="false">IFERROR(ROUND(AG9*ASSUMPTIONS!$D$14,0),0)</f>
        <v>294</v>
      </c>
      <c r="AI8" s="61" t="n">
        <f aca="false">IFERROR(ROUND(AH9*ASSUMPTIONS!$D$14,0),0)</f>
        <v>324</v>
      </c>
      <c r="AJ8" s="61" t="n">
        <f aca="false">IFERROR(ROUND(AI9*ASSUMPTIONS!$D$14,0),0)</f>
        <v>356</v>
      </c>
      <c r="AK8" s="61" t="n">
        <f aca="false">IFERROR(ROUND(AJ9*ASSUMPTIONS!$D$14,0),0)</f>
        <v>391</v>
      </c>
      <c r="AL8" s="61" t="n">
        <f aca="false">IFERROR(ROUND(AK9*ASSUMPTIONS!$D$14,0),0)</f>
        <v>430</v>
      </c>
      <c r="AM8" s="61" t="n">
        <f aca="false">IFERROR(ROUND(AL9*ASSUMPTIONS!$D$14,0),0)</f>
        <v>473</v>
      </c>
      <c r="AN8" s="62" t="n">
        <f aca="false">SUM(AB8:AM8)</f>
        <v>3555</v>
      </c>
      <c r="AO8" s="61" t="n">
        <f aca="false">IFERROR(ROUND(AM9*ASSUMPTIONS!$E$14,0),0)</f>
        <v>520</v>
      </c>
      <c r="AP8" s="61" t="n">
        <f aca="false">IFERROR(ROUND(AO9*ASSUMPTIONS!$E$14,0),0)</f>
        <v>572</v>
      </c>
      <c r="AQ8" s="61" t="n">
        <f aca="false">IFERROR(ROUND(AP9*ASSUMPTIONS!$E$14,0),0)</f>
        <v>629</v>
      </c>
      <c r="AR8" s="61" t="n">
        <f aca="false">IFERROR(ROUND(AQ9*ASSUMPTIONS!$E$14,0),0)</f>
        <v>692</v>
      </c>
      <c r="AS8" s="61" t="n">
        <f aca="false">IFERROR(ROUND(AR9*ASSUMPTIONS!$E$14,0),0)</f>
        <v>761</v>
      </c>
      <c r="AT8" s="61" t="n">
        <f aca="false">IFERROR(ROUND(AS9*ASSUMPTIONS!$E$14,0),0)</f>
        <v>837</v>
      </c>
      <c r="AU8" s="61" t="n">
        <f aca="false">IFERROR(ROUND(AT9*ASSUMPTIONS!$E$14,0),0)</f>
        <v>921</v>
      </c>
      <c r="AV8" s="61" t="n">
        <f aca="false">IFERROR(ROUND(AU9*ASSUMPTIONS!$E$14,0),0)</f>
        <v>1013</v>
      </c>
      <c r="AW8" s="61" t="n">
        <f aca="false">IFERROR(ROUND(AV9*ASSUMPTIONS!$E$14,0),0)</f>
        <v>1114</v>
      </c>
      <c r="AX8" s="61" t="n">
        <f aca="false">IFERROR(ROUND(AW9*ASSUMPTIONS!$E$14,0),0)</f>
        <v>1225</v>
      </c>
      <c r="AY8" s="61" t="n">
        <f aca="false">IFERROR(ROUND(AX9*ASSUMPTIONS!$E$14,0),0)</f>
        <v>1347</v>
      </c>
      <c r="AZ8" s="61" t="n">
        <f aca="false">IFERROR(ROUND(AY9*ASSUMPTIONS!$E$14,0),0)</f>
        <v>1482</v>
      </c>
      <c r="BA8" s="60" t="n">
        <f aca="false">SUM(AO8:AZ8)</f>
        <v>11113</v>
      </c>
      <c r="BB8" s="61" t="n">
        <f aca="false">IFERROR(ROUND(AZ9*ASSUMPTIONS!$F$14,0),0)</f>
        <v>1630</v>
      </c>
      <c r="BC8" s="61" t="n">
        <f aca="false">IFERROR(ROUND(BB9*ASSUMPTIONS!$F$14,0),0)</f>
        <v>1793</v>
      </c>
      <c r="BD8" s="61" t="n">
        <f aca="false">IFERROR(ROUND(BC9*ASSUMPTIONS!$F$14,0),0)</f>
        <v>1973</v>
      </c>
      <c r="BE8" s="61" t="n">
        <f aca="false">IFERROR(ROUND(BD9*ASSUMPTIONS!$F$14,0),0)</f>
        <v>2170</v>
      </c>
      <c r="BF8" s="61" t="n">
        <f aca="false">IFERROR(ROUND(BE9*ASSUMPTIONS!$F$14,0),0)</f>
        <v>2387</v>
      </c>
      <c r="BG8" s="61" t="n">
        <f aca="false">IFERROR(ROUND(BF9*ASSUMPTIONS!$F$14,0),0)</f>
        <v>2625</v>
      </c>
      <c r="BH8" s="61" t="n">
        <f aca="false">IFERROR(ROUND(BG9*ASSUMPTIONS!$F$14,0),0)</f>
        <v>2888</v>
      </c>
      <c r="BI8" s="61" t="n">
        <f aca="false">IFERROR(ROUND(BH9*ASSUMPTIONS!$F$14,0),0)</f>
        <v>3177</v>
      </c>
      <c r="BJ8" s="61" t="n">
        <f aca="false">IFERROR(ROUND(BI9*ASSUMPTIONS!$F$14,0),0)</f>
        <v>3494</v>
      </c>
      <c r="BK8" s="61" t="n">
        <f aca="false">IFERROR(ROUND(BJ9*ASSUMPTIONS!$F$14,0),0)</f>
        <v>3844</v>
      </c>
      <c r="BL8" s="61" t="n">
        <f aca="false">IFERROR(ROUND(BK9*ASSUMPTIONS!$F$14,0),0)</f>
        <v>4228</v>
      </c>
      <c r="BM8" s="61" t="n">
        <f aca="false">IFERROR(ROUND(BL9*ASSUMPTIONS!$F$14,0),0)</f>
        <v>4651</v>
      </c>
      <c r="BN8" s="60" t="n">
        <f aca="false">SUM(BB8:BM8)</f>
        <v>34860</v>
      </c>
    </row>
    <row r="9" customFormat="false" ht="18" hidden="false" customHeight="true" outlineLevel="0" collapsed="false">
      <c r="A9" s="63" t="s">
        <v>194</v>
      </c>
      <c r="B9" s="64" t="n">
        <f aca="false">IFERROR(MAX(0,ASSUMPTIONS!$B$11+B7-B8),0)</f>
        <v>525</v>
      </c>
      <c r="C9" s="64" t="n">
        <f aca="false">IFERROR(MAX(0,B9+C7-C8),0)</f>
        <v>554</v>
      </c>
      <c r="D9" s="64" t="n">
        <f aca="false">IFERROR(MAX(0,C9+D7-D8),0)</f>
        <v>587</v>
      </c>
      <c r="E9" s="64" t="n">
        <f aca="false">IFERROR(MAX(0,D9+E7-E8),0)</f>
        <v>625</v>
      </c>
      <c r="F9" s="64" t="n">
        <f aca="false">IFERROR(MAX(0,E9+F7-F8),0)</f>
        <v>668</v>
      </c>
      <c r="G9" s="64" t="n">
        <f aca="false">IFERROR(MAX(0,F9+G7-G8),0)</f>
        <v>716</v>
      </c>
      <c r="H9" s="64" t="n">
        <f aca="false">IFERROR(MAX(0,G9+H7-H8),0)</f>
        <v>769</v>
      </c>
      <c r="I9" s="64" t="n">
        <f aca="false">IFERROR(MAX(0,H9+I7-I8),0)</f>
        <v>829</v>
      </c>
      <c r="J9" s="64" t="n">
        <f aca="false">IFERROR(MAX(0,I9+J7-J8),0)</f>
        <v>896</v>
      </c>
      <c r="K9" s="64" t="n">
        <f aca="false">IFERROR(MAX(0,J9+K7-K8),0)</f>
        <v>970</v>
      </c>
      <c r="L9" s="64" t="n">
        <f aca="false">IFERROR(MAX(0,K9+L7-L8),0)</f>
        <v>1052</v>
      </c>
      <c r="M9" s="64" t="n">
        <f aca="false">IFERROR(MAX(0,L9+M7-M8),0)</f>
        <v>1143</v>
      </c>
      <c r="N9" s="65" t="n">
        <f aca="false">M9</f>
        <v>1143</v>
      </c>
      <c r="O9" s="64" t="n">
        <f aca="false">IFERROR(MAX(0,M9+O7-O8),0)</f>
        <v>1244</v>
      </c>
      <c r="P9" s="64" t="n">
        <f aca="false">IFERROR(MAX(0,O9+P7-P8),0)</f>
        <v>1356</v>
      </c>
      <c r="Q9" s="64" t="n">
        <f aca="false">IFERROR(MAX(0,P9+Q7-Q8),0)</f>
        <v>1479</v>
      </c>
      <c r="R9" s="64" t="n">
        <f aca="false">IFERROR(MAX(0,Q9+R7-R8),0)</f>
        <v>1615</v>
      </c>
      <c r="S9" s="64" t="n">
        <f aca="false">IFERROR(MAX(0,R9+S7-S8),0)</f>
        <v>1765</v>
      </c>
      <c r="T9" s="64" t="n">
        <f aca="false">IFERROR(MAX(0,S9+T7-T8),0)</f>
        <v>1931</v>
      </c>
      <c r="U9" s="64" t="n">
        <f aca="false">IFERROR(MAX(0,T9+U7-U8),0)</f>
        <v>2113</v>
      </c>
      <c r="V9" s="64" t="n">
        <f aca="false">IFERROR(MAX(0,U9+V7-V8),0)</f>
        <v>2314</v>
      </c>
      <c r="W9" s="64" t="n">
        <f aca="false">IFERROR(MAX(0,V9+W7-W8),0)</f>
        <v>2536</v>
      </c>
      <c r="X9" s="64" t="n">
        <f aca="false">IFERROR(MAX(0,W9+X7-X8),0)</f>
        <v>2781</v>
      </c>
      <c r="Y9" s="64" t="n">
        <f aca="false">IFERROR(MAX(0,X9+Y7-Y8),0)</f>
        <v>3051</v>
      </c>
      <c r="Z9" s="64" t="n">
        <f aca="false">IFERROR(MAX(0,Y9+Z7-Z8),0)</f>
        <v>3348</v>
      </c>
      <c r="AA9" s="65" t="n">
        <f aca="false">Z9</f>
        <v>3348</v>
      </c>
      <c r="AB9" s="64" t="n">
        <f aca="false">IFERROR(MAX(0,Z9+AB7-AB8),0)</f>
        <v>3676</v>
      </c>
      <c r="AC9" s="64" t="n">
        <f aca="false">IFERROR(MAX(0,AB9+AC7-AC8),0)</f>
        <v>4037</v>
      </c>
      <c r="AD9" s="64" t="n">
        <f aca="false">IFERROR(MAX(0,AC9+AD7-AD8),0)</f>
        <v>4435</v>
      </c>
      <c r="AE9" s="64" t="n">
        <f aca="false">IFERROR(MAX(0,AD9+AE7-AE8),0)</f>
        <v>4873</v>
      </c>
      <c r="AF9" s="64" t="n">
        <f aca="false">IFERROR(MAX(0,AE9+AF7-AF8),0)</f>
        <v>5355</v>
      </c>
      <c r="AG9" s="64" t="n">
        <f aca="false">IFERROR(MAX(0,AF9+AG7-AG8),0)</f>
        <v>5886</v>
      </c>
      <c r="AH9" s="64" t="n">
        <f aca="false">IFERROR(MAX(0,AG9+AH7-AH8),0)</f>
        <v>6471</v>
      </c>
      <c r="AI9" s="64" t="n">
        <f aca="false">IFERROR(MAX(0,AH9+AI7-AI8),0)</f>
        <v>7114</v>
      </c>
      <c r="AJ9" s="64" t="n">
        <f aca="false">IFERROR(MAX(0,AI9+AJ7-AJ8),0)</f>
        <v>7822</v>
      </c>
      <c r="AK9" s="64" t="n">
        <f aca="false">IFERROR(MAX(0,AJ9+AK7-AK8),0)</f>
        <v>8601</v>
      </c>
      <c r="AL9" s="64" t="n">
        <f aca="false">IFERROR(MAX(0,AK9+AL7-AL8),0)</f>
        <v>9458</v>
      </c>
      <c r="AM9" s="64" t="n">
        <f aca="false">IFERROR(MAX(0,AL9+AM7-AM8),0)</f>
        <v>10401</v>
      </c>
      <c r="AN9" s="65" t="n">
        <f aca="false">AM9</f>
        <v>10401</v>
      </c>
      <c r="AO9" s="64" t="n">
        <f aca="false">IFERROR(MAX(0,AM9+AO7-AO8),0)</f>
        <v>11439</v>
      </c>
      <c r="AP9" s="64" t="n">
        <f aca="false">IFERROR(MAX(0,AO9+AP7-AP8),0)</f>
        <v>12581</v>
      </c>
      <c r="AQ9" s="64" t="n">
        <f aca="false">IFERROR(MAX(0,AP9+AQ7-AQ8),0)</f>
        <v>13837</v>
      </c>
      <c r="AR9" s="64" t="n">
        <f aca="false">IFERROR(MAX(0,AQ9+AR7-AR8),0)</f>
        <v>15219</v>
      </c>
      <c r="AS9" s="64" t="n">
        <f aca="false">IFERROR(MAX(0,AR9+AS7-AS8),0)</f>
        <v>16739</v>
      </c>
      <c r="AT9" s="64" t="n">
        <f aca="false">IFERROR(MAX(0,AS9+AT7-AT8),0)</f>
        <v>18411</v>
      </c>
      <c r="AU9" s="64" t="n">
        <f aca="false">IFERROR(MAX(0,AT9+AU7-AU8),0)</f>
        <v>20250</v>
      </c>
      <c r="AV9" s="64" t="n">
        <f aca="false">IFERROR(MAX(0,AU9+AV7-AV8),0)</f>
        <v>22273</v>
      </c>
      <c r="AW9" s="64" t="n">
        <f aca="false">IFERROR(MAX(0,AV9+AW7-AW8),0)</f>
        <v>24499</v>
      </c>
      <c r="AX9" s="64" t="n">
        <f aca="false">IFERROR(MAX(0,AW9+AX7-AX8),0)</f>
        <v>26948</v>
      </c>
      <c r="AY9" s="64" t="n">
        <f aca="false">IFERROR(MAX(0,AX9+AY7-AY8),0)</f>
        <v>29642</v>
      </c>
      <c r="AZ9" s="64" t="n">
        <f aca="false">IFERROR(MAX(0,AY9+AZ7-AZ8),0)</f>
        <v>32605</v>
      </c>
      <c r="BA9" s="60" t="n">
        <f aca="false">AZ9</f>
        <v>32605</v>
      </c>
      <c r="BB9" s="64" t="n">
        <f aca="false">IFERROR(MAX(0,AZ9+BB7-BB8),0)</f>
        <v>35865</v>
      </c>
      <c r="BC9" s="64" t="n">
        <f aca="false">IFERROR(MAX(0,BB9+BC7-BC8),0)</f>
        <v>39451</v>
      </c>
      <c r="BD9" s="64" t="n">
        <f aca="false">IFERROR(MAX(0,BC9+BD7-BD8),0)</f>
        <v>43395</v>
      </c>
      <c r="BE9" s="64" t="n">
        <f aca="false">IFERROR(MAX(0,BD9+BE7-BE8),0)</f>
        <v>47734</v>
      </c>
      <c r="BF9" s="64" t="n">
        <f aca="false">IFERROR(MAX(0,BE9+BF7-BF8),0)</f>
        <v>52507</v>
      </c>
      <c r="BG9" s="64" t="n">
        <f aca="false">IFERROR(MAX(0,BF9+BG7-BG8),0)</f>
        <v>57758</v>
      </c>
      <c r="BH9" s="64" t="n">
        <f aca="false">IFERROR(MAX(0,BG9+BH7-BH8),0)</f>
        <v>63534</v>
      </c>
      <c r="BI9" s="64" t="n">
        <f aca="false">IFERROR(MAX(0,BH9+BI7-BI8),0)</f>
        <v>69887</v>
      </c>
      <c r="BJ9" s="64" t="n">
        <f aca="false">IFERROR(MAX(0,BI9+BJ7-BJ8),0)</f>
        <v>76876</v>
      </c>
      <c r="BK9" s="64" t="n">
        <f aca="false">IFERROR(MAX(0,BJ9+BK7-BK8),0)</f>
        <v>84563</v>
      </c>
      <c r="BL9" s="64" t="n">
        <f aca="false">IFERROR(MAX(0,BK9+BL7-BL8),0)</f>
        <v>93019</v>
      </c>
      <c r="BM9" s="64" t="n">
        <f aca="false">IFERROR(MAX(0,BL9+BM7-BM8),0)</f>
        <v>102320</v>
      </c>
      <c r="BN9" s="60" t="n">
        <f aca="false">BM9</f>
        <v>102320</v>
      </c>
    </row>
    <row r="10" customFormat="false" ht="6" hidden="false" customHeight="tru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66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66"/>
    </row>
    <row r="11" customFormat="false" ht="18" hidden="false" customHeight="true" outlineLevel="0" collapsed="false">
      <c r="A11" s="13" t="s">
        <v>195</v>
      </c>
      <c r="B11" s="58" t="n">
        <f aca="false">IFERROR(ASSUMPTIONS!$B$19,0)</f>
        <v>8</v>
      </c>
      <c r="C11" s="58" t="n">
        <f aca="false">IFERROR(ROUND(B10*(1+ASSUMPTIONS!$B$20),0),0)</f>
        <v>0</v>
      </c>
      <c r="D11" s="58" t="n">
        <f aca="false">IFERROR(ROUND(C10*(1+ASSUMPTIONS!$B$20),0),0)</f>
        <v>0</v>
      </c>
      <c r="E11" s="58" t="n">
        <f aca="false">IFERROR(ROUND(D10*(1+ASSUMPTIONS!$B$20),0),0)</f>
        <v>0</v>
      </c>
      <c r="F11" s="58" t="n">
        <f aca="false">IFERROR(ROUND(E10*(1+ASSUMPTIONS!$B$20),0),0)</f>
        <v>0</v>
      </c>
      <c r="G11" s="58" t="n">
        <f aca="false">IFERROR(ROUND(F10*(1+ASSUMPTIONS!$B$20),0),0)</f>
        <v>0</v>
      </c>
      <c r="H11" s="58" t="n">
        <f aca="false">IFERROR(ROUND(G10*(1+ASSUMPTIONS!$B$20),0),0)</f>
        <v>0</v>
      </c>
      <c r="I11" s="58" t="n">
        <f aca="false">IFERROR(ROUND(H10*(1+ASSUMPTIONS!$B$20),0),0)</f>
        <v>0</v>
      </c>
      <c r="J11" s="58" t="n">
        <f aca="false">IFERROR(ROUND(I10*(1+ASSUMPTIONS!$B$20),0),0)</f>
        <v>0</v>
      </c>
      <c r="K11" s="58" t="n">
        <f aca="false">IFERROR(ROUND(J10*(1+ASSUMPTIONS!$B$20),0),0)</f>
        <v>0</v>
      </c>
      <c r="L11" s="58" t="n">
        <f aca="false">IFERROR(ROUND(K10*(1+ASSUMPTIONS!$B$20),0),0)</f>
        <v>0</v>
      </c>
      <c r="M11" s="58" t="n">
        <f aca="false">IFERROR(ROUND(L10*(1+ASSUMPTIONS!$B$20),0),0)</f>
        <v>0</v>
      </c>
      <c r="N11" s="59" t="n">
        <f aca="false">SUM(B11:M11)</f>
        <v>8</v>
      </c>
      <c r="O11" s="58" t="n">
        <f aca="false">IFERROR(ROUND(M10*(1+ASSUMPTIONS!$C$20),0),0)</f>
        <v>0</v>
      </c>
      <c r="P11" s="58" t="n">
        <f aca="false">IFERROR(ROUND(O10*(1+ASSUMPTIONS!$C$20),0),0)</f>
        <v>0</v>
      </c>
      <c r="Q11" s="58" t="n">
        <f aca="false">IFERROR(ROUND(P10*(1+ASSUMPTIONS!$C$20),0),0)</f>
        <v>0</v>
      </c>
      <c r="R11" s="58" t="n">
        <f aca="false">IFERROR(ROUND(Q10*(1+ASSUMPTIONS!$C$20),0),0)</f>
        <v>0</v>
      </c>
      <c r="S11" s="58" t="n">
        <f aca="false">IFERROR(ROUND(R10*(1+ASSUMPTIONS!$C$20),0),0)</f>
        <v>0</v>
      </c>
      <c r="T11" s="58" t="n">
        <f aca="false">IFERROR(ROUND(S10*(1+ASSUMPTIONS!$C$20),0),0)</f>
        <v>0</v>
      </c>
      <c r="U11" s="58" t="n">
        <f aca="false">IFERROR(ROUND(T10*(1+ASSUMPTIONS!$C$20),0),0)</f>
        <v>0</v>
      </c>
      <c r="V11" s="58" t="n">
        <f aca="false">IFERROR(ROUND(U10*(1+ASSUMPTIONS!$C$20),0),0)</f>
        <v>0</v>
      </c>
      <c r="W11" s="58" t="n">
        <f aca="false">IFERROR(ROUND(V10*(1+ASSUMPTIONS!$C$20),0),0)</f>
        <v>0</v>
      </c>
      <c r="X11" s="58" t="n">
        <f aca="false">IFERROR(ROUND(W10*(1+ASSUMPTIONS!$C$20),0),0)</f>
        <v>0</v>
      </c>
      <c r="Y11" s="58" t="n">
        <f aca="false">IFERROR(ROUND(X10*(1+ASSUMPTIONS!$C$20),0),0)</f>
        <v>0</v>
      </c>
      <c r="Z11" s="58" t="n">
        <f aca="false">IFERROR(ROUND(Y10*(1+ASSUMPTIONS!$C$20),0),0)</f>
        <v>0</v>
      </c>
      <c r="AA11" s="59" t="n">
        <f aca="false">SUM(O11:Z11)</f>
        <v>0</v>
      </c>
      <c r="AB11" s="58" t="n">
        <f aca="false">IFERROR(ROUND(Z10*(1+ASSUMPTIONS!$D$20),0),0)</f>
        <v>0</v>
      </c>
      <c r="AC11" s="58" t="n">
        <f aca="false">IFERROR(ROUND(AB10*(1+ASSUMPTIONS!$D$20),0),0)</f>
        <v>0</v>
      </c>
      <c r="AD11" s="58" t="n">
        <f aca="false">IFERROR(ROUND(AC10*(1+ASSUMPTIONS!$D$20),0),0)</f>
        <v>0</v>
      </c>
      <c r="AE11" s="58" t="n">
        <f aca="false">IFERROR(ROUND(AD10*(1+ASSUMPTIONS!$D$20),0),0)</f>
        <v>0</v>
      </c>
      <c r="AF11" s="58" t="n">
        <f aca="false">IFERROR(ROUND(AE10*(1+ASSUMPTIONS!$D$20),0),0)</f>
        <v>0</v>
      </c>
      <c r="AG11" s="58" t="n">
        <f aca="false">IFERROR(ROUND(AF10*(1+ASSUMPTIONS!$D$20),0),0)</f>
        <v>0</v>
      </c>
      <c r="AH11" s="58" t="n">
        <f aca="false">IFERROR(ROUND(AG10*(1+ASSUMPTIONS!$D$20),0),0)</f>
        <v>0</v>
      </c>
      <c r="AI11" s="58" t="n">
        <f aca="false">IFERROR(ROUND(AH10*(1+ASSUMPTIONS!$D$20),0),0)</f>
        <v>0</v>
      </c>
      <c r="AJ11" s="58" t="n">
        <f aca="false">IFERROR(ROUND(AI10*(1+ASSUMPTIONS!$D$20),0),0)</f>
        <v>0</v>
      </c>
      <c r="AK11" s="58" t="n">
        <f aca="false">IFERROR(ROUND(AJ10*(1+ASSUMPTIONS!$D$20),0),0)</f>
        <v>0</v>
      </c>
      <c r="AL11" s="58" t="n">
        <f aca="false">IFERROR(ROUND(AK10*(1+ASSUMPTIONS!$D$20),0),0)</f>
        <v>0</v>
      </c>
      <c r="AM11" s="58" t="n">
        <f aca="false">IFERROR(ROUND(AL10*(1+ASSUMPTIONS!$D$20),0),0)</f>
        <v>0</v>
      </c>
      <c r="AN11" s="59" t="n">
        <f aca="false">SUM(AB11:AM11)</f>
        <v>0</v>
      </c>
      <c r="AO11" s="58" t="n">
        <f aca="false">IFERROR(ROUND(AM10*(1+ASSUMPTIONS!$E$20),0),0)</f>
        <v>0</v>
      </c>
      <c r="AP11" s="58" t="n">
        <f aca="false">IFERROR(ROUND(AO10*(1+ASSUMPTIONS!$E$20),0),0)</f>
        <v>0</v>
      </c>
      <c r="AQ11" s="58" t="n">
        <f aca="false">IFERROR(ROUND(AP10*(1+ASSUMPTIONS!$E$20),0),0)</f>
        <v>0</v>
      </c>
      <c r="AR11" s="58" t="n">
        <f aca="false">IFERROR(ROUND(AQ10*(1+ASSUMPTIONS!$E$20),0),0)</f>
        <v>0</v>
      </c>
      <c r="AS11" s="58" t="n">
        <f aca="false">IFERROR(ROUND(AR10*(1+ASSUMPTIONS!$E$20),0),0)</f>
        <v>0</v>
      </c>
      <c r="AT11" s="58" t="n">
        <f aca="false">IFERROR(ROUND(AS10*(1+ASSUMPTIONS!$E$20),0),0)</f>
        <v>0</v>
      </c>
      <c r="AU11" s="58" t="n">
        <f aca="false">IFERROR(ROUND(AT10*(1+ASSUMPTIONS!$E$20),0),0)</f>
        <v>0</v>
      </c>
      <c r="AV11" s="58" t="n">
        <f aca="false">IFERROR(ROUND(AU10*(1+ASSUMPTIONS!$E$20),0),0)</f>
        <v>0</v>
      </c>
      <c r="AW11" s="58" t="n">
        <f aca="false">IFERROR(ROUND(AV10*(1+ASSUMPTIONS!$E$20),0),0)</f>
        <v>0</v>
      </c>
      <c r="AX11" s="58" t="n">
        <f aca="false">IFERROR(ROUND(AW10*(1+ASSUMPTIONS!$E$20),0),0)</f>
        <v>0</v>
      </c>
      <c r="AY11" s="58" t="n">
        <f aca="false">IFERROR(ROUND(AX10*(1+ASSUMPTIONS!$E$20),0),0)</f>
        <v>0</v>
      </c>
      <c r="AZ11" s="58" t="n">
        <f aca="false">IFERROR(ROUND(AY10*(1+ASSUMPTIONS!$E$20),0),0)</f>
        <v>0</v>
      </c>
      <c r="BA11" s="60" t="n">
        <f aca="false">SUM(AO11:AZ11)</f>
        <v>0</v>
      </c>
      <c r="BB11" s="58" t="n">
        <f aca="false">IFERROR(ROUND(AZ10*(1+ASSUMPTIONS!$F$20),0),0)</f>
        <v>0</v>
      </c>
      <c r="BC11" s="58" t="n">
        <f aca="false">IFERROR(ROUND(BB10*(1+ASSUMPTIONS!$F$20),0),0)</f>
        <v>0</v>
      </c>
      <c r="BD11" s="58" t="n">
        <f aca="false">IFERROR(ROUND(BC10*(1+ASSUMPTIONS!$F$20),0),0)</f>
        <v>0</v>
      </c>
      <c r="BE11" s="58" t="n">
        <f aca="false">IFERROR(ROUND(BD10*(1+ASSUMPTIONS!$F$20),0),0)</f>
        <v>0</v>
      </c>
      <c r="BF11" s="58" t="n">
        <f aca="false">IFERROR(ROUND(BE10*(1+ASSUMPTIONS!$F$20),0),0)</f>
        <v>0</v>
      </c>
      <c r="BG11" s="58" t="n">
        <f aca="false">IFERROR(ROUND(BF10*(1+ASSUMPTIONS!$F$20),0),0)</f>
        <v>0</v>
      </c>
      <c r="BH11" s="58" t="n">
        <f aca="false">IFERROR(ROUND(BG10*(1+ASSUMPTIONS!$F$20),0),0)</f>
        <v>0</v>
      </c>
      <c r="BI11" s="58" t="n">
        <f aca="false">IFERROR(ROUND(BH10*(1+ASSUMPTIONS!$F$20),0),0)</f>
        <v>0</v>
      </c>
      <c r="BJ11" s="58" t="n">
        <f aca="false">IFERROR(ROUND(BI10*(1+ASSUMPTIONS!$F$20),0),0)</f>
        <v>0</v>
      </c>
      <c r="BK11" s="58" t="n">
        <f aca="false">IFERROR(ROUND(BJ10*(1+ASSUMPTIONS!$F$20),0),0)</f>
        <v>0</v>
      </c>
      <c r="BL11" s="58" t="n">
        <f aca="false">IFERROR(ROUND(BK10*(1+ASSUMPTIONS!$F$20),0),0)</f>
        <v>0</v>
      </c>
      <c r="BM11" s="58" t="n">
        <f aca="false">IFERROR(ROUND(BL10*(1+ASSUMPTIONS!$F$20),0),0)</f>
        <v>0</v>
      </c>
      <c r="BN11" s="60" t="n">
        <f aca="false">SUM(BB11:BM11)</f>
        <v>0</v>
      </c>
    </row>
    <row r="12" customFormat="false" ht="18" hidden="false" customHeight="true" outlineLevel="0" collapsed="false">
      <c r="A12" s="20" t="s">
        <v>196</v>
      </c>
      <c r="B12" s="61" t="n">
        <f aca="false">IFERROR(ROUND(ASSUMPTIONS!$B$18*ASSUMPTIONS!$B$21,0),0)</f>
        <v>2</v>
      </c>
      <c r="C12" s="61" t="n">
        <f aca="false">IFERROR(ROUND(B12*ASSUMPTIONS!$B$21,0),0)</f>
        <v>0</v>
      </c>
      <c r="D12" s="61" t="n">
        <f aca="false">IFERROR(ROUND(C12*ASSUMPTIONS!$B$21,0),0)</f>
        <v>0</v>
      </c>
      <c r="E12" s="61" t="n">
        <f aca="false">IFERROR(ROUND(D12*ASSUMPTIONS!$B$21,0),0)</f>
        <v>0</v>
      </c>
      <c r="F12" s="61" t="n">
        <f aca="false">IFERROR(ROUND(E12*ASSUMPTIONS!$B$21,0),0)</f>
        <v>0</v>
      </c>
      <c r="G12" s="61" t="n">
        <f aca="false">IFERROR(ROUND(F12*ASSUMPTIONS!$B$21,0),0)</f>
        <v>0</v>
      </c>
      <c r="H12" s="61" t="n">
        <f aca="false">IFERROR(ROUND(G12*ASSUMPTIONS!$B$21,0),0)</f>
        <v>0</v>
      </c>
      <c r="I12" s="61" t="n">
        <f aca="false">IFERROR(ROUND(H12*ASSUMPTIONS!$B$21,0),0)</f>
        <v>0</v>
      </c>
      <c r="J12" s="61" t="n">
        <f aca="false">IFERROR(ROUND(I12*ASSUMPTIONS!$B$21,0),0)</f>
        <v>0</v>
      </c>
      <c r="K12" s="61" t="n">
        <f aca="false">IFERROR(ROUND(J12*ASSUMPTIONS!$B$21,0),0)</f>
        <v>0</v>
      </c>
      <c r="L12" s="61" t="n">
        <f aca="false">IFERROR(ROUND(K12*ASSUMPTIONS!$B$21,0),0)</f>
        <v>0</v>
      </c>
      <c r="M12" s="61" t="n">
        <f aca="false">IFERROR(ROUND(L12*ASSUMPTIONS!$B$21,0),0)</f>
        <v>0</v>
      </c>
      <c r="N12" s="62" t="n">
        <f aca="false">SUM(B12:M12)</f>
        <v>2</v>
      </c>
      <c r="O12" s="61" t="n">
        <f aca="false">IFERROR(ROUND(M12*ASSUMPTIONS!$C$21,0),0)</f>
        <v>0</v>
      </c>
      <c r="P12" s="61" t="n">
        <f aca="false">IFERROR(ROUND(O12*ASSUMPTIONS!$C$21,0),0)</f>
        <v>0</v>
      </c>
      <c r="Q12" s="61" t="n">
        <f aca="false">IFERROR(ROUND(P12*ASSUMPTIONS!$C$21,0),0)</f>
        <v>0</v>
      </c>
      <c r="R12" s="61" t="n">
        <f aca="false">IFERROR(ROUND(Q12*ASSUMPTIONS!$C$21,0),0)</f>
        <v>0</v>
      </c>
      <c r="S12" s="61" t="n">
        <f aca="false">IFERROR(ROUND(R12*ASSUMPTIONS!$C$21,0),0)</f>
        <v>0</v>
      </c>
      <c r="T12" s="61" t="n">
        <f aca="false">IFERROR(ROUND(S12*ASSUMPTIONS!$C$21,0),0)</f>
        <v>0</v>
      </c>
      <c r="U12" s="61" t="n">
        <f aca="false">IFERROR(ROUND(T12*ASSUMPTIONS!$C$21,0),0)</f>
        <v>0</v>
      </c>
      <c r="V12" s="61" t="n">
        <f aca="false">IFERROR(ROUND(U12*ASSUMPTIONS!$C$21,0),0)</f>
        <v>0</v>
      </c>
      <c r="W12" s="61" t="n">
        <f aca="false">IFERROR(ROUND(V12*ASSUMPTIONS!$C$21,0),0)</f>
        <v>0</v>
      </c>
      <c r="X12" s="61" t="n">
        <f aca="false">IFERROR(ROUND(W12*ASSUMPTIONS!$C$21,0),0)</f>
        <v>0</v>
      </c>
      <c r="Y12" s="61" t="n">
        <f aca="false">IFERROR(ROUND(X12*ASSUMPTIONS!$C$21,0),0)</f>
        <v>0</v>
      </c>
      <c r="Z12" s="61" t="n">
        <f aca="false">IFERROR(ROUND(Y12*ASSUMPTIONS!$C$21,0),0)</f>
        <v>0</v>
      </c>
      <c r="AA12" s="62" t="n">
        <f aca="false">SUM(O12:Z12)</f>
        <v>0</v>
      </c>
      <c r="AB12" s="61" t="n">
        <f aca="false">IFERROR(ROUND(Z12*ASSUMPTIONS!$D$21,0),0)</f>
        <v>0</v>
      </c>
      <c r="AC12" s="61" t="n">
        <f aca="false">IFERROR(ROUND(AB12*ASSUMPTIONS!$D$21,0),0)</f>
        <v>0</v>
      </c>
      <c r="AD12" s="61" t="n">
        <f aca="false">IFERROR(ROUND(AC12*ASSUMPTIONS!$D$21,0),0)</f>
        <v>0</v>
      </c>
      <c r="AE12" s="61" t="n">
        <f aca="false">IFERROR(ROUND(AD12*ASSUMPTIONS!$D$21,0),0)</f>
        <v>0</v>
      </c>
      <c r="AF12" s="61" t="n">
        <f aca="false">IFERROR(ROUND(AE12*ASSUMPTIONS!$D$21,0),0)</f>
        <v>0</v>
      </c>
      <c r="AG12" s="61" t="n">
        <f aca="false">IFERROR(ROUND(AF12*ASSUMPTIONS!$D$21,0),0)</f>
        <v>0</v>
      </c>
      <c r="AH12" s="61" t="n">
        <f aca="false">IFERROR(ROUND(AG12*ASSUMPTIONS!$D$21,0),0)</f>
        <v>0</v>
      </c>
      <c r="AI12" s="61" t="n">
        <f aca="false">IFERROR(ROUND(AH12*ASSUMPTIONS!$D$21,0),0)</f>
        <v>0</v>
      </c>
      <c r="AJ12" s="61" t="n">
        <f aca="false">IFERROR(ROUND(AI12*ASSUMPTIONS!$D$21,0),0)</f>
        <v>0</v>
      </c>
      <c r="AK12" s="61" t="n">
        <f aca="false">IFERROR(ROUND(AJ12*ASSUMPTIONS!$D$21,0),0)</f>
        <v>0</v>
      </c>
      <c r="AL12" s="61" t="n">
        <f aca="false">IFERROR(ROUND(AK12*ASSUMPTIONS!$D$21,0),0)</f>
        <v>0</v>
      </c>
      <c r="AM12" s="61" t="n">
        <f aca="false">IFERROR(ROUND(AL12*ASSUMPTIONS!$D$21,0),0)</f>
        <v>0</v>
      </c>
      <c r="AN12" s="62" t="n">
        <f aca="false">SUM(AB12:AM12)</f>
        <v>0</v>
      </c>
      <c r="AO12" s="61" t="n">
        <f aca="false">IFERROR(ROUND(AM12*ASSUMPTIONS!$E$21,0),0)</f>
        <v>0</v>
      </c>
      <c r="AP12" s="61" t="n">
        <f aca="false">IFERROR(ROUND(AO12*ASSUMPTIONS!$E$21,0),0)</f>
        <v>0</v>
      </c>
      <c r="AQ12" s="61" t="n">
        <f aca="false">IFERROR(ROUND(AP12*ASSUMPTIONS!$E$21,0),0)</f>
        <v>0</v>
      </c>
      <c r="AR12" s="61" t="n">
        <f aca="false">IFERROR(ROUND(AQ12*ASSUMPTIONS!$E$21,0),0)</f>
        <v>0</v>
      </c>
      <c r="AS12" s="61" t="n">
        <f aca="false">IFERROR(ROUND(AR12*ASSUMPTIONS!$E$21,0),0)</f>
        <v>0</v>
      </c>
      <c r="AT12" s="61" t="n">
        <f aca="false">IFERROR(ROUND(AS12*ASSUMPTIONS!$E$21,0),0)</f>
        <v>0</v>
      </c>
      <c r="AU12" s="61" t="n">
        <f aca="false">IFERROR(ROUND(AT12*ASSUMPTIONS!$E$21,0),0)</f>
        <v>0</v>
      </c>
      <c r="AV12" s="61" t="n">
        <f aca="false">IFERROR(ROUND(AU12*ASSUMPTIONS!$E$21,0),0)</f>
        <v>0</v>
      </c>
      <c r="AW12" s="61" t="n">
        <f aca="false">IFERROR(ROUND(AV12*ASSUMPTIONS!$E$21,0),0)</f>
        <v>0</v>
      </c>
      <c r="AX12" s="61" t="n">
        <f aca="false">IFERROR(ROUND(AW12*ASSUMPTIONS!$E$21,0),0)</f>
        <v>0</v>
      </c>
      <c r="AY12" s="61" t="n">
        <f aca="false">IFERROR(ROUND(AX12*ASSUMPTIONS!$E$21,0),0)</f>
        <v>0</v>
      </c>
      <c r="AZ12" s="61" t="n">
        <f aca="false">IFERROR(ROUND(AY12*ASSUMPTIONS!$E$21,0),0)</f>
        <v>0</v>
      </c>
      <c r="BA12" s="60" t="n">
        <f aca="false">SUM(AO12:AZ12)</f>
        <v>0</v>
      </c>
      <c r="BB12" s="61" t="n">
        <f aca="false">IFERROR(ROUND(AZ12*ASSUMPTIONS!$F$21,0),0)</f>
        <v>0</v>
      </c>
      <c r="BC12" s="61" t="n">
        <f aca="false">IFERROR(ROUND(BB12*ASSUMPTIONS!$F$21,0),0)</f>
        <v>0</v>
      </c>
      <c r="BD12" s="61" t="n">
        <f aca="false">IFERROR(ROUND(BC12*ASSUMPTIONS!$F$21,0),0)</f>
        <v>0</v>
      </c>
      <c r="BE12" s="61" t="n">
        <f aca="false">IFERROR(ROUND(BD12*ASSUMPTIONS!$F$21,0),0)</f>
        <v>0</v>
      </c>
      <c r="BF12" s="61" t="n">
        <f aca="false">IFERROR(ROUND(BE12*ASSUMPTIONS!$F$21,0),0)</f>
        <v>0</v>
      </c>
      <c r="BG12" s="61" t="n">
        <f aca="false">IFERROR(ROUND(BF12*ASSUMPTIONS!$F$21,0),0)</f>
        <v>0</v>
      </c>
      <c r="BH12" s="61" t="n">
        <f aca="false">IFERROR(ROUND(BG12*ASSUMPTIONS!$F$21,0),0)</f>
        <v>0</v>
      </c>
      <c r="BI12" s="61" t="n">
        <f aca="false">IFERROR(ROUND(BH12*ASSUMPTIONS!$F$21,0),0)</f>
        <v>0</v>
      </c>
      <c r="BJ12" s="61" t="n">
        <f aca="false">IFERROR(ROUND(BI12*ASSUMPTIONS!$F$21,0),0)</f>
        <v>0</v>
      </c>
      <c r="BK12" s="61" t="n">
        <f aca="false">IFERROR(ROUND(BJ12*ASSUMPTIONS!$F$21,0),0)</f>
        <v>0</v>
      </c>
      <c r="BL12" s="61" t="n">
        <f aca="false">IFERROR(ROUND(BK12*ASSUMPTIONS!$F$21,0),0)</f>
        <v>0</v>
      </c>
      <c r="BM12" s="61" t="n">
        <f aca="false">IFERROR(ROUND(BL12*ASSUMPTIONS!$F$21,0),0)</f>
        <v>0</v>
      </c>
      <c r="BN12" s="60" t="n">
        <f aca="false">SUM(BB12:BM12)</f>
        <v>0</v>
      </c>
    </row>
    <row r="13" customFormat="false" ht="18" hidden="false" customHeight="true" outlineLevel="0" collapsed="false">
      <c r="A13" s="63" t="s">
        <v>197</v>
      </c>
      <c r="B13" s="64" t="n">
        <f aca="false">IFERROR(MAX(0,ASSUMPTIONS!$B$18+B10-B11),0)</f>
        <v>42</v>
      </c>
      <c r="C13" s="64" t="n">
        <f aca="false">IFERROR(MAX(0,B12+C10-C11),0)</f>
        <v>2</v>
      </c>
      <c r="D13" s="64" t="n">
        <f aca="false">IFERROR(MAX(0,C12+D10-D11),0)</f>
        <v>0</v>
      </c>
      <c r="E13" s="64" t="n">
        <f aca="false">IFERROR(MAX(0,D12+E10-E11),0)</f>
        <v>0</v>
      </c>
      <c r="F13" s="64" t="n">
        <f aca="false">IFERROR(MAX(0,E12+F10-F11),0)</f>
        <v>0</v>
      </c>
      <c r="G13" s="64" t="n">
        <f aca="false">IFERROR(MAX(0,F12+G10-G11),0)</f>
        <v>0</v>
      </c>
      <c r="H13" s="64" t="n">
        <f aca="false">IFERROR(MAX(0,G12+H10-H11),0)</f>
        <v>0</v>
      </c>
      <c r="I13" s="64" t="n">
        <f aca="false">IFERROR(MAX(0,H12+I10-I11),0)</f>
        <v>0</v>
      </c>
      <c r="J13" s="64" t="n">
        <f aca="false">IFERROR(MAX(0,I12+J10-J11),0)</f>
        <v>0</v>
      </c>
      <c r="K13" s="64" t="n">
        <f aca="false">IFERROR(MAX(0,J12+K10-K11),0)</f>
        <v>0</v>
      </c>
      <c r="L13" s="64" t="n">
        <f aca="false">IFERROR(MAX(0,K12+L10-L11),0)</f>
        <v>0</v>
      </c>
      <c r="M13" s="64" t="n">
        <f aca="false">IFERROR(MAX(0,L12+M10-M11),0)</f>
        <v>0</v>
      </c>
      <c r="N13" s="65" t="n">
        <f aca="false">M13</f>
        <v>0</v>
      </c>
      <c r="O13" s="64" t="n">
        <f aca="false">IFERROR(MAX(0,M12+O10-O11),0)</f>
        <v>0</v>
      </c>
      <c r="P13" s="64" t="n">
        <f aca="false">IFERROR(MAX(0,O12+P10-P11),0)</f>
        <v>0</v>
      </c>
      <c r="Q13" s="64" t="n">
        <f aca="false">IFERROR(MAX(0,P12+Q10-Q11),0)</f>
        <v>0</v>
      </c>
      <c r="R13" s="64" t="n">
        <f aca="false">IFERROR(MAX(0,Q12+R10-R11),0)</f>
        <v>0</v>
      </c>
      <c r="S13" s="64" t="n">
        <f aca="false">IFERROR(MAX(0,R12+S10-S11),0)</f>
        <v>0</v>
      </c>
      <c r="T13" s="64" t="n">
        <f aca="false">IFERROR(MAX(0,S12+T10-T11),0)</f>
        <v>0</v>
      </c>
      <c r="U13" s="64" t="n">
        <f aca="false">IFERROR(MAX(0,T12+U10-U11),0)</f>
        <v>0</v>
      </c>
      <c r="V13" s="64" t="n">
        <f aca="false">IFERROR(MAX(0,U12+V10-V11),0)</f>
        <v>0</v>
      </c>
      <c r="W13" s="64" t="n">
        <f aca="false">IFERROR(MAX(0,V12+W10-W11),0)</f>
        <v>0</v>
      </c>
      <c r="X13" s="64" t="n">
        <f aca="false">IFERROR(MAX(0,W12+X10-X11),0)</f>
        <v>0</v>
      </c>
      <c r="Y13" s="64" t="n">
        <f aca="false">IFERROR(MAX(0,X12+Y10-Y11),0)</f>
        <v>0</v>
      </c>
      <c r="Z13" s="64" t="n">
        <f aca="false">IFERROR(MAX(0,Y12+Z10-Z11),0)</f>
        <v>0</v>
      </c>
      <c r="AA13" s="65" t="n">
        <f aca="false">Z13</f>
        <v>0</v>
      </c>
      <c r="AB13" s="64" t="n">
        <f aca="false">IFERROR(MAX(0,Z12+AB10-AB11),0)</f>
        <v>0</v>
      </c>
      <c r="AC13" s="64" t="n">
        <f aca="false">IFERROR(MAX(0,AB12+AC10-AC11),0)</f>
        <v>0</v>
      </c>
      <c r="AD13" s="64" t="n">
        <f aca="false">IFERROR(MAX(0,AC12+AD10-AD11),0)</f>
        <v>0</v>
      </c>
      <c r="AE13" s="64" t="n">
        <f aca="false">IFERROR(MAX(0,AD12+AE10-AE11),0)</f>
        <v>0</v>
      </c>
      <c r="AF13" s="64" t="n">
        <f aca="false">IFERROR(MAX(0,AE12+AF10-AF11),0)</f>
        <v>0</v>
      </c>
      <c r="AG13" s="64" t="n">
        <f aca="false">IFERROR(MAX(0,AF12+AG10-AG11),0)</f>
        <v>0</v>
      </c>
      <c r="AH13" s="64" t="n">
        <f aca="false">IFERROR(MAX(0,AG12+AH10-AH11),0)</f>
        <v>0</v>
      </c>
      <c r="AI13" s="64" t="n">
        <f aca="false">IFERROR(MAX(0,AH12+AI10-AI11),0)</f>
        <v>0</v>
      </c>
      <c r="AJ13" s="64" t="n">
        <f aca="false">IFERROR(MAX(0,AI12+AJ10-AJ11),0)</f>
        <v>0</v>
      </c>
      <c r="AK13" s="64" t="n">
        <f aca="false">IFERROR(MAX(0,AJ12+AK10-AK11),0)</f>
        <v>0</v>
      </c>
      <c r="AL13" s="64" t="n">
        <f aca="false">IFERROR(MAX(0,AK12+AL10-AL11),0)</f>
        <v>0</v>
      </c>
      <c r="AM13" s="64" t="n">
        <f aca="false">IFERROR(MAX(0,AL12+AM10-AM11),0)</f>
        <v>0</v>
      </c>
      <c r="AN13" s="65" t="n">
        <f aca="false">AM13</f>
        <v>0</v>
      </c>
      <c r="AO13" s="64" t="n">
        <f aca="false">IFERROR(MAX(0,AM12+AO10-AO11),0)</f>
        <v>0</v>
      </c>
      <c r="AP13" s="64" t="n">
        <f aca="false">IFERROR(MAX(0,AO12+AP10-AP11),0)</f>
        <v>0</v>
      </c>
      <c r="AQ13" s="64" t="n">
        <f aca="false">IFERROR(MAX(0,AP12+AQ10-AQ11),0)</f>
        <v>0</v>
      </c>
      <c r="AR13" s="64" t="n">
        <f aca="false">IFERROR(MAX(0,AQ12+AR10-AR11),0)</f>
        <v>0</v>
      </c>
      <c r="AS13" s="64" t="n">
        <f aca="false">IFERROR(MAX(0,AR12+AS10-AS11),0)</f>
        <v>0</v>
      </c>
      <c r="AT13" s="64" t="n">
        <f aca="false">IFERROR(MAX(0,AS12+AT10-AT11),0)</f>
        <v>0</v>
      </c>
      <c r="AU13" s="64" t="n">
        <f aca="false">IFERROR(MAX(0,AT12+AU10-AU11),0)</f>
        <v>0</v>
      </c>
      <c r="AV13" s="64" t="n">
        <f aca="false">IFERROR(MAX(0,AU12+AV10-AV11),0)</f>
        <v>0</v>
      </c>
      <c r="AW13" s="64" t="n">
        <f aca="false">IFERROR(MAX(0,AV12+AW10-AW11),0)</f>
        <v>0</v>
      </c>
      <c r="AX13" s="64" t="n">
        <f aca="false">IFERROR(MAX(0,AW12+AX10-AX11),0)</f>
        <v>0</v>
      </c>
      <c r="AY13" s="64" t="n">
        <f aca="false">IFERROR(MAX(0,AX12+AY10-AY11),0)</f>
        <v>0</v>
      </c>
      <c r="AZ13" s="64" t="n">
        <f aca="false">IFERROR(MAX(0,AY12+AZ10-AZ11),0)</f>
        <v>0</v>
      </c>
      <c r="BA13" s="60" t="n">
        <f aca="false">AZ13</f>
        <v>0</v>
      </c>
      <c r="BB13" s="64" t="n">
        <f aca="false">IFERROR(MAX(0,AZ12+BB10-BB11),0)</f>
        <v>0</v>
      </c>
      <c r="BC13" s="64" t="n">
        <f aca="false">IFERROR(MAX(0,BB12+BC10-BC11),0)</f>
        <v>0</v>
      </c>
      <c r="BD13" s="64" t="n">
        <f aca="false">IFERROR(MAX(0,BC12+BD10-BD11),0)</f>
        <v>0</v>
      </c>
      <c r="BE13" s="64" t="n">
        <f aca="false">IFERROR(MAX(0,BD12+BE10-BE11),0)</f>
        <v>0</v>
      </c>
      <c r="BF13" s="64" t="n">
        <f aca="false">IFERROR(MAX(0,BE12+BF10-BF11),0)</f>
        <v>0</v>
      </c>
      <c r="BG13" s="64" t="n">
        <f aca="false">IFERROR(MAX(0,BF12+BG10-BG11),0)</f>
        <v>0</v>
      </c>
      <c r="BH13" s="64" t="n">
        <f aca="false">IFERROR(MAX(0,BG12+BH10-BH11),0)</f>
        <v>0</v>
      </c>
      <c r="BI13" s="64" t="n">
        <f aca="false">IFERROR(MAX(0,BH12+BI10-BI11),0)</f>
        <v>0</v>
      </c>
      <c r="BJ13" s="64" t="n">
        <f aca="false">IFERROR(MAX(0,BI12+BJ10-BJ11),0)</f>
        <v>0</v>
      </c>
      <c r="BK13" s="64" t="n">
        <f aca="false">IFERROR(MAX(0,BJ12+BK10-BK11),0)</f>
        <v>0</v>
      </c>
      <c r="BL13" s="64" t="n">
        <f aca="false">IFERROR(MAX(0,BK12+BL10-BL11),0)</f>
        <v>0</v>
      </c>
      <c r="BM13" s="64" t="n">
        <f aca="false">IFERROR(MAX(0,BL12+BM10-BM11),0)</f>
        <v>0</v>
      </c>
      <c r="BN13" s="60" t="n">
        <f aca="false">BM13</f>
        <v>0</v>
      </c>
    </row>
    <row r="14" customFormat="false" ht="6" hidden="false" customHeight="tru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66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66"/>
    </row>
    <row r="15" customFormat="false" ht="19.5" hidden="false" customHeight="true" outlineLevel="0" collapsed="false">
      <c r="A15" s="67" t="s">
        <v>198</v>
      </c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</row>
    <row r="16" customFormat="false" ht="18" hidden="false" customHeight="true" outlineLevel="0" collapsed="false">
      <c r="A16" s="68" t="s">
        <v>199</v>
      </c>
      <c r="B16" s="69" t="n">
        <f aca="false">IFERROR(B9*ASSUMPTIONS!$B$16*ASSUMPTIONS!$B$15,0)</f>
        <v>94500</v>
      </c>
      <c r="C16" s="69" t="n">
        <f aca="false">IFERROR(C9*ASSUMPTIONS!$B$16*ASSUMPTIONS!$B$15,0)</f>
        <v>99720</v>
      </c>
      <c r="D16" s="69" t="n">
        <f aca="false">IFERROR(D9*ASSUMPTIONS!$B$16*ASSUMPTIONS!$B$15,0)</f>
        <v>105660</v>
      </c>
      <c r="E16" s="69" t="n">
        <f aca="false">IFERROR(E9*ASSUMPTIONS!$B$16*ASSUMPTIONS!$B$15,0)</f>
        <v>112500</v>
      </c>
      <c r="F16" s="69" t="n">
        <f aca="false">IFERROR(F9*ASSUMPTIONS!$B$16*ASSUMPTIONS!$B$15,0)</f>
        <v>120240</v>
      </c>
      <c r="G16" s="69" t="n">
        <f aca="false">IFERROR(G9*ASSUMPTIONS!$B$16*ASSUMPTIONS!$B$15,0)</f>
        <v>128880</v>
      </c>
      <c r="H16" s="69" t="n">
        <f aca="false">IFERROR(H9*ASSUMPTIONS!$B$16*ASSUMPTIONS!$B$15,0)</f>
        <v>138420</v>
      </c>
      <c r="I16" s="69" t="n">
        <f aca="false">IFERROR(I9*ASSUMPTIONS!$B$16*ASSUMPTIONS!$B$15,0)</f>
        <v>149220</v>
      </c>
      <c r="J16" s="69" t="n">
        <f aca="false">IFERROR(J9*ASSUMPTIONS!$B$16*ASSUMPTIONS!$B$15,0)</f>
        <v>161280</v>
      </c>
      <c r="K16" s="69" t="n">
        <f aca="false">IFERROR(K9*ASSUMPTIONS!$B$16*ASSUMPTIONS!$B$15,0)</f>
        <v>174600</v>
      </c>
      <c r="L16" s="69" t="n">
        <f aca="false">IFERROR(L9*ASSUMPTIONS!$B$16*ASSUMPTIONS!$B$15,0)</f>
        <v>189360</v>
      </c>
      <c r="M16" s="69" t="n">
        <f aca="false">IFERROR(M9*ASSUMPTIONS!$B$16*ASSUMPTIONS!$B$15,0)</f>
        <v>205740</v>
      </c>
      <c r="N16" s="70" t="n">
        <f aca="false">SUM(B16:M16)</f>
        <v>1680120</v>
      </c>
      <c r="O16" s="69" t="n">
        <f aca="false">IFERROR(O9*ASSUMPTIONS!$C$16*ASSUMPTIONS!$C$15,0)</f>
        <v>223920</v>
      </c>
      <c r="P16" s="69" t="n">
        <f aca="false">IFERROR(P9*ASSUMPTIONS!$C$16*ASSUMPTIONS!$C$15,0)</f>
        <v>244080</v>
      </c>
      <c r="Q16" s="69" t="n">
        <f aca="false">IFERROR(Q9*ASSUMPTIONS!$C$16*ASSUMPTIONS!$C$15,0)</f>
        <v>266220</v>
      </c>
      <c r="R16" s="69" t="n">
        <f aca="false">IFERROR(R9*ASSUMPTIONS!$C$16*ASSUMPTIONS!$C$15,0)</f>
        <v>290700</v>
      </c>
      <c r="S16" s="69" t="n">
        <f aca="false">IFERROR(S9*ASSUMPTIONS!$C$16*ASSUMPTIONS!$C$15,0)</f>
        <v>317700</v>
      </c>
      <c r="T16" s="69" t="n">
        <f aca="false">IFERROR(T9*ASSUMPTIONS!$C$16*ASSUMPTIONS!$C$15,0)</f>
        <v>347580</v>
      </c>
      <c r="U16" s="69" t="n">
        <f aca="false">IFERROR(U9*ASSUMPTIONS!$C$16*ASSUMPTIONS!$C$15,0)</f>
        <v>380340</v>
      </c>
      <c r="V16" s="69" t="n">
        <f aca="false">IFERROR(V9*ASSUMPTIONS!$C$16*ASSUMPTIONS!$C$15,0)</f>
        <v>416520</v>
      </c>
      <c r="W16" s="69" t="n">
        <f aca="false">IFERROR(W9*ASSUMPTIONS!$C$16*ASSUMPTIONS!$C$15,0)</f>
        <v>456480</v>
      </c>
      <c r="X16" s="69" t="n">
        <f aca="false">IFERROR(X9*ASSUMPTIONS!$C$16*ASSUMPTIONS!$C$15,0)</f>
        <v>500580</v>
      </c>
      <c r="Y16" s="69" t="n">
        <f aca="false">IFERROR(Y9*ASSUMPTIONS!$C$16*ASSUMPTIONS!$C$15,0)</f>
        <v>549180</v>
      </c>
      <c r="Z16" s="69" t="n">
        <f aca="false">IFERROR(Z9*ASSUMPTIONS!$C$16*ASSUMPTIONS!$C$15,0)</f>
        <v>602640</v>
      </c>
      <c r="AA16" s="70" t="n">
        <f aca="false">SUM(O16:Z16)</f>
        <v>4595940</v>
      </c>
      <c r="AB16" s="69" t="n">
        <f aca="false">IFERROR(AB9*ASSUMPTIONS!$D$16*ASSUMPTIONS!$D$15,0)</f>
        <v>661680</v>
      </c>
      <c r="AC16" s="69" t="n">
        <f aca="false">IFERROR(AC9*ASSUMPTIONS!$D$16*ASSUMPTIONS!$D$15,0)</f>
        <v>726660</v>
      </c>
      <c r="AD16" s="69" t="n">
        <f aca="false">IFERROR(AD9*ASSUMPTIONS!$D$16*ASSUMPTIONS!$D$15,0)</f>
        <v>798300</v>
      </c>
      <c r="AE16" s="69" t="n">
        <f aca="false">IFERROR(AE9*ASSUMPTIONS!$D$16*ASSUMPTIONS!$D$15,0)</f>
        <v>877140</v>
      </c>
      <c r="AF16" s="69" t="n">
        <f aca="false">IFERROR(AF9*ASSUMPTIONS!$D$16*ASSUMPTIONS!$D$15,0)</f>
        <v>963900</v>
      </c>
      <c r="AG16" s="69" t="n">
        <f aca="false">IFERROR(AG9*ASSUMPTIONS!$D$16*ASSUMPTIONS!$D$15,0)</f>
        <v>1059480</v>
      </c>
      <c r="AH16" s="69" t="n">
        <f aca="false">IFERROR(AH9*ASSUMPTIONS!$D$16*ASSUMPTIONS!$D$15,0)</f>
        <v>1164780</v>
      </c>
      <c r="AI16" s="69" t="n">
        <f aca="false">IFERROR(AI9*ASSUMPTIONS!$D$16*ASSUMPTIONS!$D$15,0)</f>
        <v>1280520</v>
      </c>
      <c r="AJ16" s="69" t="n">
        <f aca="false">IFERROR(AJ9*ASSUMPTIONS!$D$16*ASSUMPTIONS!$D$15,0)</f>
        <v>1407960</v>
      </c>
      <c r="AK16" s="69" t="n">
        <f aca="false">IFERROR(AK9*ASSUMPTIONS!$D$16*ASSUMPTIONS!$D$15,0)</f>
        <v>1548180</v>
      </c>
      <c r="AL16" s="69" t="n">
        <f aca="false">IFERROR(AL9*ASSUMPTIONS!$D$16*ASSUMPTIONS!$D$15,0)</f>
        <v>1702440</v>
      </c>
      <c r="AM16" s="69" t="n">
        <f aca="false">IFERROR(AM9*ASSUMPTIONS!$D$16*ASSUMPTIONS!$D$15,0)</f>
        <v>1872180</v>
      </c>
      <c r="AN16" s="70" t="n">
        <f aca="false">SUM(AB16:AM16)</f>
        <v>14063220</v>
      </c>
      <c r="AO16" s="69" t="n">
        <f aca="false">IFERROR(AO9*ASSUMPTIONS!$E$16*ASSUMPTIONS!$E$15,0)</f>
        <v>2059020</v>
      </c>
      <c r="AP16" s="69" t="n">
        <f aca="false">IFERROR(AP9*ASSUMPTIONS!$E$16*ASSUMPTIONS!$E$15,0)</f>
        <v>2264580</v>
      </c>
      <c r="AQ16" s="69" t="n">
        <f aca="false">IFERROR(AQ9*ASSUMPTIONS!$E$16*ASSUMPTIONS!$E$15,0)</f>
        <v>2490660</v>
      </c>
      <c r="AR16" s="69" t="n">
        <f aca="false">IFERROR(AR9*ASSUMPTIONS!$E$16*ASSUMPTIONS!$E$15,0)</f>
        <v>2739420</v>
      </c>
      <c r="AS16" s="69" t="n">
        <f aca="false">IFERROR(AS9*ASSUMPTIONS!$E$16*ASSUMPTIONS!$E$15,0)</f>
        <v>3013020</v>
      </c>
      <c r="AT16" s="69" t="n">
        <f aca="false">IFERROR(AT9*ASSUMPTIONS!$E$16*ASSUMPTIONS!$E$15,0)</f>
        <v>3313980</v>
      </c>
      <c r="AU16" s="69" t="n">
        <f aca="false">IFERROR(AU9*ASSUMPTIONS!$E$16*ASSUMPTIONS!$E$15,0)</f>
        <v>3645000</v>
      </c>
      <c r="AV16" s="69" t="n">
        <f aca="false">IFERROR(AV9*ASSUMPTIONS!$E$16*ASSUMPTIONS!$E$15,0)</f>
        <v>4009140</v>
      </c>
      <c r="AW16" s="69" t="n">
        <f aca="false">IFERROR(AW9*ASSUMPTIONS!$E$16*ASSUMPTIONS!$E$15,0)</f>
        <v>4409820</v>
      </c>
      <c r="AX16" s="69" t="n">
        <f aca="false">IFERROR(AX9*ASSUMPTIONS!$E$16*ASSUMPTIONS!$E$15,0)</f>
        <v>4850640</v>
      </c>
      <c r="AY16" s="69" t="n">
        <f aca="false">IFERROR(AY9*ASSUMPTIONS!$E$16*ASSUMPTIONS!$E$15,0)</f>
        <v>5335560</v>
      </c>
      <c r="AZ16" s="69" t="n">
        <f aca="false">IFERROR(AZ9*ASSUMPTIONS!$E$16*ASSUMPTIONS!$E$15,0)</f>
        <v>5868900</v>
      </c>
      <c r="BA16" s="71" t="n">
        <f aca="false">SUM(AO16:AZ16)</f>
        <v>43999740</v>
      </c>
      <c r="BB16" s="69" t="n">
        <f aca="false">IFERROR(BB9*ASSUMPTIONS!$F$16*ASSUMPTIONS!$F$15,0)</f>
        <v>6455700</v>
      </c>
      <c r="BC16" s="69" t="n">
        <f aca="false">IFERROR(BC9*ASSUMPTIONS!$F$16*ASSUMPTIONS!$F$15,0)</f>
        <v>7101180</v>
      </c>
      <c r="BD16" s="69" t="n">
        <f aca="false">IFERROR(BD9*ASSUMPTIONS!$F$16*ASSUMPTIONS!$F$15,0)</f>
        <v>7811100</v>
      </c>
      <c r="BE16" s="69" t="n">
        <f aca="false">IFERROR(BE9*ASSUMPTIONS!$F$16*ASSUMPTIONS!$F$15,0)</f>
        <v>8592120</v>
      </c>
      <c r="BF16" s="69" t="n">
        <f aca="false">IFERROR(BF9*ASSUMPTIONS!$F$16*ASSUMPTIONS!$F$15,0)</f>
        <v>9451260</v>
      </c>
      <c r="BG16" s="69" t="n">
        <f aca="false">IFERROR(BG9*ASSUMPTIONS!$F$16*ASSUMPTIONS!$F$15,0)</f>
        <v>10396440</v>
      </c>
      <c r="BH16" s="69" t="n">
        <f aca="false">IFERROR(BH9*ASSUMPTIONS!$F$16*ASSUMPTIONS!$F$15,0)</f>
        <v>11436120</v>
      </c>
      <c r="BI16" s="69" t="n">
        <f aca="false">IFERROR(BI9*ASSUMPTIONS!$F$16*ASSUMPTIONS!$F$15,0)</f>
        <v>12579660</v>
      </c>
      <c r="BJ16" s="69" t="n">
        <f aca="false">IFERROR(BJ9*ASSUMPTIONS!$F$16*ASSUMPTIONS!$F$15,0)</f>
        <v>13837680</v>
      </c>
      <c r="BK16" s="69" t="n">
        <f aca="false">IFERROR(BK9*ASSUMPTIONS!$F$16*ASSUMPTIONS!$F$15,0)</f>
        <v>15221340</v>
      </c>
      <c r="BL16" s="69" t="n">
        <f aca="false">IFERROR(BL9*ASSUMPTIONS!$F$16*ASSUMPTIONS!$F$15,0)</f>
        <v>16743420</v>
      </c>
      <c r="BM16" s="69" t="n">
        <f aca="false">IFERROR(BM9*ASSUMPTIONS!$F$16*ASSUMPTIONS!$F$15,0)</f>
        <v>18417600</v>
      </c>
      <c r="BN16" s="71" t="n">
        <f aca="false">SUM(BB16:BM16)</f>
        <v>138043620</v>
      </c>
    </row>
    <row r="17" customFormat="false" ht="18" hidden="false" customHeight="true" outlineLevel="0" collapsed="false">
      <c r="A17" s="72" t="s">
        <v>200</v>
      </c>
      <c r="B17" s="73" t="n">
        <f aca="false">IFERROR(B16*ASSUMPTIONS!$B$17,0)</f>
        <v>14175</v>
      </c>
      <c r="C17" s="73" t="n">
        <f aca="false">IFERROR(C16*ASSUMPTIONS!$B$17,0)</f>
        <v>14958</v>
      </c>
      <c r="D17" s="73" t="n">
        <f aca="false">IFERROR(D16*ASSUMPTIONS!$B$17,0)</f>
        <v>15849</v>
      </c>
      <c r="E17" s="73" t="n">
        <f aca="false">IFERROR(E16*ASSUMPTIONS!$B$17,0)</f>
        <v>16875</v>
      </c>
      <c r="F17" s="73" t="n">
        <f aca="false">IFERROR(F16*ASSUMPTIONS!$B$17,0)</f>
        <v>18036</v>
      </c>
      <c r="G17" s="73" t="n">
        <f aca="false">IFERROR(G16*ASSUMPTIONS!$B$17,0)</f>
        <v>19332</v>
      </c>
      <c r="H17" s="73" t="n">
        <f aca="false">IFERROR(H16*ASSUMPTIONS!$B$17,0)</f>
        <v>20763</v>
      </c>
      <c r="I17" s="73" t="n">
        <f aca="false">IFERROR(I16*ASSUMPTIONS!$B$17,0)</f>
        <v>22383</v>
      </c>
      <c r="J17" s="73" t="n">
        <f aca="false">IFERROR(J16*ASSUMPTIONS!$B$17,0)</f>
        <v>24192</v>
      </c>
      <c r="K17" s="73" t="n">
        <f aca="false">IFERROR(K16*ASSUMPTIONS!$B$17,0)</f>
        <v>26190</v>
      </c>
      <c r="L17" s="73" t="n">
        <f aca="false">IFERROR(L16*ASSUMPTIONS!$B$17,0)</f>
        <v>28404</v>
      </c>
      <c r="M17" s="73" t="n">
        <f aca="false">IFERROR(M16*ASSUMPTIONS!$B$17,0)</f>
        <v>30861</v>
      </c>
      <c r="N17" s="70" t="n">
        <f aca="false">SUM(B17:M17)</f>
        <v>252018</v>
      </c>
      <c r="O17" s="73" t="n">
        <f aca="false">IFERROR(O16*ASSUMPTIONS!$C$17,0)</f>
        <v>33588</v>
      </c>
      <c r="P17" s="73" t="n">
        <f aca="false">IFERROR(P16*ASSUMPTIONS!$C$17,0)</f>
        <v>36612</v>
      </c>
      <c r="Q17" s="73" t="n">
        <f aca="false">IFERROR(Q16*ASSUMPTIONS!$C$17,0)</f>
        <v>39933</v>
      </c>
      <c r="R17" s="73" t="n">
        <f aca="false">IFERROR(R16*ASSUMPTIONS!$C$17,0)</f>
        <v>43605</v>
      </c>
      <c r="S17" s="73" t="n">
        <f aca="false">IFERROR(S16*ASSUMPTIONS!$C$17,0)</f>
        <v>47655</v>
      </c>
      <c r="T17" s="73" t="n">
        <f aca="false">IFERROR(T16*ASSUMPTIONS!$C$17,0)</f>
        <v>52137</v>
      </c>
      <c r="U17" s="73" t="n">
        <f aca="false">IFERROR(U16*ASSUMPTIONS!$C$17,0)</f>
        <v>57051</v>
      </c>
      <c r="V17" s="73" t="n">
        <f aca="false">IFERROR(V16*ASSUMPTIONS!$C$17,0)</f>
        <v>62478</v>
      </c>
      <c r="W17" s="73" t="n">
        <f aca="false">IFERROR(W16*ASSUMPTIONS!$C$17,0)</f>
        <v>68472</v>
      </c>
      <c r="X17" s="73" t="n">
        <f aca="false">IFERROR(X16*ASSUMPTIONS!$C$17,0)</f>
        <v>75087</v>
      </c>
      <c r="Y17" s="73" t="n">
        <f aca="false">IFERROR(Y16*ASSUMPTIONS!$C$17,0)</f>
        <v>82377</v>
      </c>
      <c r="Z17" s="73" t="n">
        <f aca="false">IFERROR(Z16*ASSUMPTIONS!$C$17,0)</f>
        <v>90396</v>
      </c>
      <c r="AA17" s="70" t="n">
        <f aca="false">SUM(O17:Z17)</f>
        <v>689391</v>
      </c>
      <c r="AB17" s="73" t="n">
        <f aca="false">IFERROR(AB16*ASSUMPTIONS!$D$17,0)</f>
        <v>99252</v>
      </c>
      <c r="AC17" s="73" t="n">
        <f aca="false">IFERROR(AC16*ASSUMPTIONS!$D$17,0)</f>
        <v>108999</v>
      </c>
      <c r="AD17" s="73" t="n">
        <f aca="false">IFERROR(AD16*ASSUMPTIONS!$D$17,0)</f>
        <v>119745</v>
      </c>
      <c r="AE17" s="73" t="n">
        <f aca="false">IFERROR(AE16*ASSUMPTIONS!$D$17,0)</f>
        <v>131571</v>
      </c>
      <c r="AF17" s="73" t="n">
        <f aca="false">IFERROR(AF16*ASSUMPTIONS!$D$17,0)</f>
        <v>144585</v>
      </c>
      <c r="AG17" s="73" t="n">
        <f aca="false">IFERROR(AG16*ASSUMPTIONS!$D$17,0)</f>
        <v>158922</v>
      </c>
      <c r="AH17" s="73" t="n">
        <f aca="false">IFERROR(AH16*ASSUMPTIONS!$D$17,0)</f>
        <v>174717</v>
      </c>
      <c r="AI17" s="73" t="n">
        <f aca="false">IFERROR(AI16*ASSUMPTIONS!$D$17,0)</f>
        <v>192078</v>
      </c>
      <c r="AJ17" s="73" t="n">
        <f aca="false">IFERROR(AJ16*ASSUMPTIONS!$D$17,0)</f>
        <v>211194</v>
      </c>
      <c r="AK17" s="73" t="n">
        <f aca="false">IFERROR(AK16*ASSUMPTIONS!$D$17,0)</f>
        <v>232227</v>
      </c>
      <c r="AL17" s="73" t="n">
        <f aca="false">IFERROR(AL16*ASSUMPTIONS!$D$17,0)</f>
        <v>255366</v>
      </c>
      <c r="AM17" s="73" t="n">
        <f aca="false">IFERROR(AM16*ASSUMPTIONS!$D$17,0)</f>
        <v>280827</v>
      </c>
      <c r="AN17" s="70" t="n">
        <f aca="false">SUM(AB17:AM17)</f>
        <v>2109483</v>
      </c>
      <c r="AO17" s="73" t="n">
        <f aca="false">IFERROR(AO16*ASSUMPTIONS!$E$17,0)</f>
        <v>308853</v>
      </c>
      <c r="AP17" s="73" t="n">
        <f aca="false">IFERROR(AP16*ASSUMPTIONS!$E$17,0)</f>
        <v>339687</v>
      </c>
      <c r="AQ17" s="73" t="n">
        <f aca="false">IFERROR(AQ16*ASSUMPTIONS!$E$17,0)</f>
        <v>373599</v>
      </c>
      <c r="AR17" s="73" t="n">
        <f aca="false">IFERROR(AR16*ASSUMPTIONS!$E$17,0)</f>
        <v>410913</v>
      </c>
      <c r="AS17" s="73" t="n">
        <f aca="false">IFERROR(AS16*ASSUMPTIONS!$E$17,0)</f>
        <v>451953</v>
      </c>
      <c r="AT17" s="73" t="n">
        <f aca="false">IFERROR(AT16*ASSUMPTIONS!$E$17,0)</f>
        <v>497097</v>
      </c>
      <c r="AU17" s="73" t="n">
        <f aca="false">IFERROR(AU16*ASSUMPTIONS!$E$17,0)</f>
        <v>546750</v>
      </c>
      <c r="AV17" s="73" t="n">
        <f aca="false">IFERROR(AV16*ASSUMPTIONS!$E$17,0)</f>
        <v>601371</v>
      </c>
      <c r="AW17" s="73" t="n">
        <f aca="false">IFERROR(AW16*ASSUMPTIONS!$E$17,0)</f>
        <v>661473</v>
      </c>
      <c r="AX17" s="73" t="n">
        <f aca="false">IFERROR(AX16*ASSUMPTIONS!$E$17,0)</f>
        <v>727596</v>
      </c>
      <c r="AY17" s="73" t="n">
        <f aca="false">IFERROR(AY16*ASSUMPTIONS!$E$17,0)</f>
        <v>800334</v>
      </c>
      <c r="AZ17" s="73" t="n">
        <f aca="false">IFERROR(AZ16*ASSUMPTIONS!$E$17,0)</f>
        <v>880335</v>
      </c>
      <c r="BA17" s="71" t="n">
        <f aca="false">SUM(AO17:AZ17)</f>
        <v>6599961</v>
      </c>
      <c r="BB17" s="73" t="n">
        <f aca="false">IFERROR(BB16*ASSUMPTIONS!$F$17,0)</f>
        <v>968355</v>
      </c>
      <c r="BC17" s="73" t="n">
        <f aca="false">IFERROR(BC16*ASSUMPTIONS!$F$17,0)</f>
        <v>1065177</v>
      </c>
      <c r="BD17" s="73" t="n">
        <f aca="false">IFERROR(BD16*ASSUMPTIONS!$F$17,0)</f>
        <v>1171665</v>
      </c>
      <c r="BE17" s="73" t="n">
        <f aca="false">IFERROR(BE16*ASSUMPTIONS!$F$17,0)</f>
        <v>1288818</v>
      </c>
      <c r="BF17" s="73" t="n">
        <f aca="false">IFERROR(BF16*ASSUMPTIONS!$F$17,0)</f>
        <v>1417689</v>
      </c>
      <c r="BG17" s="73" t="n">
        <f aca="false">IFERROR(BG16*ASSUMPTIONS!$F$17,0)</f>
        <v>1559466</v>
      </c>
      <c r="BH17" s="73" t="n">
        <f aca="false">IFERROR(BH16*ASSUMPTIONS!$F$17,0)</f>
        <v>1715418</v>
      </c>
      <c r="BI17" s="73" t="n">
        <f aca="false">IFERROR(BI16*ASSUMPTIONS!$F$17,0)</f>
        <v>1886949</v>
      </c>
      <c r="BJ17" s="73" t="n">
        <f aca="false">IFERROR(BJ16*ASSUMPTIONS!$F$17,0)</f>
        <v>2075652</v>
      </c>
      <c r="BK17" s="73" t="n">
        <f aca="false">IFERROR(BK16*ASSUMPTIONS!$F$17,0)</f>
        <v>2283201</v>
      </c>
      <c r="BL17" s="73" t="n">
        <f aca="false">IFERROR(BL16*ASSUMPTIONS!$F$17,0)</f>
        <v>2511513</v>
      </c>
      <c r="BM17" s="73" t="n">
        <f aca="false">IFERROR(BM16*ASSUMPTIONS!$F$17,0)</f>
        <v>2762640</v>
      </c>
      <c r="BN17" s="71" t="n">
        <f aca="false">SUM(BB17:BM17)</f>
        <v>20706543</v>
      </c>
    </row>
    <row r="18" customFormat="false" ht="18" hidden="false" customHeight="true" outlineLevel="0" collapsed="false">
      <c r="A18" s="74" t="s">
        <v>201</v>
      </c>
      <c r="B18" s="73" t="n">
        <f aca="false">IFERROR(B13*ASSUMPTIONS!$B$22,0)</f>
        <v>2100</v>
      </c>
      <c r="C18" s="73" t="n">
        <f aca="false">IFERROR(C13*ASSUMPTIONS!$B$22,0)</f>
        <v>100</v>
      </c>
      <c r="D18" s="73" t="n">
        <f aca="false">IFERROR(D13*ASSUMPTIONS!$B$22,0)</f>
        <v>0</v>
      </c>
      <c r="E18" s="73" t="n">
        <f aca="false">IFERROR(E13*ASSUMPTIONS!$B$22,0)</f>
        <v>0</v>
      </c>
      <c r="F18" s="73" t="n">
        <f aca="false">IFERROR(F13*ASSUMPTIONS!$B$22,0)</f>
        <v>0</v>
      </c>
      <c r="G18" s="73" t="n">
        <f aca="false">IFERROR(G13*ASSUMPTIONS!$B$22,0)</f>
        <v>0</v>
      </c>
      <c r="H18" s="73" t="n">
        <f aca="false">IFERROR(H13*ASSUMPTIONS!$B$22,0)</f>
        <v>0</v>
      </c>
      <c r="I18" s="73" t="n">
        <f aca="false">IFERROR(I13*ASSUMPTIONS!$B$22,0)</f>
        <v>0</v>
      </c>
      <c r="J18" s="73" t="n">
        <f aca="false">IFERROR(J13*ASSUMPTIONS!$B$22,0)</f>
        <v>0</v>
      </c>
      <c r="K18" s="73" t="n">
        <f aca="false">IFERROR(K13*ASSUMPTIONS!$B$22,0)</f>
        <v>0</v>
      </c>
      <c r="L18" s="73" t="n">
        <f aca="false">IFERROR(L13*ASSUMPTIONS!$B$22,0)</f>
        <v>0</v>
      </c>
      <c r="M18" s="73" t="n">
        <f aca="false">IFERROR(M13*ASSUMPTIONS!$B$22,0)</f>
        <v>0</v>
      </c>
      <c r="N18" s="70" t="n">
        <f aca="false">SUM(B18:M18)</f>
        <v>2200</v>
      </c>
      <c r="O18" s="73" t="n">
        <f aca="false">IFERROR(O13*ASSUMPTIONS!$C$22,0)</f>
        <v>0</v>
      </c>
      <c r="P18" s="73" t="n">
        <f aca="false">IFERROR(P13*ASSUMPTIONS!$C$22,0)</f>
        <v>0</v>
      </c>
      <c r="Q18" s="73" t="n">
        <f aca="false">IFERROR(Q13*ASSUMPTIONS!$C$22,0)</f>
        <v>0</v>
      </c>
      <c r="R18" s="73" t="n">
        <f aca="false">IFERROR(R13*ASSUMPTIONS!$C$22,0)</f>
        <v>0</v>
      </c>
      <c r="S18" s="73" t="n">
        <f aca="false">IFERROR(S13*ASSUMPTIONS!$C$22,0)</f>
        <v>0</v>
      </c>
      <c r="T18" s="73" t="n">
        <f aca="false">IFERROR(T13*ASSUMPTIONS!$C$22,0)</f>
        <v>0</v>
      </c>
      <c r="U18" s="73" t="n">
        <f aca="false">IFERROR(U13*ASSUMPTIONS!$C$22,0)</f>
        <v>0</v>
      </c>
      <c r="V18" s="73" t="n">
        <f aca="false">IFERROR(V13*ASSUMPTIONS!$C$22,0)</f>
        <v>0</v>
      </c>
      <c r="W18" s="73" t="n">
        <f aca="false">IFERROR(W13*ASSUMPTIONS!$C$22,0)</f>
        <v>0</v>
      </c>
      <c r="X18" s="73" t="n">
        <f aca="false">IFERROR(X13*ASSUMPTIONS!$C$22,0)</f>
        <v>0</v>
      </c>
      <c r="Y18" s="73" t="n">
        <f aca="false">IFERROR(Y13*ASSUMPTIONS!$C$22,0)</f>
        <v>0</v>
      </c>
      <c r="Z18" s="73" t="n">
        <f aca="false">IFERROR(Z13*ASSUMPTIONS!$C$22,0)</f>
        <v>0</v>
      </c>
      <c r="AA18" s="70" t="n">
        <f aca="false">SUM(O18:Z18)</f>
        <v>0</v>
      </c>
      <c r="AB18" s="73" t="n">
        <f aca="false">IFERROR(AB13*ASSUMPTIONS!$D$22,0)</f>
        <v>0</v>
      </c>
      <c r="AC18" s="73" t="n">
        <f aca="false">IFERROR(AC13*ASSUMPTIONS!$D$22,0)</f>
        <v>0</v>
      </c>
      <c r="AD18" s="73" t="n">
        <f aca="false">IFERROR(AD13*ASSUMPTIONS!$D$22,0)</f>
        <v>0</v>
      </c>
      <c r="AE18" s="73" t="n">
        <f aca="false">IFERROR(AE13*ASSUMPTIONS!$D$22,0)</f>
        <v>0</v>
      </c>
      <c r="AF18" s="73" t="n">
        <f aca="false">IFERROR(AF13*ASSUMPTIONS!$D$22,0)</f>
        <v>0</v>
      </c>
      <c r="AG18" s="73" t="n">
        <f aca="false">IFERROR(AG13*ASSUMPTIONS!$D$22,0)</f>
        <v>0</v>
      </c>
      <c r="AH18" s="73" t="n">
        <f aca="false">IFERROR(AH13*ASSUMPTIONS!$D$22,0)</f>
        <v>0</v>
      </c>
      <c r="AI18" s="73" t="n">
        <f aca="false">IFERROR(AI13*ASSUMPTIONS!$D$22,0)</f>
        <v>0</v>
      </c>
      <c r="AJ18" s="73" t="n">
        <f aca="false">IFERROR(AJ13*ASSUMPTIONS!$D$22,0)</f>
        <v>0</v>
      </c>
      <c r="AK18" s="73" t="n">
        <f aca="false">IFERROR(AK13*ASSUMPTIONS!$D$22,0)</f>
        <v>0</v>
      </c>
      <c r="AL18" s="73" t="n">
        <f aca="false">IFERROR(AL13*ASSUMPTIONS!$D$22,0)</f>
        <v>0</v>
      </c>
      <c r="AM18" s="73" t="n">
        <f aca="false">IFERROR(AM13*ASSUMPTIONS!$D$22,0)</f>
        <v>0</v>
      </c>
      <c r="AN18" s="70" t="n">
        <f aca="false">SUM(AB18:AM18)</f>
        <v>0</v>
      </c>
      <c r="AO18" s="73" t="n">
        <f aca="false">IFERROR(AO13*ASSUMPTIONS!$E$22,0)</f>
        <v>0</v>
      </c>
      <c r="AP18" s="73" t="n">
        <f aca="false">IFERROR(AP13*ASSUMPTIONS!$E$22,0)</f>
        <v>0</v>
      </c>
      <c r="AQ18" s="73" t="n">
        <f aca="false">IFERROR(AQ13*ASSUMPTIONS!$E$22,0)</f>
        <v>0</v>
      </c>
      <c r="AR18" s="73" t="n">
        <f aca="false">IFERROR(AR13*ASSUMPTIONS!$E$22,0)</f>
        <v>0</v>
      </c>
      <c r="AS18" s="73" t="n">
        <f aca="false">IFERROR(AS13*ASSUMPTIONS!$E$22,0)</f>
        <v>0</v>
      </c>
      <c r="AT18" s="73" t="n">
        <f aca="false">IFERROR(AT13*ASSUMPTIONS!$E$22,0)</f>
        <v>0</v>
      </c>
      <c r="AU18" s="73" t="n">
        <f aca="false">IFERROR(AU13*ASSUMPTIONS!$E$22,0)</f>
        <v>0</v>
      </c>
      <c r="AV18" s="73" t="n">
        <f aca="false">IFERROR(AV13*ASSUMPTIONS!$E$22,0)</f>
        <v>0</v>
      </c>
      <c r="AW18" s="73" t="n">
        <f aca="false">IFERROR(AW13*ASSUMPTIONS!$E$22,0)</f>
        <v>0</v>
      </c>
      <c r="AX18" s="73" t="n">
        <f aca="false">IFERROR(AX13*ASSUMPTIONS!$E$22,0)</f>
        <v>0</v>
      </c>
      <c r="AY18" s="73" t="n">
        <f aca="false">IFERROR(AY13*ASSUMPTIONS!$E$22,0)</f>
        <v>0</v>
      </c>
      <c r="AZ18" s="73" t="n">
        <f aca="false">IFERROR(AZ13*ASSUMPTIONS!$E$22,0)</f>
        <v>0</v>
      </c>
      <c r="BA18" s="71" t="n">
        <f aca="false">SUM(AO18:AZ18)</f>
        <v>0</v>
      </c>
      <c r="BB18" s="73" t="n">
        <f aca="false">IFERROR(BB13*ASSUMPTIONS!$F$22,0)</f>
        <v>0</v>
      </c>
      <c r="BC18" s="73" t="n">
        <f aca="false">IFERROR(BC13*ASSUMPTIONS!$F$22,0)</f>
        <v>0</v>
      </c>
      <c r="BD18" s="73" t="n">
        <f aca="false">IFERROR(BD13*ASSUMPTIONS!$F$22,0)</f>
        <v>0</v>
      </c>
      <c r="BE18" s="73" t="n">
        <f aca="false">IFERROR(BE13*ASSUMPTIONS!$F$22,0)</f>
        <v>0</v>
      </c>
      <c r="BF18" s="73" t="n">
        <f aca="false">IFERROR(BF13*ASSUMPTIONS!$F$22,0)</f>
        <v>0</v>
      </c>
      <c r="BG18" s="73" t="n">
        <f aca="false">IFERROR(BG13*ASSUMPTIONS!$F$22,0)</f>
        <v>0</v>
      </c>
      <c r="BH18" s="73" t="n">
        <f aca="false">IFERROR(BH13*ASSUMPTIONS!$F$22,0)</f>
        <v>0</v>
      </c>
      <c r="BI18" s="73" t="n">
        <f aca="false">IFERROR(BI13*ASSUMPTIONS!$F$22,0)</f>
        <v>0</v>
      </c>
      <c r="BJ18" s="73" t="n">
        <f aca="false">IFERROR(BJ13*ASSUMPTIONS!$F$22,0)</f>
        <v>0</v>
      </c>
      <c r="BK18" s="73" t="n">
        <f aca="false">IFERROR(BK13*ASSUMPTIONS!$F$22,0)</f>
        <v>0</v>
      </c>
      <c r="BL18" s="73" t="n">
        <f aca="false">IFERROR(BL13*ASSUMPTIONS!$F$22,0)</f>
        <v>0</v>
      </c>
      <c r="BM18" s="73" t="n">
        <f aca="false">IFERROR(BM13*ASSUMPTIONS!$F$22,0)</f>
        <v>0</v>
      </c>
      <c r="BN18" s="71" t="n">
        <f aca="false">SUM(BB18:BM18)</f>
        <v>0</v>
      </c>
    </row>
    <row r="19" customFormat="false" ht="18" hidden="false" customHeight="true" outlineLevel="0" collapsed="false">
      <c r="A19" s="75" t="s">
        <v>202</v>
      </c>
      <c r="B19" s="76" t="n">
        <f aca="false">IFERROR(B17+B18,0)</f>
        <v>16275</v>
      </c>
      <c r="C19" s="76" t="n">
        <f aca="false">IFERROR(C17+C18,0)</f>
        <v>15058</v>
      </c>
      <c r="D19" s="76" t="n">
        <f aca="false">IFERROR(D17+D18,0)</f>
        <v>15849</v>
      </c>
      <c r="E19" s="76" t="n">
        <f aca="false">IFERROR(E17+E18,0)</f>
        <v>16875</v>
      </c>
      <c r="F19" s="76" t="n">
        <f aca="false">IFERROR(F17+F18,0)</f>
        <v>18036</v>
      </c>
      <c r="G19" s="76" t="n">
        <f aca="false">IFERROR(G17+G18,0)</f>
        <v>19332</v>
      </c>
      <c r="H19" s="76" t="n">
        <f aca="false">IFERROR(H17+H18,0)</f>
        <v>20763</v>
      </c>
      <c r="I19" s="76" t="n">
        <f aca="false">IFERROR(I17+I18,0)</f>
        <v>22383</v>
      </c>
      <c r="J19" s="76" t="n">
        <f aca="false">IFERROR(J17+J18,0)</f>
        <v>24192</v>
      </c>
      <c r="K19" s="76" t="n">
        <f aca="false">IFERROR(K17+K18,0)</f>
        <v>26190</v>
      </c>
      <c r="L19" s="76" t="n">
        <f aca="false">IFERROR(L17+L18,0)</f>
        <v>28404</v>
      </c>
      <c r="M19" s="76" t="n">
        <f aca="false">IFERROR(M17+M18,0)</f>
        <v>30861</v>
      </c>
      <c r="N19" s="76" t="n">
        <f aca="false">SUM(B19:M19)</f>
        <v>254218</v>
      </c>
      <c r="O19" s="76" t="n">
        <f aca="false">IFERROR(O17+O18,0)</f>
        <v>33588</v>
      </c>
      <c r="P19" s="76" t="n">
        <f aca="false">IFERROR(P17+P18,0)</f>
        <v>36612</v>
      </c>
      <c r="Q19" s="76" t="n">
        <f aca="false">IFERROR(Q17+Q18,0)</f>
        <v>39933</v>
      </c>
      <c r="R19" s="76" t="n">
        <f aca="false">IFERROR(R17+R18,0)</f>
        <v>43605</v>
      </c>
      <c r="S19" s="76" t="n">
        <f aca="false">IFERROR(S17+S18,0)</f>
        <v>47655</v>
      </c>
      <c r="T19" s="76" t="n">
        <f aca="false">IFERROR(T17+T18,0)</f>
        <v>52137</v>
      </c>
      <c r="U19" s="76" t="n">
        <f aca="false">IFERROR(U17+U18,0)</f>
        <v>57051</v>
      </c>
      <c r="V19" s="76" t="n">
        <f aca="false">IFERROR(V17+V18,0)</f>
        <v>62478</v>
      </c>
      <c r="W19" s="76" t="n">
        <f aca="false">IFERROR(W17+W18,0)</f>
        <v>68472</v>
      </c>
      <c r="X19" s="76" t="n">
        <f aca="false">IFERROR(X17+X18,0)</f>
        <v>75087</v>
      </c>
      <c r="Y19" s="76" t="n">
        <f aca="false">IFERROR(Y17+Y18,0)</f>
        <v>82377</v>
      </c>
      <c r="Z19" s="76" t="n">
        <f aca="false">IFERROR(Z17+Z18,0)</f>
        <v>90396</v>
      </c>
      <c r="AA19" s="76" t="n">
        <f aca="false">SUM(O19:Z19)</f>
        <v>689391</v>
      </c>
      <c r="AB19" s="76" t="n">
        <f aca="false">IFERROR(AB17+AB18,0)</f>
        <v>99252</v>
      </c>
      <c r="AC19" s="76" t="n">
        <f aca="false">IFERROR(AC17+AC18,0)</f>
        <v>108999</v>
      </c>
      <c r="AD19" s="76" t="n">
        <f aca="false">IFERROR(AD17+AD18,0)</f>
        <v>119745</v>
      </c>
      <c r="AE19" s="76" t="n">
        <f aca="false">IFERROR(AE17+AE18,0)</f>
        <v>131571</v>
      </c>
      <c r="AF19" s="76" t="n">
        <f aca="false">IFERROR(AF17+AF18,0)</f>
        <v>144585</v>
      </c>
      <c r="AG19" s="76" t="n">
        <f aca="false">IFERROR(AG17+AG18,0)</f>
        <v>158922</v>
      </c>
      <c r="AH19" s="76" t="n">
        <f aca="false">IFERROR(AH17+AH18,0)</f>
        <v>174717</v>
      </c>
      <c r="AI19" s="76" t="n">
        <f aca="false">IFERROR(AI17+AI18,0)</f>
        <v>192078</v>
      </c>
      <c r="AJ19" s="76" t="n">
        <f aca="false">IFERROR(AJ17+AJ18,0)</f>
        <v>211194</v>
      </c>
      <c r="AK19" s="76" t="n">
        <f aca="false">IFERROR(AK17+AK18,0)</f>
        <v>232227</v>
      </c>
      <c r="AL19" s="76" t="n">
        <f aca="false">IFERROR(AL17+AL18,0)</f>
        <v>255366</v>
      </c>
      <c r="AM19" s="76" t="n">
        <f aca="false">IFERROR(AM17+AM18,0)</f>
        <v>280827</v>
      </c>
      <c r="AN19" s="76" t="n">
        <f aca="false">SUM(AB19:AM19)</f>
        <v>2109483</v>
      </c>
      <c r="AO19" s="76" t="n">
        <f aca="false">IFERROR(AO17+AO18,0)</f>
        <v>308853</v>
      </c>
      <c r="AP19" s="76" t="n">
        <f aca="false">IFERROR(AP17+AP18,0)</f>
        <v>339687</v>
      </c>
      <c r="AQ19" s="76" t="n">
        <f aca="false">IFERROR(AQ17+AQ18,0)</f>
        <v>373599</v>
      </c>
      <c r="AR19" s="76" t="n">
        <f aca="false">IFERROR(AR17+AR18,0)</f>
        <v>410913</v>
      </c>
      <c r="AS19" s="76" t="n">
        <f aca="false">IFERROR(AS17+AS18,0)</f>
        <v>451953</v>
      </c>
      <c r="AT19" s="76" t="n">
        <f aca="false">IFERROR(AT17+AT18,0)</f>
        <v>497097</v>
      </c>
      <c r="AU19" s="76" t="n">
        <f aca="false">IFERROR(AU17+AU18,0)</f>
        <v>546750</v>
      </c>
      <c r="AV19" s="76" t="n">
        <f aca="false">IFERROR(AV17+AV18,0)</f>
        <v>601371</v>
      </c>
      <c r="AW19" s="76" t="n">
        <f aca="false">IFERROR(AW17+AW18,0)</f>
        <v>661473</v>
      </c>
      <c r="AX19" s="76" t="n">
        <f aca="false">IFERROR(AX17+AX18,0)</f>
        <v>727596</v>
      </c>
      <c r="AY19" s="76" t="n">
        <f aca="false">IFERROR(AY17+AY18,0)</f>
        <v>800334</v>
      </c>
      <c r="AZ19" s="76" t="n">
        <f aca="false">IFERROR(AZ17+AZ18,0)</f>
        <v>880335</v>
      </c>
      <c r="BA19" s="77" t="n">
        <f aca="false">SUM(AO19:AZ19)</f>
        <v>6599961</v>
      </c>
      <c r="BB19" s="76" t="n">
        <f aca="false">IFERROR(BB17+BB18,0)</f>
        <v>968355</v>
      </c>
      <c r="BC19" s="76" t="n">
        <f aca="false">IFERROR(BC17+BC18,0)</f>
        <v>1065177</v>
      </c>
      <c r="BD19" s="76" t="n">
        <f aca="false">IFERROR(BD17+BD18,0)</f>
        <v>1171665</v>
      </c>
      <c r="BE19" s="76" t="n">
        <f aca="false">IFERROR(BE17+BE18,0)</f>
        <v>1288818</v>
      </c>
      <c r="BF19" s="76" t="n">
        <f aca="false">IFERROR(BF17+BF18,0)</f>
        <v>1417689</v>
      </c>
      <c r="BG19" s="76" t="n">
        <f aca="false">IFERROR(BG17+BG18,0)</f>
        <v>1559466</v>
      </c>
      <c r="BH19" s="76" t="n">
        <f aca="false">IFERROR(BH17+BH18,0)</f>
        <v>1715418</v>
      </c>
      <c r="BI19" s="76" t="n">
        <f aca="false">IFERROR(BI17+BI18,0)</f>
        <v>1886949</v>
      </c>
      <c r="BJ19" s="76" t="n">
        <f aca="false">IFERROR(BJ17+BJ18,0)</f>
        <v>2075652</v>
      </c>
      <c r="BK19" s="76" t="n">
        <f aca="false">IFERROR(BK17+BK18,0)</f>
        <v>2283201</v>
      </c>
      <c r="BL19" s="76" t="n">
        <f aca="false">IFERROR(BL17+BL18,0)</f>
        <v>2511513</v>
      </c>
      <c r="BM19" s="76" t="n">
        <f aca="false">IFERROR(BM17+BM18,0)</f>
        <v>2762640</v>
      </c>
      <c r="BN19" s="77" t="n">
        <f aca="false">SUM(BB19:BM19)</f>
        <v>20706543</v>
      </c>
    </row>
    <row r="20" customFormat="false" ht="6" hidden="false" customHeight="true" outlineLevel="0" collapsed="false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  <c r="AW20" s="78"/>
      <c r="AX20" s="78"/>
      <c r="AY20" s="78"/>
      <c r="AZ20" s="78"/>
      <c r="BA20" s="79"/>
      <c r="BB20" s="78"/>
      <c r="BC20" s="78"/>
      <c r="BD20" s="78"/>
      <c r="BE20" s="78"/>
      <c r="BF20" s="78"/>
      <c r="BG20" s="78"/>
      <c r="BH20" s="78"/>
      <c r="BI20" s="78"/>
      <c r="BJ20" s="78"/>
      <c r="BK20" s="78"/>
      <c r="BL20" s="78"/>
      <c r="BM20" s="78"/>
      <c r="BN20" s="79"/>
    </row>
    <row r="21" customFormat="false" ht="19.5" hidden="false" customHeight="true" outlineLevel="0" collapsed="false">
      <c r="A21" s="80" t="s">
        <v>203</v>
      </c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0"/>
      <c r="BF21" s="80"/>
      <c r="BG21" s="80"/>
      <c r="BH21" s="80"/>
      <c r="BI21" s="80"/>
      <c r="BJ21" s="80"/>
      <c r="BK21" s="80"/>
      <c r="BL21" s="80"/>
      <c r="BM21" s="80"/>
      <c r="BN21" s="80"/>
    </row>
    <row r="22" customFormat="false" ht="18" hidden="false" customHeight="true" outlineLevel="0" collapsed="false">
      <c r="A22" s="74" t="s">
        <v>204</v>
      </c>
      <c r="B22" s="73" t="n">
        <f aca="false">IFERROR(ASSUMPTIONS!$B$26,0)</f>
        <v>5</v>
      </c>
      <c r="C22" s="73" t="n">
        <f aca="false">IFERROR(ROUND(B22*(1+ASSUMPTIONS!$B$27),0),0)</f>
        <v>6</v>
      </c>
      <c r="D22" s="73" t="n">
        <f aca="false">IFERROR(ROUND(C22*(1+ASSUMPTIONS!$B$27),0),0)</f>
        <v>7</v>
      </c>
      <c r="E22" s="73" t="n">
        <f aca="false">IFERROR(ROUND(D22*(1+ASSUMPTIONS!$B$27),0),0)</f>
        <v>8</v>
      </c>
      <c r="F22" s="73" t="n">
        <f aca="false">IFERROR(ROUND(E22*(1+ASSUMPTIONS!$B$27),0),0)</f>
        <v>9</v>
      </c>
      <c r="G22" s="73" t="n">
        <f aca="false">IFERROR(ROUND(F22*(1+ASSUMPTIONS!$B$27),0),0)</f>
        <v>10</v>
      </c>
      <c r="H22" s="73" t="n">
        <f aca="false">IFERROR(ROUND(G22*(1+ASSUMPTIONS!$B$27),0),0)</f>
        <v>12</v>
      </c>
      <c r="I22" s="73" t="n">
        <f aca="false">IFERROR(ROUND(H22*(1+ASSUMPTIONS!$B$27),0),0)</f>
        <v>14</v>
      </c>
      <c r="J22" s="73" t="n">
        <f aca="false">IFERROR(ROUND(I22*(1+ASSUMPTIONS!$B$27),0),0)</f>
        <v>16</v>
      </c>
      <c r="K22" s="73" t="n">
        <f aca="false">IFERROR(ROUND(J22*(1+ASSUMPTIONS!$B$27),0),0)</f>
        <v>18</v>
      </c>
      <c r="L22" s="73" t="n">
        <f aca="false">IFERROR(ROUND(K22*(1+ASSUMPTIONS!$B$27),0),0)</f>
        <v>21</v>
      </c>
      <c r="M22" s="73" t="n">
        <f aca="false">IFERROR(ROUND(L22*(1+ASSUMPTIONS!$B$27),0),0)</f>
        <v>24</v>
      </c>
      <c r="N22" s="70" t="n">
        <f aca="false">SUM(B22:M22)</f>
        <v>150</v>
      </c>
      <c r="O22" s="73" t="n">
        <f aca="false">IFERROR(ROUND(M22*(1+ASSUMPTIONS!$C$27),0),0)</f>
        <v>28</v>
      </c>
      <c r="P22" s="73" t="n">
        <f aca="false">IFERROR(ROUND(O22*(1+ASSUMPTIONS!$C$27),0),0)</f>
        <v>32</v>
      </c>
      <c r="Q22" s="73" t="n">
        <f aca="false">IFERROR(ROUND(P22*(1+ASSUMPTIONS!$C$27),0),0)</f>
        <v>37</v>
      </c>
      <c r="R22" s="73" t="n">
        <f aca="false">IFERROR(ROUND(Q22*(1+ASSUMPTIONS!$C$27),0),0)</f>
        <v>43</v>
      </c>
      <c r="S22" s="73" t="n">
        <f aca="false">IFERROR(ROUND(R22*(1+ASSUMPTIONS!$C$27),0),0)</f>
        <v>49</v>
      </c>
      <c r="T22" s="73" t="n">
        <f aca="false">IFERROR(ROUND(S22*(1+ASSUMPTIONS!$C$27),0),0)</f>
        <v>56</v>
      </c>
      <c r="U22" s="73" t="n">
        <f aca="false">IFERROR(ROUND(T22*(1+ASSUMPTIONS!$C$27),0),0)</f>
        <v>64</v>
      </c>
      <c r="V22" s="73" t="n">
        <f aca="false">IFERROR(ROUND(U22*(1+ASSUMPTIONS!$C$27),0),0)</f>
        <v>74</v>
      </c>
      <c r="W22" s="73" t="n">
        <f aca="false">IFERROR(ROUND(V22*(1+ASSUMPTIONS!$C$27),0),0)</f>
        <v>85</v>
      </c>
      <c r="X22" s="73" t="n">
        <f aca="false">IFERROR(ROUND(W22*(1+ASSUMPTIONS!$C$27),0),0)</f>
        <v>98</v>
      </c>
      <c r="Y22" s="73" t="n">
        <f aca="false">IFERROR(ROUND(X22*(1+ASSUMPTIONS!$C$27),0),0)</f>
        <v>113</v>
      </c>
      <c r="Z22" s="73" t="n">
        <f aca="false">IFERROR(ROUND(Y22*(1+ASSUMPTIONS!$C$27),0),0)</f>
        <v>130</v>
      </c>
      <c r="AA22" s="70" t="n">
        <f aca="false">SUM(O22:Z22)</f>
        <v>809</v>
      </c>
      <c r="AB22" s="73" t="n">
        <f aca="false">IFERROR(ROUND(Z22*(1+ASSUMPTIONS!$D$27),0),0)</f>
        <v>150</v>
      </c>
      <c r="AC22" s="73" t="n">
        <f aca="false">IFERROR(ROUND(AB22*(1+ASSUMPTIONS!$D$27),0),0)</f>
        <v>173</v>
      </c>
      <c r="AD22" s="73" t="n">
        <f aca="false">IFERROR(ROUND(AC22*(1+ASSUMPTIONS!$D$27),0),0)</f>
        <v>199</v>
      </c>
      <c r="AE22" s="73" t="n">
        <f aca="false">IFERROR(ROUND(AD22*(1+ASSUMPTIONS!$D$27),0),0)</f>
        <v>229</v>
      </c>
      <c r="AF22" s="73" t="n">
        <f aca="false">IFERROR(ROUND(AE22*(1+ASSUMPTIONS!$D$27),0),0)</f>
        <v>263</v>
      </c>
      <c r="AG22" s="73" t="n">
        <f aca="false">IFERROR(ROUND(AF22*(1+ASSUMPTIONS!$D$27),0),0)</f>
        <v>302</v>
      </c>
      <c r="AH22" s="73" t="n">
        <f aca="false">IFERROR(ROUND(AG22*(1+ASSUMPTIONS!$D$27),0),0)</f>
        <v>347</v>
      </c>
      <c r="AI22" s="73" t="n">
        <f aca="false">IFERROR(ROUND(AH22*(1+ASSUMPTIONS!$D$27),0),0)</f>
        <v>399</v>
      </c>
      <c r="AJ22" s="73" t="n">
        <f aca="false">IFERROR(ROUND(AI22*(1+ASSUMPTIONS!$D$27),0),0)</f>
        <v>459</v>
      </c>
      <c r="AK22" s="73" t="n">
        <f aca="false">IFERROR(ROUND(AJ22*(1+ASSUMPTIONS!$D$27),0),0)</f>
        <v>528</v>
      </c>
      <c r="AL22" s="73" t="n">
        <f aca="false">IFERROR(ROUND(AK22*(1+ASSUMPTIONS!$D$27),0),0)</f>
        <v>607</v>
      </c>
      <c r="AM22" s="73" t="n">
        <f aca="false">IFERROR(ROUND(AL22*(1+ASSUMPTIONS!$D$27),0),0)</f>
        <v>698</v>
      </c>
      <c r="AN22" s="70" t="n">
        <f aca="false">SUM(AB22:AM22)</f>
        <v>4354</v>
      </c>
      <c r="AO22" s="73" t="n">
        <f aca="false">IFERROR(ROUND(AM22*(1+ASSUMPTIONS!$E$27),0),0)</f>
        <v>803</v>
      </c>
      <c r="AP22" s="73" t="n">
        <f aca="false">IFERROR(ROUND(AO22*(1+ASSUMPTIONS!$E$27),0),0)</f>
        <v>923</v>
      </c>
      <c r="AQ22" s="73" t="n">
        <f aca="false">IFERROR(ROUND(AP22*(1+ASSUMPTIONS!$E$27),0),0)</f>
        <v>1061</v>
      </c>
      <c r="AR22" s="73" t="n">
        <f aca="false">IFERROR(ROUND(AQ22*(1+ASSUMPTIONS!$E$27),0),0)</f>
        <v>1220</v>
      </c>
      <c r="AS22" s="73" t="n">
        <f aca="false">IFERROR(ROUND(AR22*(1+ASSUMPTIONS!$E$27),0),0)</f>
        <v>1403</v>
      </c>
      <c r="AT22" s="73" t="n">
        <f aca="false">IFERROR(ROUND(AS22*(1+ASSUMPTIONS!$E$27),0),0)</f>
        <v>1613</v>
      </c>
      <c r="AU22" s="73" t="n">
        <f aca="false">IFERROR(ROUND(AT22*(1+ASSUMPTIONS!$E$27),0),0)</f>
        <v>1855</v>
      </c>
      <c r="AV22" s="73" t="n">
        <f aca="false">IFERROR(ROUND(AU22*(1+ASSUMPTIONS!$E$27),0),0)</f>
        <v>2133</v>
      </c>
      <c r="AW22" s="73" t="n">
        <f aca="false">IFERROR(ROUND(AV22*(1+ASSUMPTIONS!$E$27),0),0)</f>
        <v>2453</v>
      </c>
      <c r="AX22" s="73" t="n">
        <f aca="false">IFERROR(ROUND(AW22*(1+ASSUMPTIONS!$E$27),0),0)</f>
        <v>2821</v>
      </c>
      <c r="AY22" s="73" t="n">
        <f aca="false">IFERROR(ROUND(AX22*(1+ASSUMPTIONS!$E$27),0),0)</f>
        <v>3244</v>
      </c>
      <c r="AZ22" s="73" t="n">
        <f aca="false">IFERROR(ROUND(AY22*(1+ASSUMPTIONS!$E$27),0),0)</f>
        <v>3731</v>
      </c>
      <c r="BA22" s="71" t="n">
        <f aca="false">SUM(AO22:AZ22)</f>
        <v>23260</v>
      </c>
      <c r="BB22" s="73" t="n">
        <f aca="false">IFERROR(ROUND(AZ22*(1+ASSUMPTIONS!$F$27),0),0)</f>
        <v>4291</v>
      </c>
      <c r="BC22" s="73" t="n">
        <f aca="false">IFERROR(ROUND(BB22*(1+ASSUMPTIONS!$F$27),0),0)</f>
        <v>4935</v>
      </c>
      <c r="BD22" s="73" t="n">
        <f aca="false">IFERROR(ROUND(BC22*(1+ASSUMPTIONS!$F$27),0),0)</f>
        <v>5675</v>
      </c>
      <c r="BE22" s="73" t="n">
        <f aca="false">IFERROR(ROUND(BD22*(1+ASSUMPTIONS!$F$27),0),0)</f>
        <v>6526</v>
      </c>
      <c r="BF22" s="73" t="n">
        <f aca="false">IFERROR(ROUND(BE22*(1+ASSUMPTIONS!$F$27),0),0)</f>
        <v>7505</v>
      </c>
      <c r="BG22" s="73" t="n">
        <f aca="false">IFERROR(ROUND(BF22*(1+ASSUMPTIONS!$F$27),0),0)</f>
        <v>8631</v>
      </c>
      <c r="BH22" s="73" t="n">
        <f aca="false">IFERROR(ROUND(BG22*(1+ASSUMPTIONS!$F$27),0),0)</f>
        <v>9926</v>
      </c>
      <c r="BI22" s="73" t="n">
        <f aca="false">IFERROR(ROUND(BH22*(1+ASSUMPTIONS!$F$27),0),0)</f>
        <v>11415</v>
      </c>
      <c r="BJ22" s="73" t="n">
        <f aca="false">IFERROR(ROUND(BI22*(1+ASSUMPTIONS!$F$27),0),0)</f>
        <v>13127</v>
      </c>
      <c r="BK22" s="73" t="n">
        <f aca="false">IFERROR(ROUND(BJ22*(1+ASSUMPTIONS!$F$27),0),0)</f>
        <v>15096</v>
      </c>
      <c r="BL22" s="73" t="n">
        <f aca="false">IFERROR(ROUND(BK22*(1+ASSUMPTIONS!$F$27),0),0)</f>
        <v>17360</v>
      </c>
      <c r="BM22" s="73" t="n">
        <f aca="false">IFERROR(ROUND(BL22*(1+ASSUMPTIONS!$F$27),0),0)</f>
        <v>19964</v>
      </c>
      <c r="BN22" s="71" t="n">
        <f aca="false">SUM(BB22:BM22)</f>
        <v>124451</v>
      </c>
    </row>
    <row r="23" customFormat="false" ht="18" hidden="false" customHeight="true" outlineLevel="0" collapsed="false">
      <c r="A23" s="72" t="s">
        <v>205</v>
      </c>
      <c r="B23" s="81" t="n">
        <f aca="false">IFERROR(ROUND(ASSUMPTIONS!$B$25*ASSUMPTIONS!$B$28,0),0)</f>
        <v>0</v>
      </c>
      <c r="C23" s="81" t="n">
        <f aca="false">IFERROR(ROUND(B24*ASSUMPTIONS!$B$28,0),0)</f>
        <v>1</v>
      </c>
      <c r="D23" s="81" t="n">
        <f aca="false">IFERROR(ROUND(C24*ASSUMPTIONS!$B$28,0),0)</f>
        <v>1</v>
      </c>
      <c r="E23" s="81" t="n">
        <f aca="false">IFERROR(ROUND(D24*ASSUMPTIONS!$B$28,0),0)</f>
        <v>1</v>
      </c>
      <c r="F23" s="81" t="n">
        <f aca="false">IFERROR(ROUND(E24*ASSUMPTIONS!$B$28,0),0)</f>
        <v>1</v>
      </c>
      <c r="G23" s="81" t="n">
        <f aca="false">IFERROR(ROUND(F24*ASSUMPTIONS!$B$28,0),0)</f>
        <v>1</v>
      </c>
      <c r="H23" s="81" t="n">
        <f aca="false">IFERROR(ROUND(G24*ASSUMPTIONS!$B$28,0),0)</f>
        <v>1</v>
      </c>
      <c r="I23" s="81" t="n">
        <f aca="false">IFERROR(ROUND(H24*ASSUMPTIONS!$B$28,0),0)</f>
        <v>1</v>
      </c>
      <c r="J23" s="81" t="n">
        <f aca="false">IFERROR(ROUND(I24*ASSUMPTIONS!$B$28,0),0)</f>
        <v>2</v>
      </c>
      <c r="K23" s="81" t="n">
        <f aca="false">IFERROR(ROUND(J24*ASSUMPTIONS!$B$28,0),0)</f>
        <v>2</v>
      </c>
      <c r="L23" s="81" t="n">
        <f aca="false">IFERROR(ROUND(K24*ASSUMPTIONS!$B$28,0),0)</f>
        <v>2</v>
      </c>
      <c r="M23" s="81" t="n">
        <f aca="false">IFERROR(ROUND(L24*ASSUMPTIONS!$B$28,0),0)</f>
        <v>3</v>
      </c>
      <c r="N23" s="82" t="n">
        <f aca="false">SUM(B23:M23)</f>
        <v>16</v>
      </c>
      <c r="O23" s="81" t="n">
        <f aca="false">IFERROR(ROUND(M24*ASSUMPTIONS!$C$28,0),0)</f>
        <v>3</v>
      </c>
      <c r="P23" s="81" t="n">
        <f aca="false">IFERROR(ROUND(O24*ASSUMPTIONS!$C$28,0),0)</f>
        <v>4</v>
      </c>
      <c r="Q23" s="81" t="n">
        <f aca="false">IFERROR(ROUND(P24*ASSUMPTIONS!$C$28,0),0)</f>
        <v>4</v>
      </c>
      <c r="R23" s="81" t="n">
        <f aca="false">IFERROR(ROUND(Q24*ASSUMPTIONS!$C$28,0),0)</f>
        <v>5</v>
      </c>
      <c r="S23" s="81" t="n">
        <f aca="false">IFERROR(ROUND(R24*ASSUMPTIONS!$C$28,0),0)</f>
        <v>6</v>
      </c>
      <c r="T23" s="81" t="n">
        <f aca="false">IFERROR(ROUND(S24*ASSUMPTIONS!$C$28,0),0)</f>
        <v>6</v>
      </c>
      <c r="U23" s="81" t="n">
        <f aca="false">IFERROR(ROUND(T24*ASSUMPTIONS!$C$28,0),0)</f>
        <v>7</v>
      </c>
      <c r="V23" s="81" t="n">
        <f aca="false">IFERROR(ROUND(U24*ASSUMPTIONS!$C$28,0),0)</f>
        <v>9</v>
      </c>
      <c r="W23" s="81" t="n">
        <f aca="false">IFERROR(ROUND(V24*ASSUMPTIONS!$C$28,0),0)</f>
        <v>10</v>
      </c>
      <c r="X23" s="81" t="n">
        <f aca="false">IFERROR(ROUND(W24*ASSUMPTIONS!$C$28,0),0)</f>
        <v>11</v>
      </c>
      <c r="Y23" s="81" t="n">
        <f aca="false">IFERROR(ROUND(X24*ASSUMPTIONS!$C$28,0),0)</f>
        <v>13</v>
      </c>
      <c r="Z23" s="81" t="n">
        <f aca="false">IFERROR(ROUND(Y24*ASSUMPTIONS!$C$28,0),0)</f>
        <v>15</v>
      </c>
      <c r="AA23" s="82" t="n">
        <f aca="false">SUM(O23:Z23)</f>
        <v>93</v>
      </c>
      <c r="AB23" s="81" t="n">
        <f aca="false">IFERROR(ROUND(Z24*ASSUMPTIONS!$D$28,0),0)</f>
        <v>17</v>
      </c>
      <c r="AC23" s="81" t="n">
        <f aca="false">IFERROR(ROUND(AB24*ASSUMPTIONS!$D$28,0),0)</f>
        <v>20</v>
      </c>
      <c r="AD23" s="81" t="n">
        <f aca="false">IFERROR(ROUND(AC24*ASSUMPTIONS!$D$28,0),0)</f>
        <v>23</v>
      </c>
      <c r="AE23" s="81" t="n">
        <f aca="false">IFERROR(ROUND(AD24*ASSUMPTIONS!$D$28,0),0)</f>
        <v>27</v>
      </c>
      <c r="AF23" s="81" t="n">
        <f aca="false">IFERROR(ROUND(AE24*ASSUMPTIONS!$D$28,0),0)</f>
        <v>31</v>
      </c>
      <c r="AG23" s="81" t="n">
        <f aca="false">IFERROR(ROUND(AF24*ASSUMPTIONS!$D$28,0),0)</f>
        <v>35</v>
      </c>
      <c r="AH23" s="81" t="n">
        <f aca="false">IFERROR(ROUND(AG24*ASSUMPTIONS!$D$28,0),0)</f>
        <v>41</v>
      </c>
      <c r="AI23" s="81" t="n">
        <f aca="false">IFERROR(ROUND(AH24*ASSUMPTIONS!$D$28,0),0)</f>
        <v>47</v>
      </c>
      <c r="AJ23" s="81" t="n">
        <f aca="false">IFERROR(ROUND(AI24*ASSUMPTIONS!$D$28,0),0)</f>
        <v>54</v>
      </c>
      <c r="AK23" s="81" t="n">
        <f aca="false">IFERROR(ROUND(AJ24*ASSUMPTIONS!$D$28,0),0)</f>
        <v>62</v>
      </c>
      <c r="AL23" s="81" t="n">
        <f aca="false">IFERROR(ROUND(AK24*ASSUMPTIONS!$D$28,0),0)</f>
        <v>71</v>
      </c>
      <c r="AM23" s="81" t="n">
        <f aca="false">IFERROR(ROUND(AL24*ASSUMPTIONS!$D$28,0),0)</f>
        <v>82</v>
      </c>
      <c r="AN23" s="82" t="n">
        <f aca="false">SUM(AB23:AM23)</f>
        <v>510</v>
      </c>
      <c r="AO23" s="81" t="n">
        <f aca="false">IFERROR(ROUND(AM24*ASSUMPTIONS!$E$28,0),0)</f>
        <v>94</v>
      </c>
      <c r="AP23" s="81" t="n">
        <f aca="false">IFERROR(ROUND(AO24*ASSUMPTIONS!$E$28,0),0)</f>
        <v>108</v>
      </c>
      <c r="AQ23" s="81" t="n">
        <f aca="false">IFERROR(ROUND(AP24*ASSUMPTIONS!$E$28,0),0)</f>
        <v>125</v>
      </c>
      <c r="AR23" s="81" t="n">
        <f aca="false">IFERROR(ROUND(AQ24*ASSUMPTIONS!$E$28,0),0)</f>
        <v>143</v>
      </c>
      <c r="AS23" s="81" t="n">
        <f aca="false">IFERROR(ROUND(AR24*ASSUMPTIONS!$E$28,0),0)</f>
        <v>165</v>
      </c>
      <c r="AT23" s="81" t="n">
        <f aca="false">IFERROR(ROUND(AS24*ASSUMPTIONS!$E$28,0),0)</f>
        <v>190</v>
      </c>
      <c r="AU23" s="81" t="n">
        <f aca="false">IFERROR(ROUND(AT24*ASSUMPTIONS!$E$28,0),0)</f>
        <v>218</v>
      </c>
      <c r="AV23" s="81" t="n">
        <f aca="false">IFERROR(ROUND(AU24*ASSUMPTIONS!$E$28,0),0)</f>
        <v>251</v>
      </c>
      <c r="AW23" s="81" t="n">
        <f aca="false">IFERROR(ROUND(AV24*ASSUMPTIONS!$E$28,0),0)</f>
        <v>289</v>
      </c>
      <c r="AX23" s="81" t="n">
        <f aca="false">IFERROR(ROUND(AW24*ASSUMPTIONS!$E$28,0),0)</f>
        <v>332</v>
      </c>
      <c r="AY23" s="81" t="n">
        <f aca="false">IFERROR(ROUND(AX24*ASSUMPTIONS!$E$28,0),0)</f>
        <v>382</v>
      </c>
      <c r="AZ23" s="81" t="n">
        <f aca="false">IFERROR(ROUND(AY24*ASSUMPTIONS!$E$28,0),0)</f>
        <v>439</v>
      </c>
      <c r="BA23" s="71" t="n">
        <f aca="false">SUM(AO23:AZ23)</f>
        <v>2736</v>
      </c>
      <c r="BB23" s="81" t="n">
        <f aca="false">IFERROR(ROUND(AZ24*ASSUMPTIONS!$F$28,0),0)</f>
        <v>505</v>
      </c>
      <c r="BC23" s="81" t="n">
        <f aca="false">IFERROR(ROUND(BB24*ASSUMPTIONS!$F$28,0),0)</f>
        <v>580</v>
      </c>
      <c r="BD23" s="81" t="n">
        <f aca="false">IFERROR(ROUND(BC24*ASSUMPTIONS!$F$28,0),0)</f>
        <v>668</v>
      </c>
      <c r="BE23" s="81" t="n">
        <f aca="false">IFERROR(ROUND(BD24*ASSUMPTIONS!$F$28,0),0)</f>
        <v>768</v>
      </c>
      <c r="BF23" s="81" t="n">
        <f aca="false">IFERROR(ROUND(BE24*ASSUMPTIONS!$F$28,0),0)</f>
        <v>883</v>
      </c>
      <c r="BG23" s="81" t="n">
        <f aca="false">IFERROR(ROUND(BF24*ASSUMPTIONS!$F$28,0),0)</f>
        <v>1015</v>
      </c>
      <c r="BH23" s="81" t="n">
        <f aca="false">IFERROR(ROUND(BG24*ASSUMPTIONS!$F$28,0),0)</f>
        <v>1168</v>
      </c>
      <c r="BI23" s="81" t="n">
        <f aca="false">IFERROR(ROUND(BH24*ASSUMPTIONS!$F$28,0),0)</f>
        <v>1343</v>
      </c>
      <c r="BJ23" s="81" t="n">
        <f aca="false">IFERROR(ROUND(BI24*ASSUMPTIONS!$F$28,0),0)</f>
        <v>1544</v>
      </c>
      <c r="BK23" s="81" t="n">
        <f aca="false">IFERROR(ROUND(BJ24*ASSUMPTIONS!$F$28,0),0)</f>
        <v>1776</v>
      </c>
      <c r="BL23" s="81" t="n">
        <f aca="false">IFERROR(ROUND(BK24*ASSUMPTIONS!$F$28,0),0)</f>
        <v>2042</v>
      </c>
      <c r="BM23" s="81" t="n">
        <f aca="false">IFERROR(ROUND(BL24*ASSUMPTIONS!$F$28,0),0)</f>
        <v>2349</v>
      </c>
      <c r="BN23" s="71" t="n">
        <f aca="false">SUM(BB23:BM23)</f>
        <v>14641</v>
      </c>
    </row>
    <row r="24" customFormat="false" ht="18" hidden="false" customHeight="true" outlineLevel="0" collapsed="false">
      <c r="A24" s="68" t="s">
        <v>206</v>
      </c>
      <c r="B24" s="83" t="n">
        <f aca="false">IFERROR(MAX(0,ASSUMPTIONS!$B$25+B22-B23),0)</f>
        <v>25</v>
      </c>
      <c r="C24" s="83" t="n">
        <f aca="false">IFERROR(MAX(0,B24+C22-C23),0)</f>
        <v>30</v>
      </c>
      <c r="D24" s="83" t="n">
        <f aca="false">IFERROR(MAX(0,C24+D22-D23),0)</f>
        <v>36</v>
      </c>
      <c r="E24" s="83" t="n">
        <f aca="false">IFERROR(MAX(0,D24+E22-E23),0)</f>
        <v>43</v>
      </c>
      <c r="F24" s="83" t="n">
        <f aca="false">IFERROR(MAX(0,E24+F22-F23),0)</f>
        <v>51</v>
      </c>
      <c r="G24" s="83" t="n">
        <f aca="false">IFERROR(MAX(0,F24+G22-G23),0)</f>
        <v>60</v>
      </c>
      <c r="H24" s="83" t="n">
        <f aca="false">IFERROR(MAX(0,G24+H22-H23),0)</f>
        <v>71</v>
      </c>
      <c r="I24" s="83" t="n">
        <f aca="false">IFERROR(MAX(0,H24+I22-I23),0)</f>
        <v>84</v>
      </c>
      <c r="J24" s="83" t="n">
        <f aca="false">IFERROR(MAX(0,I24+J22-J23),0)</f>
        <v>98</v>
      </c>
      <c r="K24" s="83" t="n">
        <f aca="false">IFERROR(MAX(0,J24+K22-K23),0)</f>
        <v>114</v>
      </c>
      <c r="L24" s="83" t="n">
        <f aca="false">IFERROR(MAX(0,K24+L22-L23),0)</f>
        <v>133</v>
      </c>
      <c r="M24" s="83" t="n">
        <f aca="false">IFERROR(MAX(0,L24+M22-M23),0)</f>
        <v>154</v>
      </c>
      <c r="N24" s="84" t="n">
        <f aca="false">M24</f>
        <v>154</v>
      </c>
      <c r="O24" s="83" t="n">
        <f aca="false">IFERROR(MAX(0,M24+O22-O23),0)</f>
        <v>179</v>
      </c>
      <c r="P24" s="83" t="n">
        <f aca="false">IFERROR(MAX(0,O24+P22-P23),0)</f>
        <v>207</v>
      </c>
      <c r="Q24" s="83" t="n">
        <f aca="false">IFERROR(MAX(0,P24+Q22-Q23),0)</f>
        <v>240</v>
      </c>
      <c r="R24" s="83" t="n">
        <f aca="false">IFERROR(MAX(0,Q24+R22-R23),0)</f>
        <v>278</v>
      </c>
      <c r="S24" s="83" t="n">
        <f aca="false">IFERROR(MAX(0,R24+S22-S23),0)</f>
        <v>321</v>
      </c>
      <c r="T24" s="83" t="n">
        <f aca="false">IFERROR(MAX(0,S24+T22-T23),0)</f>
        <v>371</v>
      </c>
      <c r="U24" s="83" t="n">
        <f aca="false">IFERROR(MAX(0,T24+U22-U23),0)</f>
        <v>428</v>
      </c>
      <c r="V24" s="83" t="n">
        <f aca="false">IFERROR(MAX(0,U24+V22-V23),0)</f>
        <v>493</v>
      </c>
      <c r="W24" s="83" t="n">
        <f aca="false">IFERROR(MAX(0,V24+W22-W23),0)</f>
        <v>568</v>
      </c>
      <c r="X24" s="83" t="n">
        <f aca="false">IFERROR(MAX(0,W24+X22-X23),0)</f>
        <v>655</v>
      </c>
      <c r="Y24" s="83" t="n">
        <f aca="false">IFERROR(MAX(0,X24+Y22-Y23),0)</f>
        <v>755</v>
      </c>
      <c r="Z24" s="83" t="n">
        <f aca="false">IFERROR(MAX(0,Y24+Z22-Z23),0)</f>
        <v>870</v>
      </c>
      <c r="AA24" s="84" t="n">
        <f aca="false">Z24</f>
        <v>870</v>
      </c>
      <c r="AB24" s="83" t="n">
        <f aca="false">IFERROR(MAX(0,Z24+AB22-AB23),0)</f>
        <v>1003</v>
      </c>
      <c r="AC24" s="83" t="n">
        <f aca="false">IFERROR(MAX(0,AB24+AC22-AC23),0)</f>
        <v>1156</v>
      </c>
      <c r="AD24" s="83" t="n">
        <f aca="false">IFERROR(MAX(0,AC24+AD22-AD23),0)</f>
        <v>1332</v>
      </c>
      <c r="AE24" s="83" t="n">
        <f aca="false">IFERROR(MAX(0,AD24+AE22-AE23),0)</f>
        <v>1534</v>
      </c>
      <c r="AF24" s="83" t="n">
        <f aca="false">IFERROR(MAX(0,AE24+AF22-AF23),0)</f>
        <v>1766</v>
      </c>
      <c r="AG24" s="83" t="n">
        <f aca="false">IFERROR(MAX(0,AF24+AG22-AG23),0)</f>
        <v>2033</v>
      </c>
      <c r="AH24" s="83" t="n">
        <f aca="false">IFERROR(MAX(0,AG24+AH22-AH23),0)</f>
        <v>2339</v>
      </c>
      <c r="AI24" s="83" t="n">
        <f aca="false">IFERROR(MAX(0,AH24+AI22-AI23),0)</f>
        <v>2691</v>
      </c>
      <c r="AJ24" s="83" t="n">
        <f aca="false">IFERROR(MAX(0,AI24+AJ22-AJ23),0)</f>
        <v>3096</v>
      </c>
      <c r="AK24" s="83" t="n">
        <f aca="false">IFERROR(MAX(0,AJ24+AK22-AK23),0)</f>
        <v>3562</v>
      </c>
      <c r="AL24" s="83" t="n">
        <f aca="false">IFERROR(MAX(0,AK24+AL22-AL23),0)</f>
        <v>4098</v>
      </c>
      <c r="AM24" s="83" t="n">
        <f aca="false">IFERROR(MAX(0,AL24+AM22-AM23),0)</f>
        <v>4714</v>
      </c>
      <c r="AN24" s="84" t="n">
        <f aca="false">AM24</f>
        <v>4714</v>
      </c>
      <c r="AO24" s="83" t="n">
        <f aca="false">IFERROR(MAX(0,AM24+AO22-AO23),0)</f>
        <v>5423</v>
      </c>
      <c r="AP24" s="83" t="n">
        <f aca="false">IFERROR(MAX(0,AO24+AP22-AP23),0)</f>
        <v>6238</v>
      </c>
      <c r="AQ24" s="83" t="n">
        <f aca="false">IFERROR(MAX(0,AP24+AQ22-AQ23),0)</f>
        <v>7174</v>
      </c>
      <c r="AR24" s="83" t="n">
        <f aca="false">IFERROR(MAX(0,AQ24+AR22-AR23),0)</f>
        <v>8251</v>
      </c>
      <c r="AS24" s="83" t="n">
        <f aca="false">IFERROR(MAX(0,AR24+AS22-AS23),0)</f>
        <v>9489</v>
      </c>
      <c r="AT24" s="83" t="n">
        <f aca="false">IFERROR(MAX(0,AS24+AT22-AT23),0)</f>
        <v>10912</v>
      </c>
      <c r="AU24" s="83" t="n">
        <f aca="false">IFERROR(MAX(0,AT24+AU22-AU23),0)</f>
        <v>12549</v>
      </c>
      <c r="AV24" s="83" t="n">
        <f aca="false">IFERROR(MAX(0,AU24+AV22-AV23),0)</f>
        <v>14431</v>
      </c>
      <c r="AW24" s="83" t="n">
        <f aca="false">IFERROR(MAX(0,AV24+AW22-AW23),0)</f>
        <v>16595</v>
      </c>
      <c r="AX24" s="83" t="n">
        <f aca="false">IFERROR(MAX(0,AW24+AX22-AX23),0)</f>
        <v>19084</v>
      </c>
      <c r="AY24" s="83" t="n">
        <f aca="false">IFERROR(MAX(0,AX24+AY22-AY23),0)</f>
        <v>21946</v>
      </c>
      <c r="AZ24" s="83" t="n">
        <f aca="false">IFERROR(MAX(0,AY24+AZ22-AZ23),0)</f>
        <v>25238</v>
      </c>
      <c r="BA24" s="71" t="n">
        <f aca="false">AZ24</f>
        <v>25238</v>
      </c>
      <c r="BB24" s="83" t="n">
        <f aca="false">IFERROR(MAX(0,AZ24+BB22-BB23),0)</f>
        <v>29024</v>
      </c>
      <c r="BC24" s="83" t="n">
        <f aca="false">IFERROR(MAX(0,BB24+BC22-BC23),0)</f>
        <v>33379</v>
      </c>
      <c r="BD24" s="83" t="n">
        <f aca="false">IFERROR(MAX(0,BC24+BD22-BD23),0)</f>
        <v>38386</v>
      </c>
      <c r="BE24" s="83" t="n">
        <f aca="false">IFERROR(MAX(0,BD24+BE22-BE23),0)</f>
        <v>44144</v>
      </c>
      <c r="BF24" s="83" t="n">
        <f aca="false">IFERROR(MAX(0,BE24+BF22-BF23),0)</f>
        <v>50766</v>
      </c>
      <c r="BG24" s="83" t="n">
        <f aca="false">IFERROR(MAX(0,BF24+BG22-BG23),0)</f>
        <v>58382</v>
      </c>
      <c r="BH24" s="83" t="n">
        <f aca="false">IFERROR(MAX(0,BG24+BH22-BH23),0)</f>
        <v>67140</v>
      </c>
      <c r="BI24" s="83" t="n">
        <f aca="false">IFERROR(MAX(0,BH24+BI22-BI23),0)</f>
        <v>77212</v>
      </c>
      <c r="BJ24" s="83" t="n">
        <f aca="false">IFERROR(MAX(0,BI24+BJ22-BJ23),0)</f>
        <v>88795</v>
      </c>
      <c r="BK24" s="83" t="n">
        <f aca="false">IFERROR(MAX(0,BJ24+BK22-BK23),0)</f>
        <v>102115</v>
      </c>
      <c r="BL24" s="83" t="n">
        <f aca="false">IFERROR(MAX(0,BK24+BL22-BL23),0)</f>
        <v>117433</v>
      </c>
      <c r="BM24" s="83" t="n">
        <f aca="false">IFERROR(MAX(0,BL24+BM22-BM23),0)</f>
        <v>135048</v>
      </c>
      <c r="BN24" s="71" t="n">
        <f aca="false">BM24</f>
        <v>135048</v>
      </c>
    </row>
    <row r="25" customFormat="false" ht="18" hidden="false" customHeight="true" outlineLevel="0" collapsed="false">
      <c r="A25" s="72" t="s">
        <v>207</v>
      </c>
      <c r="B25" s="73" t="n">
        <f aca="false">ASSUMPTIONS!$B$29</f>
        <v>299</v>
      </c>
      <c r="C25" s="73" t="n">
        <f aca="false">ASSUMPTIONS!$B$29</f>
        <v>299</v>
      </c>
      <c r="D25" s="73" t="n">
        <f aca="false">ASSUMPTIONS!$B$29</f>
        <v>299</v>
      </c>
      <c r="E25" s="73" t="n">
        <f aca="false">ASSUMPTIONS!$B$29</f>
        <v>299</v>
      </c>
      <c r="F25" s="73" t="n">
        <f aca="false">ASSUMPTIONS!$B$29</f>
        <v>299</v>
      </c>
      <c r="G25" s="73" t="n">
        <f aca="false">ASSUMPTIONS!$B$29</f>
        <v>299</v>
      </c>
      <c r="H25" s="73" t="n">
        <f aca="false">ASSUMPTIONS!$B$29</f>
        <v>299</v>
      </c>
      <c r="I25" s="73" t="n">
        <f aca="false">ASSUMPTIONS!$B$29</f>
        <v>299</v>
      </c>
      <c r="J25" s="73" t="n">
        <f aca="false">ASSUMPTIONS!$B$29</f>
        <v>299</v>
      </c>
      <c r="K25" s="73" t="n">
        <f aca="false">ASSUMPTIONS!$B$29</f>
        <v>299</v>
      </c>
      <c r="L25" s="73" t="n">
        <f aca="false">ASSUMPTIONS!$B$29</f>
        <v>299</v>
      </c>
      <c r="M25" s="73" t="n">
        <f aca="false">ASSUMPTIONS!$B$29</f>
        <v>299</v>
      </c>
      <c r="N25" s="70" t="n">
        <f aca="false">M25</f>
        <v>299</v>
      </c>
      <c r="O25" s="73" t="n">
        <f aca="false">ASSUMPTIONS!$C$29</f>
        <v>299</v>
      </c>
      <c r="P25" s="73" t="n">
        <f aca="false">ASSUMPTIONS!$C$29</f>
        <v>299</v>
      </c>
      <c r="Q25" s="73" t="n">
        <f aca="false">ASSUMPTIONS!$C$29</f>
        <v>299</v>
      </c>
      <c r="R25" s="73" t="n">
        <f aca="false">ASSUMPTIONS!$C$29</f>
        <v>299</v>
      </c>
      <c r="S25" s="73" t="n">
        <f aca="false">ASSUMPTIONS!$C$29</f>
        <v>299</v>
      </c>
      <c r="T25" s="73" t="n">
        <f aca="false">ASSUMPTIONS!$C$29</f>
        <v>299</v>
      </c>
      <c r="U25" s="73" t="n">
        <f aca="false">ASSUMPTIONS!$C$29</f>
        <v>299</v>
      </c>
      <c r="V25" s="73" t="n">
        <f aca="false">ASSUMPTIONS!$C$29</f>
        <v>299</v>
      </c>
      <c r="W25" s="73" t="n">
        <f aca="false">ASSUMPTIONS!$C$29</f>
        <v>299</v>
      </c>
      <c r="X25" s="73" t="n">
        <f aca="false">ASSUMPTIONS!$C$29</f>
        <v>299</v>
      </c>
      <c r="Y25" s="73" t="n">
        <f aca="false">ASSUMPTIONS!$C$29</f>
        <v>299</v>
      </c>
      <c r="Z25" s="73" t="n">
        <f aca="false">ASSUMPTIONS!$C$29</f>
        <v>299</v>
      </c>
      <c r="AA25" s="70" t="n">
        <f aca="false">Z25</f>
        <v>299</v>
      </c>
      <c r="AB25" s="73" t="n">
        <f aca="false">ASSUMPTIONS!$D$29</f>
        <v>299</v>
      </c>
      <c r="AC25" s="73" t="n">
        <f aca="false">ASSUMPTIONS!$D$29</f>
        <v>299</v>
      </c>
      <c r="AD25" s="73" t="n">
        <f aca="false">ASSUMPTIONS!$D$29</f>
        <v>299</v>
      </c>
      <c r="AE25" s="73" t="n">
        <f aca="false">ASSUMPTIONS!$D$29</f>
        <v>299</v>
      </c>
      <c r="AF25" s="73" t="n">
        <f aca="false">ASSUMPTIONS!$D$29</f>
        <v>299</v>
      </c>
      <c r="AG25" s="73" t="n">
        <f aca="false">ASSUMPTIONS!$D$29</f>
        <v>299</v>
      </c>
      <c r="AH25" s="73" t="n">
        <f aca="false">ASSUMPTIONS!$D$29</f>
        <v>299</v>
      </c>
      <c r="AI25" s="73" t="n">
        <f aca="false">ASSUMPTIONS!$D$29</f>
        <v>299</v>
      </c>
      <c r="AJ25" s="73" t="n">
        <f aca="false">ASSUMPTIONS!$D$29</f>
        <v>299</v>
      </c>
      <c r="AK25" s="73" t="n">
        <f aca="false">ASSUMPTIONS!$D$29</f>
        <v>299</v>
      </c>
      <c r="AL25" s="73" t="n">
        <f aca="false">ASSUMPTIONS!$D$29</f>
        <v>299</v>
      </c>
      <c r="AM25" s="73" t="n">
        <f aca="false">ASSUMPTIONS!$D$29</f>
        <v>299</v>
      </c>
      <c r="AN25" s="70" t="n">
        <f aca="false">AM25</f>
        <v>299</v>
      </c>
      <c r="AO25" s="73" t="n">
        <f aca="false">ASSUMPTIONS!$E$29</f>
        <v>299</v>
      </c>
      <c r="AP25" s="73" t="n">
        <f aca="false">ASSUMPTIONS!$E$29</f>
        <v>299</v>
      </c>
      <c r="AQ25" s="73" t="n">
        <f aca="false">ASSUMPTIONS!$E$29</f>
        <v>299</v>
      </c>
      <c r="AR25" s="73" t="n">
        <f aca="false">ASSUMPTIONS!$E$29</f>
        <v>299</v>
      </c>
      <c r="AS25" s="73" t="n">
        <f aca="false">ASSUMPTIONS!$E$29</f>
        <v>299</v>
      </c>
      <c r="AT25" s="73" t="n">
        <f aca="false">ASSUMPTIONS!$E$29</f>
        <v>299</v>
      </c>
      <c r="AU25" s="73" t="n">
        <f aca="false">ASSUMPTIONS!$E$29</f>
        <v>299</v>
      </c>
      <c r="AV25" s="73" t="n">
        <f aca="false">ASSUMPTIONS!$E$29</f>
        <v>299</v>
      </c>
      <c r="AW25" s="73" t="n">
        <f aca="false">ASSUMPTIONS!$E$29</f>
        <v>299</v>
      </c>
      <c r="AX25" s="73" t="n">
        <f aca="false">ASSUMPTIONS!$E$29</f>
        <v>299</v>
      </c>
      <c r="AY25" s="73" t="n">
        <f aca="false">ASSUMPTIONS!$E$29</f>
        <v>299</v>
      </c>
      <c r="AZ25" s="73" t="n">
        <f aca="false">ASSUMPTIONS!$E$29</f>
        <v>299</v>
      </c>
      <c r="BA25" s="71" t="n">
        <f aca="false">AZ25</f>
        <v>299</v>
      </c>
      <c r="BB25" s="73" t="n">
        <f aca="false">ASSUMPTIONS!$F$29</f>
        <v>299</v>
      </c>
      <c r="BC25" s="73" t="n">
        <f aca="false">ASSUMPTIONS!$F$29</f>
        <v>299</v>
      </c>
      <c r="BD25" s="73" t="n">
        <f aca="false">ASSUMPTIONS!$F$29</f>
        <v>299</v>
      </c>
      <c r="BE25" s="73" t="n">
        <f aca="false">ASSUMPTIONS!$F$29</f>
        <v>299</v>
      </c>
      <c r="BF25" s="73" t="n">
        <f aca="false">ASSUMPTIONS!$F$29</f>
        <v>299</v>
      </c>
      <c r="BG25" s="73" t="n">
        <f aca="false">ASSUMPTIONS!$F$29</f>
        <v>299</v>
      </c>
      <c r="BH25" s="73" t="n">
        <f aca="false">ASSUMPTIONS!$F$29</f>
        <v>299</v>
      </c>
      <c r="BI25" s="73" t="n">
        <f aca="false">ASSUMPTIONS!$F$29</f>
        <v>299</v>
      </c>
      <c r="BJ25" s="73" t="n">
        <f aca="false">ASSUMPTIONS!$F$29</f>
        <v>299</v>
      </c>
      <c r="BK25" s="73" t="n">
        <f aca="false">ASSUMPTIONS!$F$29</f>
        <v>299</v>
      </c>
      <c r="BL25" s="73" t="n">
        <f aca="false">ASSUMPTIONS!$F$29</f>
        <v>299</v>
      </c>
      <c r="BM25" s="73" t="n">
        <f aca="false">ASSUMPTIONS!$F$29</f>
        <v>299</v>
      </c>
      <c r="BN25" s="71" t="n">
        <f aca="false">BM25</f>
        <v>299</v>
      </c>
    </row>
    <row r="26" customFormat="false" ht="18" hidden="false" customHeight="true" outlineLevel="0" collapsed="false">
      <c r="A26" s="75" t="s">
        <v>208</v>
      </c>
      <c r="B26" s="76" t="n">
        <f aca="false">IFERROR(B24*ASSUMPTIONS!$B$29,0)</f>
        <v>7475</v>
      </c>
      <c r="C26" s="76" t="n">
        <f aca="false">IFERROR(C24*ASSUMPTIONS!$B$29,0)</f>
        <v>8970</v>
      </c>
      <c r="D26" s="76" t="n">
        <f aca="false">IFERROR(D24*ASSUMPTIONS!$B$29,0)</f>
        <v>10764</v>
      </c>
      <c r="E26" s="76" t="n">
        <f aca="false">IFERROR(E24*ASSUMPTIONS!$B$29,0)</f>
        <v>12857</v>
      </c>
      <c r="F26" s="76" t="n">
        <f aca="false">IFERROR(F24*ASSUMPTIONS!$B$29,0)</f>
        <v>15249</v>
      </c>
      <c r="G26" s="76" t="n">
        <f aca="false">IFERROR(G24*ASSUMPTIONS!$B$29,0)</f>
        <v>17940</v>
      </c>
      <c r="H26" s="76" t="n">
        <f aca="false">IFERROR(H24*ASSUMPTIONS!$B$29,0)</f>
        <v>21229</v>
      </c>
      <c r="I26" s="76" t="n">
        <f aca="false">IFERROR(I24*ASSUMPTIONS!$B$29,0)</f>
        <v>25116</v>
      </c>
      <c r="J26" s="76" t="n">
        <f aca="false">IFERROR(J24*ASSUMPTIONS!$B$29,0)</f>
        <v>29302</v>
      </c>
      <c r="K26" s="76" t="n">
        <f aca="false">IFERROR(K24*ASSUMPTIONS!$B$29,0)</f>
        <v>34086</v>
      </c>
      <c r="L26" s="76" t="n">
        <f aca="false">IFERROR(L24*ASSUMPTIONS!$B$29,0)</f>
        <v>39767</v>
      </c>
      <c r="M26" s="76" t="n">
        <f aca="false">IFERROR(M24*ASSUMPTIONS!$B$29,0)</f>
        <v>46046</v>
      </c>
      <c r="N26" s="76" t="n">
        <f aca="false">SUM(B26:M26)</f>
        <v>268801</v>
      </c>
      <c r="O26" s="76" t="n">
        <f aca="false">IFERROR(O24*ASSUMPTIONS!$C$29,0)</f>
        <v>53521</v>
      </c>
      <c r="P26" s="76" t="n">
        <f aca="false">IFERROR(P24*ASSUMPTIONS!$C$29,0)</f>
        <v>61893</v>
      </c>
      <c r="Q26" s="76" t="n">
        <f aca="false">IFERROR(Q24*ASSUMPTIONS!$C$29,0)</f>
        <v>71760</v>
      </c>
      <c r="R26" s="76" t="n">
        <f aca="false">IFERROR(R24*ASSUMPTIONS!$C$29,0)</f>
        <v>83122</v>
      </c>
      <c r="S26" s="76" t="n">
        <f aca="false">IFERROR(S24*ASSUMPTIONS!$C$29,0)</f>
        <v>95979</v>
      </c>
      <c r="T26" s="76" t="n">
        <f aca="false">IFERROR(T24*ASSUMPTIONS!$C$29,0)</f>
        <v>110929</v>
      </c>
      <c r="U26" s="76" t="n">
        <f aca="false">IFERROR(U24*ASSUMPTIONS!$C$29,0)</f>
        <v>127972</v>
      </c>
      <c r="V26" s="76" t="n">
        <f aca="false">IFERROR(V24*ASSUMPTIONS!$C$29,0)</f>
        <v>147407</v>
      </c>
      <c r="W26" s="76" t="n">
        <f aca="false">IFERROR(W24*ASSUMPTIONS!$C$29,0)</f>
        <v>169832</v>
      </c>
      <c r="X26" s="76" t="n">
        <f aca="false">IFERROR(X24*ASSUMPTIONS!$C$29,0)</f>
        <v>195845</v>
      </c>
      <c r="Y26" s="76" t="n">
        <f aca="false">IFERROR(Y24*ASSUMPTIONS!$C$29,0)</f>
        <v>225745</v>
      </c>
      <c r="Z26" s="76" t="n">
        <f aca="false">IFERROR(Z24*ASSUMPTIONS!$C$29,0)</f>
        <v>260130</v>
      </c>
      <c r="AA26" s="76" t="n">
        <f aca="false">SUM(O26:Z26)</f>
        <v>1604135</v>
      </c>
      <c r="AB26" s="76" t="n">
        <f aca="false">IFERROR(AB24*ASSUMPTIONS!$D$29,0)</f>
        <v>299897</v>
      </c>
      <c r="AC26" s="76" t="n">
        <f aca="false">IFERROR(AC24*ASSUMPTIONS!$D$29,0)</f>
        <v>345644</v>
      </c>
      <c r="AD26" s="76" t="n">
        <f aca="false">IFERROR(AD24*ASSUMPTIONS!$D$29,0)</f>
        <v>398268</v>
      </c>
      <c r="AE26" s="76" t="n">
        <f aca="false">IFERROR(AE24*ASSUMPTIONS!$D$29,0)</f>
        <v>458666</v>
      </c>
      <c r="AF26" s="76" t="n">
        <f aca="false">IFERROR(AF24*ASSUMPTIONS!$D$29,0)</f>
        <v>528034</v>
      </c>
      <c r="AG26" s="76" t="n">
        <f aca="false">IFERROR(AG24*ASSUMPTIONS!$D$29,0)</f>
        <v>607867</v>
      </c>
      <c r="AH26" s="76" t="n">
        <f aca="false">IFERROR(AH24*ASSUMPTIONS!$D$29,0)</f>
        <v>699361</v>
      </c>
      <c r="AI26" s="76" t="n">
        <f aca="false">IFERROR(AI24*ASSUMPTIONS!$D$29,0)</f>
        <v>804609</v>
      </c>
      <c r="AJ26" s="76" t="n">
        <f aca="false">IFERROR(AJ24*ASSUMPTIONS!$D$29,0)</f>
        <v>925704</v>
      </c>
      <c r="AK26" s="76" t="n">
        <f aca="false">IFERROR(AK24*ASSUMPTIONS!$D$29,0)</f>
        <v>1065038</v>
      </c>
      <c r="AL26" s="76" t="n">
        <f aca="false">IFERROR(AL24*ASSUMPTIONS!$D$29,0)</f>
        <v>1225302</v>
      </c>
      <c r="AM26" s="76" t="n">
        <f aca="false">IFERROR(AM24*ASSUMPTIONS!$D$29,0)</f>
        <v>1409486</v>
      </c>
      <c r="AN26" s="76" t="n">
        <f aca="false">SUM(AB26:AM26)</f>
        <v>8767876</v>
      </c>
      <c r="AO26" s="76" t="n">
        <f aca="false">IFERROR(AO24*ASSUMPTIONS!$E$29,0)</f>
        <v>1621477</v>
      </c>
      <c r="AP26" s="76" t="n">
        <f aca="false">IFERROR(AP24*ASSUMPTIONS!$E$29,0)</f>
        <v>1865162</v>
      </c>
      <c r="AQ26" s="76" t="n">
        <f aca="false">IFERROR(AQ24*ASSUMPTIONS!$E$29,0)</f>
        <v>2145026</v>
      </c>
      <c r="AR26" s="76" t="n">
        <f aca="false">IFERROR(AR24*ASSUMPTIONS!$E$29,0)</f>
        <v>2467049</v>
      </c>
      <c r="AS26" s="76" t="n">
        <f aca="false">IFERROR(AS24*ASSUMPTIONS!$E$29,0)</f>
        <v>2837211</v>
      </c>
      <c r="AT26" s="76" t="n">
        <f aca="false">IFERROR(AT24*ASSUMPTIONS!$E$29,0)</f>
        <v>3262688</v>
      </c>
      <c r="AU26" s="76" t="n">
        <f aca="false">IFERROR(AU24*ASSUMPTIONS!$E$29,0)</f>
        <v>3752151</v>
      </c>
      <c r="AV26" s="76" t="n">
        <f aca="false">IFERROR(AV24*ASSUMPTIONS!$E$29,0)</f>
        <v>4314869</v>
      </c>
      <c r="AW26" s="76" t="n">
        <f aca="false">IFERROR(AW24*ASSUMPTIONS!$E$29,0)</f>
        <v>4961905</v>
      </c>
      <c r="AX26" s="76" t="n">
        <f aca="false">IFERROR(AX24*ASSUMPTIONS!$E$29,0)</f>
        <v>5706116</v>
      </c>
      <c r="AY26" s="76" t="n">
        <f aca="false">IFERROR(AY24*ASSUMPTIONS!$E$29,0)</f>
        <v>6561854</v>
      </c>
      <c r="AZ26" s="76" t="n">
        <f aca="false">IFERROR(AZ24*ASSUMPTIONS!$E$29,0)</f>
        <v>7546162</v>
      </c>
      <c r="BA26" s="77" t="n">
        <f aca="false">SUM(AO26:AZ26)</f>
        <v>47041670</v>
      </c>
      <c r="BB26" s="76" t="n">
        <f aca="false">IFERROR(BB24*ASSUMPTIONS!$F$29,0)</f>
        <v>8678176</v>
      </c>
      <c r="BC26" s="76" t="n">
        <f aca="false">IFERROR(BC24*ASSUMPTIONS!$F$29,0)</f>
        <v>9980321</v>
      </c>
      <c r="BD26" s="76" t="n">
        <f aca="false">IFERROR(BD24*ASSUMPTIONS!$F$29,0)</f>
        <v>11477414</v>
      </c>
      <c r="BE26" s="76" t="n">
        <f aca="false">IFERROR(BE24*ASSUMPTIONS!$F$29,0)</f>
        <v>13199056</v>
      </c>
      <c r="BF26" s="76" t="n">
        <f aca="false">IFERROR(BF24*ASSUMPTIONS!$F$29,0)</f>
        <v>15179034</v>
      </c>
      <c r="BG26" s="76" t="n">
        <f aca="false">IFERROR(BG24*ASSUMPTIONS!$F$29,0)</f>
        <v>17456218</v>
      </c>
      <c r="BH26" s="76" t="n">
        <f aca="false">IFERROR(BH24*ASSUMPTIONS!$F$29,0)</f>
        <v>20074860</v>
      </c>
      <c r="BI26" s="76" t="n">
        <f aca="false">IFERROR(BI24*ASSUMPTIONS!$F$29,0)</f>
        <v>23086388</v>
      </c>
      <c r="BJ26" s="76" t="n">
        <f aca="false">IFERROR(BJ24*ASSUMPTIONS!$F$29,0)</f>
        <v>26549705</v>
      </c>
      <c r="BK26" s="76" t="n">
        <f aca="false">IFERROR(BK24*ASSUMPTIONS!$F$29,0)</f>
        <v>30532385</v>
      </c>
      <c r="BL26" s="76" t="n">
        <f aca="false">IFERROR(BL24*ASSUMPTIONS!$F$29,0)</f>
        <v>35112467</v>
      </c>
      <c r="BM26" s="76" t="n">
        <f aca="false">IFERROR(BM24*ASSUMPTIONS!$F$29,0)</f>
        <v>40379352</v>
      </c>
      <c r="BN26" s="77" t="n">
        <f aca="false">SUM(BB26:BM26)</f>
        <v>251705376</v>
      </c>
    </row>
    <row r="27" customFormat="false" ht="6" hidden="false" customHeight="true" outlineLevel="0" collapsed="false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9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8"/>
      <c r="BM27" s="78"/>
      <c r="BN27" s="79"/>
    </row>
    <row r="28" customFormat="false" ht="19.5" hidden="false" customHeight="true" outlineLevel="0" collapsed="false">
      <c r="A28" s="85" t="s">
        <v>209</v>
      </c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5"/>
      <c r="BF28" s="85"/>
      <c r="BG28" s="85"/>
      <c r="BH28" s="85"/>
      <c r="BI28" s="85"/>
      <c r="BJ28" s="85"/>
      <c r="BK28" s="85"/>
      <c r="BL28" s="85"/>
      <c r="BM28" s="85"/>
      <c r="BN28" s="85"/>
    </row>
    <row r="29" customFormat="false" ht="18" hidden="false" customHeight="true" outlineLevel="0" collapsed="false">
      <c r="A29" s="72" t="s">
        <v>210</v>
      </c>
      <c r="B29" s="73" t="n">
        <f aca="false">B19</f>
        <v>16275</v>
      </c>
      <c r="C29" s="73" t="n">
        <f aca="false">C19</f>
        <v>15058</v>
      </c>
      <c r="D29" s="73" t="n">
        <f aca="false">D19</f>
        <v>15849</v>
      </c>
      <c r="E29" s="73" t="n">
        <f aca="false">E19</f>
        <v>16875</v>
      </c>
      <c r="F29" s="73" t="n">
        <f aca="false">F19</f>
        <v>18036</v>
      </c>
      <c r="G29" s="73" t="n">
        <f aca="false">G19</f>
        <v>19332</v>
      </c>
      <c r="H29" s="73" t="n">
        <f aca="false">H19</f>
        <v>20763</v>
      </c>
      <c r="I29" s="73" t="n">
        <f aca="false">I19</f>
        <v>22383</v>
      </c>
      <c r="J29" s="73" t="n">
        <f aca="false">J19</f>
        <v>24192</v>
      </c>
      <c r="K29" s="73" t="n">
        <f aca="false">K19</f>
        <v>26190</v>
      </c>
      <c r="L29" s="73" t="n">
        <f aca="false">L19</f>
        <v>28404</v>
      </c>
      <c r="M29" s="73" t="n">
        <f aca="false">M19</f>
        <v>30861</v>
      </c>
      <c r="N29" s="70" t="n">
        <f aca="false">SUM(B29:M29)</f>
        <v>254218</v>
      </c>
      <c r="O29" s="73" t="n">
        <f aca="false">O19</f>
        <v>33588</v>
      </c>
      <c r="P29" s="73" t="n">
        <f aca="false">P19</f>
        <v>36612</v>
      </c>
      <c r="Q29" s="73" t="n">
        <f aca="false">Q19</f>
        <v>39933</v>
      </c>
      <c r="R29" s="73" t="n">
        <f aca="false">R19</f>
        <v>43605</v>
      </c>
      <c r="S29" s="73" t="n">
        <f aca="false">S19</f>
        <v>47655</v>
      </c>
      <c r="T29" s="73" t="n">
        <f aca="false">T19</f>
        <v>52137</v>
      </c>
      <c r="U29" s="73" t="n">
        <f aca="false">U19</f>
        <v>57051</v>
      </c>
      <c r="V29" s="73" t="n">
        <f aca="false">V19</f>
        <v>62478</v>
      </c>
      <c r="W29" s="73" t="n">
        <f aca="false">W19</f>
        <v>68472</v>
      </c>
      <c r="X29" s="73" t="n">
        <f aca="false">X19</f>
        <v>75087</v>
      </c>
      <c r="Y29" s="73" t="n">
        <f aca="false">Y19</f>
        <v>82377</v>
      </c>
      <c r="Z29" s="73" t="n">
        <f aca="false">Z19</f>
        <v>90396</v>
      </c>
      <c r="AA29" s="70" t="n">
        <f aca="false">SUM(O29:Z29)</f>
        <v>689391</v>
      </c>
      <c r="AB29" s="73" t="n">
        <f aca="false">AB19</f>
        <v>99252</v>
      </c>
      <c r="AC29" s="73" t="n">
        <f aca="false">AC19</f>
        <v>108999</v>
      </c>
      <c r="AD29" s="73" t="n">
        <f aca="false">AD19</f>
        <v>119745</v>
      </c>
      <c r="AE29" s="73" t="n">
        <f aca="false">AE19</f>
        <v>131571</v>
      </c>
      <c r="AF29" s="73" t="n">
        <f aca="false">AF19</f>
        <v>144585</v>
      </c>
      <c r="AG29" s="73" t="n">
        <f aca="false">AG19</f>
        <v>158922</v>
      </c>
      <c r="AH29" s="73" t="n">
        <f aca="false">AH19</f>
        <v>174717</v>
      </c>
      <c r="AI29" s="73" t="n">
        <f aca="false">AI19</f>
        <v>192078</v>
      </c>
      <c r="AJ29" s="73" t="n">
        <f aca="false">AJ19</f>
        <v>211194</v>
      </c>
      <c r="AK29" s="73" t="n">
        <f aca="false">AK19</f>
        <v>232227</v>
      </c>
      <c r="AL29" s="73" t="n">
        <f aca="false">AL19</f>
        <v>255366</v>
      </c>
      <c r="AM29" s="73" t="n">
        <f aca="false">AM19</f>
        <v>280827</v>
      </c>
      <c r="AN29" s="70" t="n">
        <f aca="false">SUM(AB29:AM29)</f>
        <v>2109483</v>
      </c>
      <c r="AO29" s="73" t="n">
        <f aca="false">AO19</f>
        <v>308853</v>
      </c>
      <c r="AP29" s="73" t="n">
        <f aca="false">AP19</f>
        <v>339687</v>
      </c>
      <c r="AQ29" s="73" t="n">
        <f aca="false">AQ19</f>
        <v>373599</v>
      </c>
      <c r="AR29" s="73" t="n">
        <f aca="false">AR19</f>
        <v>410913</v>
      </c>
      <c r="AS29" s="73" t="n">
        <f aca="false">AS19</f>
        <v>451953</v>
      </c>
      <c r="AT29" s="73" t="n">
        <f aca="false">AT19</f>
        <v>497097</v>
      </c>
      <c r="AU29" s="73" t="n">
        <f aca="false">AU19</f>
        <v>546750</v>
      </c>
      <c r="AV29" s="73" t="n">
        <f aca="false">AV19</f>
        <v>601371</v>
      </c>
      <c r="AW29" s="73" t="n">
        <f aca="false">AW19</f>
        <v>661473</v>
      </c>
      <c r="AX29" s="73" t="n">
        <f aca="false">AX19</f>
        <v>727596</v>
      </c>
      <c r="AY29" s="73" t="n">
        <f aca="false">AY19</f>
        <v>800334</v>
      </c>
      <c r="AZ29" s="73" t="n">
        <f aca="false">AZ19</f>
        <v>880335</v>
      </c>
      <c r="BA29" s="71" t="n">
        <f aca="false">SUM(AO29:AZ29)</f>
        <v>6599961</v>
      </c>
      <c r="BB29" s="73" t="n">
        <f aca="false">BB19</f>
        <v>968355</v>
      </c>
      <c r="BC29" s="73" t="n">
        <f aca="false">BC19</f>
        <v>1065177</v>
      </c>
      <c r="BD29" s="73" t="n">
        <f aca="false">BD19</f>
        <v>1171665</v>
      </c>
      <c r="BE29" s="73" t="n">
        <f aca="false">BE19</f>
        <v>1288818</v>
      </c>
      <c r="BF29" s="73" t="n">
        <f aca="false">BF19</f>
        <v>1417689</v>
      </c>
      <c r="BG29" s="73" t="n">
        <f aca="false">BG19</f>
        <v>1559466</v>
      </c>
      <c r="BH29" s="73" t="n">
        <f aca="false">BH19</f>
        <v>1715418</v>
      </c>
      <c r="BI29" s="73" t="n">
        <f aca="false">BI19</f>
        <v>1886949</v>
      </c>
      <c r="BJ29" s="73" t="n">
        <f aca="false">BJ19</f>
        <v>2075652</v>
      </c>
      <c r="BK29" s="73" t="n">
        <f aca="false">BK19</f>
        <v>2283201</v>
      </c>
      <c r="BL29" s="73" t="n">
        <f aca="false">BL19</f>
        <v>2511513</v>
      </c>
      <c r="BM29" s="73" t="n">
        <f aca="false">BM19</f>
        <v>2762640</v>
      </c>
      <c r="BN29" s="71" t="n">
        <f aca="false">SUM(BB29:BM29)</f>
        <v>20706543</v>
      </c>
    </row>
    <row r="30" customFormat="false" ht="18" hidden="false" customHeight="true" outlineLevel="0" collapsed="false">
      <c r="A30" s="74" t="s">
        <v>211</v>
      </c>
      <c r="B30" s="73" t="n">
        <f aca="false">B26</f>
        <v>7475</v>
      </c>
      <c r="C30" s="73" t="n">
        <f aca="false">C26</f>
        <v>8970</v>
      </c>
      <c r="D30" s="73" t="n">
        <f aca="false">D26</f>
        <v>10764</v>
      </c>
      <c r="E30" s="73" t="n">
        <f aca="false">E26</f>
        <v>12857</v>
      </c>
      <c r="F30" s="73" t="n">
        <f aca="false">F26</f>
        <v>15249</v>
      </c>
      <c r="G30" s="73" t="n">
        <f aca="false">G26</f>
        <v>17940</v>
      </c>
      <c r="H30" s="73" t="n">
        <f aca="false">H26</f>
        <v>21229</v>
      </c>
      <c r="I30" s="73" t="n">
        <f aca="false">I26</f>
        <v>25116</v>
      </c>
      <c r="J30" s="73" t="n">
        <f aca="false">J26</f>
        <v>29302</v>
      </c>
      <c r="K30" s="73" t="n">
        <f aca="false">K26</f>
        <v>34086</v>
      </c>
      <c r="L30" s="73" t="n">
        <f aca="false">L26</f>
        <v>39767</v>
      </c>
      <c r="M30" s="73" t="n">
        <f aca="false">M26</f>
        <v>46046</v>
      </c>
      <c r="N30" s="70" t="n">
        <f aca="false">SUM(B30:M30)</f>
        <v>268801</v>
      </c>
      <c r="O30" s="73" t="n">
        <f aca="false">O26</f>
        <v>53521</v>
      </c>
      <c r="P30" s="73" t="n">
        <f aca="false">P26</f>
        <v>61893</v>
      </c>
      <c r="Q30" s="73" t="n">
        <f aca="false">Q26</f>
        <v>71760</v>
      </c>
      <c r="R30" s="73" t="n">
        <f aca="false">R26</f>
        <v>83122</v>
      </c>
      <c r="S30" s="73" t="n">
        <f aca="false">S26</f>
        <v>95979</v>
      </c>
      <c r="T30" s="73" t="n">
        <f aca="false">T26</f>
        <v>110929</v>
      </c>
      <c r="U30" s="73" t="n">
        <f aca="false">U26</f>
        <v>127972</v>
      </c>
      <c r="V30" s="73" t="n">
        <f aca="false">V26</f>
        <v>147407</v>
      </c>
      <c r="W30" s="73" t="n">
        <f aca="false">W26</f>
        <v>169832</v>
      </c>
      <c r="X30" s="73" t="n">
        <f aca="false">X26</f>
        <v>195845</v>
      </c>
      <c r="Y30" s="73" t="n">
        <f aca="false">Y26</f>
        <v>225745</v>
      </c>
      <c r="Z30" s="73" t="n">
        <f aca="false">Z26</f>
        <v>260130</v>
      </c>
      <c r="AA30" s="70" t="n">
        <f aca="false">SUM(O30:Z30)</f>
        <v>1604135</v>
      </c>
      <c r="AB30" s="73" t="n">
        <f aca="false">AB26</f>
        <v>299897</v>
      </c>
      <c r="AC30" s="73" t="n">
        <f aca="false">AC26</f>
        <v>345644</v>
      </c>
      <c r="AD30" s="73" t="n">
        <f aca="false">AD26</f>
        <v>398268</v>
      </c>
      <c r="AE30" s="73" t="n">
        <f aca="false">AE26</f>
        <v>458666</v>
      </c>
      <c r="AF30" s="73" t="n">
        <f aca="false">AF26</f>
        <v>528034</v>
      </c>
      <c r="AG30" s="73" t="n">
        <f aca="false">AG26</f>
        <v>607867</v>
      </c>
      <c r="AH30" s="73" t="n">
        <f aca="false">AH26</f>
        <v>699361</v>
      </c>
      <c r="AI30" s="73" t="n">
        <f aca="false">AI26</f>
        <v>804609</v>
      </c>
      <c r="AJ30" s="73" t="n">
        <f aca="false">AJ26</f>
        <v>925704</v>
      </c>
      <c r="AK30" s="73" t="n">
        <f aca="false">AK26</f>
        <v>1065038</v>
      </c>
      <c r="AL30" s="73" t="n">
        <f aca="false">AL26</f>
        <v>1225302</v>
      </c>
      <c r="AM30" s="73" t="n">
        <f aca="false">AM26</f>
        <v>1409486</v>
      </c>
      <c r="AN30" s="70" t="n">
        <f aca="false">SUM(AB30:AM30)</f>
        <v>8767876</v>
      </c>
      <c r="AO30" s="73" t="n">
        <f aca="false">AO26</f>
        <v>1621477</v>
      </c>
      <c r="AP30" s="73" t="n">
        <f aca="false">AP26</f>
        <v>1865162</v>
      </c>
      <c r="AQ30" s="73" t="n">
        <f aca="false">AQ26</f>
        <v>2145026</v>
      </c>
      <c r="AR30" s="73" t="n">
        <f aca="false">AR26</f>
        <v>2467049</v>
      </c>
      <c r="AS30" s="73" t="n">
        <f aca="false">AS26</f>
        <v>2837211</v>
      </c>
      <c r="AT30" s="73" t="n">
        <f aca="false">AT26</f>
        <v>3262688</v>
      </c>
      <c r="AU30" s="73" t="n">
        <f aca="false">AU26</f>
        <v>3752151</v>
      </c>
      <c r="AV30" s="73" t="n">
        <f aca="false">AV26</f>
        <v>4314869</v>
      </c>
      <c r="AW30" s="73" t="n">
        <f aca="false">AW26</f>
        <v>4961905</v>
      </c>
      <c r="AX30" s="73" t="n">
        <f aca="false">AX26</f>
        <v>5706116</v>
      </c>
      <c r="AY30" s="73" t="n">
        <f aca="false">AY26</f>
        <v>6561854</v>
      </c>
      <c r="AZ30" s="73" t="n">
        <f aca="false">AZ26</f>
        <v>7546162</v>
      </c>
      <c r="BA30" s="71" t="n">
        <f aca="false">SUM(AO30:AZ30)</f>
        <v>47041670</v>
      </c>
      <c r="BB30" s="73" t="n">
        <f aca="false">BB26</f>
        <v>8678176</v>
      </c>
      <c r="BC30" s="73" t="n">
        <f aca="false">BC26</f>
        <v>9980321</v>
      </c>
      <c r="BD30" s="73" t="n">
        <f aca="false">BD26</f>
        <v>11477414</v>
      </c>
      <c r="BE30" s="73" t="n">
        <f aca="false">BE26</f>
        <v>13199056</v>
      </c>
      <c r="BF30" s="73" t="n">
        <f aca="false">BF26</f>
        <v>15179034</v>
      </c>
      <c r="BG30" s="73" t="n">
        <f aca="false">BG26</f>
        <v>17456218</v>
      </c>
      <c r="BH30" s="73" t="n">
        <f aca="false">BH26</f>
        <v>20074860</v>
      </c>
      <c r="BI30" s="73" t="n">
        <f aca="false">BI26</f>
        <v>23086388</v>
      </c>
      <c r="BJ30" s="73" t="n">
        <f aca="false">BJ26</f>
        <v>26549705</v>
      </c>
      <c r="BK30" s="73" t="n">
        <f aca="false">BK26</f>
        <v>30532385</v>
      </c>
      <c r="BL30" s="73" t="n">
        <f aca="false">BL26</f>
        <v>35112467</v>
      </c>
      <c r="BM30" s="73" t="n">
        <f aca="false">BM26</f>
        <v>40379352</v>
      </c>
      <c r="BN30" s="71" t="n">
        <f aca="false">SUM(BB30:BM30)</f>
        <v>251705376</v>
      </c>
    </row>
    <row r="31" customFormat="false" ht="18" hidden="false" customHeight="true" outlineLevel="0" collapsed="false">
      <c r="A31" s="75" t="s">
        <v>212</v>
      </c>
      <c r="B31" s="76" t="n">
        <f aca="false">IFERROR(B19+B26,0)</f>
        <v>23750</v>
      </c>
      <c r="C31" s="76" t="n">
        <f aca="false">IFERROR(C19+C26,0)</f>
        <v>24028</v>
      </c>
      <c r="D31" s="76" t="n">
        <f aca="false">IFERROR(D19+D26,0)</f>
        <v>26613</v>
      </c>
      <c r="E31" s="76" t="n">
        <f aca="false">IFERROR(E19+E26,0)</f>
        <v>29732</v>
      </c>
      <c r="F31" s="76" t="n">
        <f aca="false">IFERROR(F19+F26,0)</f>
        <v>33285</v>
      </c>
      <c r="G31" s="76" t="n">
        <f aca="false">IFERROR(G19+G26,0)</f>
        <v>37272</v>
      </c>
      <c r="H31" s="76" t="n">
        <f aca="false">IFERROR(H19+H26,0)</f>
        <v>41992</v>
      </c>
      <c r="I31" s="76" t="n">
        <f aca="false">IFERROR(I19+I26,0)</f>
        <v>47499</v>
      </c>
      <c r="J31" s="76" t="n">
        <f aca="false">IFERROR(J19+J26,0)</f>
        <v>53494</v>
      </c>
      <c r="K31" s="76" t="n">
        <f aca="false">IFERROR(K19+K26,0)</f>
        <v>60276</v>
      </c>
      <c r="L31" s="76" t="n">
        <f aca="false">IFERROR(L19+L26,0)</f>
        <v>68171</v>
      </c>
      <c r="M31" s="76" t="n">
        <f aca="false">IFERROR(M19+M26,0)</f>
        <v>76907</v>
      </c>
      <c r="N31" s="76" t="n">
        <f aca="false">SUM(B31:M31)</f>
        <v>523019</v>
      </c>
      <c r="O31" s="76" t="n">
        <f aca="false">IFERROR(O19+O26,0)</f>
        <v>87109</v>
      </c>
      <c r="P31" s="76" t="n">
        <f aca="false">IFERROR(P19+P26,0)</f>
        <v>98505</v>
      </c>
      <c r="Q31" s="76" t="n">
        <f aca="false">IFERROR(Q19+Q26,0)</f>
        <v>111693</v>
      </c>
      <c r="R31" s="76" t="n">
        <f aca="false">IFERROR(R19+R26,0)</f>
        <v>126727</v>
      </c>
      <c r="S31" s="76" t="n">
        <f aca="false">IFERROR(S19+S26,0)</f>
        <v>143634</v>
      </c>
      <c r="T31" s="76" t="n">
        <f aca="false">IFERROR(T19+T26,0)</f>
        <v>163066</v>
      </c>
      <c r="U31" s="76" t="n">
        <f aca="false">IFERROR(U19+U26,0)</f>
        <v>185023</v>
      </c>
      <c r="V31" s="76" t="n">
        <f aca="false">IFERROR(V19+V26,0)</f>
        <v>209885</v>
      </c>
      <c r="W31" s="76" t="n">
        <f aca="false">IFERROR(W19+W26,0)</f>
        <v>238304</v>
      </c>
      <c r="X31" s="76" t="n">
        <f aca="false">IFERROR(X19+X26,0)</f>
        <v>270932</v>
      </c>
      <c r="Y31" s="76" t="n">
        <f aca="false">IFERROR(Y19+Y26,0)</f>
        <v>308122</v>
      </c>
      <c r="Z31" s="76" t="n">
        <f aca="false">IFERROR(Z19+Z26,0)</f>
        <v>350526</v>
      </c>
      <c r="AA31" s="76" t="n">
        <f aca="false">SUM(O31:Z31)</f>
        <v>2293526</v>
      </c>
      <c r="AB31" s="76" t="n">
        <f aca="false">IFERROR(AB19+AB26,0)</f>
        <v>399149</v>
      </c>
      <c r="AC31" s="76" t="n">
        <f aca="false">IFERROR(AC19+AC26,0)</f>
        <v>454643</v>
      </c>
      <c r="AD31" s="76" t="n">
        <f aca="false">IFERROR(AD19+AD26,0)</f>
        <v>518013</v>
      </c>
      <c r="AE31" s="76" t="n">
        <f aca="false">IFERROR(AE19+AE26,0)</f>
        <v>590237</v>
      </c>
      <c r="AF31" s="76" t="n">
        <f aca="false">IFERROR(AF19+AF26,0)</f>
        <v>672619</v>
      </c>
      <c r="AG31" s="76" t="n">
        <f aca="false">IFERROR(AG19+AG26,0)</f>
        <v>766789</v>
      </c>
      <c r="AH31" s="76" t="n">
        <f aca="false">IFERROR(AH19+AH26,0)</f>
        <v>874078</v>
      </c>
      <c r="AI31" s="76" t="n">
        <f aca="false">IFERROR(AI19+AI26,0)</f>
        <v>996687</v>
      </c>
      <c r="AJ31" s="76" t="n">
        <f aca="false">IFERROR(AJ19+AJ26,0)</f>
        <v>1136898</v>
      </c>
      <c r="AK31" s="76" t="n">
        <f aca="false">IFERROR(AK19+AK26,0)</f>
        <v>1297265</v>
      </c>
      <c r="AL31" s="76" t="n">
        <f aca="false">IFERROR(AL19+AL26,0)</f>
        <v>1480668</v>
      </c>
      <c r="AM31" s="76" t="n">
        <f aca="false">IFERROR(AM19+AM26,0)</f>
        <v>1690313</v>
      </c>
      <c r="AN31" s="76" t="n">
        <f aca="false">SUM(AB31:AM31)</f>
        <v>10877359</v>
      </c>
      <c r="AO31" s="76" t="n">
        <f aca="false">IFERROR(AO19+AO26,0)</f>
        <v>1930330</v>
      </c>
      <c r="AP31" s="76" t="n">
        <f aca="false">IFERROR(AP19+AP26,0)</f>
        <v>2204849</v>
      </c>
      <c r="AQ31" s="76" t="n">
        <f aca="false">IFERROR(AQ19+AQ26,0)</f>
        <v>2518625</v>
      </c>
      <c r="AR31" s="76" t="n">
        <f aca="false">IFERROR(AR19+AR26,0)</f>
        <v>2877962</v>
      </c>
      <c r="AS31" s="76" t="n">
        <f aca="false">IFERROR(AS19+AS26,0)</f>
        <v>3289164</v>
      </c>
      <c r="AT31" s="76" t="n">
        <f aca="false">IFERROR(AT19+AT26,0)</f>
        <v>3759785</v>
      </c>
      <c r="AU31" s="76" t="n">
        <f aca="false">IFERROR(AU19+AU26,0)</f>
        <v>4298901</v>
      </c>
      <c r="AV31" s="76" t="n">
        <f aca="false">IFERROR(AV19+AV26,0)</f>
        <v>4916240</v>
      </c>
      <c r="AW31" s="76" t="n">
        <f aca="false">IFERROR(AW19+AW26,0)</f>
        <v>5623378</v>
      </c>
      <c r="AX31" s="76" t="n">
        <f aca="false">IFERROR(AX19+AX26,0)</f>
        <v>6433712</v>
      </c>
      <c r="AY31" s="76" t="n">
        <f aca="false">IFERROR(AY19+AY26,0)</f>
        <v>7362188</v>
      </c>
      <c r="AZ31" s="76" t="n">
        <f aca="false">IFERROR(AZ19+AZ26,0)</f>
        <v>8426497</v>
      </c>
      <c r="BA31" s="77" t="n">
        <f aca="false">SUM(AO31:AZ31)</f>
        <v>53641631</v>
      </c>
      <c r="BB31" s="76" t="n">
        <f aca="false">IFERROR(BB19+BB26,0)</f>
        <v>9646531</v>
      </c>
      <c r="BC31" s="76" t="n">
        <f aca="false">IFERROR(BC19+BC26,0)</f>
        <v>11045498</v>
      </c>
      <c r="BD31" s="76" t="n">
        <f aca="false">IFERROR(BD19+BD26,0)</f>
        <v>12649079</v>
      </c>
      <c r="BE31" s="76" t="n">
        <f aca="false">IFERROR(BE19+BE26,0)</f>
        <v>14487874</v>
      </c>
      <c r="BF31" s="76" t="n">
        <f aca="false">IFERROR(BF19+BF26,0)</f>
        <v>16596723</v>
      </c>
      <c r="BG31" s="76" t="n">
        <f aca="false">IFERROR(BG19+BG26,0)</f>
        <v>19015684</v>
      </c>
      <c r="BH31" s="76" t="n">
        <f aca="false">IFERROR(BH19+BH26,0)</f>
        <v>21790278</v>
      </c>
      <c r="BI31" s="76" t="n">
        <f aca="false">IFERROR(BI19+BI26,0)</f>
        <v>24973337</v>
      </c>
      <c r="BJ31" s="76" t="n">
        <f aca="false">IFERROR(BJ19+BJ26,0)</f>
        <v>28625357</v>
      </c>
      <c r="BK31" s="76" t="n">
        <f aca="false">IFERROR(BK19+BK26,0)</f>
        <v>32815586</v>
      </c>
      <c r="BL31" s="76" t="n">
        <f aca="false">IFERROR(BL19+BL26,0)</f>
        <v>37623980</v>
      </c>
      <c r="BM31" s="76" t="n">
        <f aca="false">IFERROR(BM19+BM26,0)</f>
        <v>43141992</v>
      </c>
      <c r="BN31" s="77" t="n">
        <f aca="false">SUM(BB31:BM31)</f>
        <v>272411919</v>
      </c>
    </row>
    <row r="32" customFormat="false" ht="18" hidden="false" customHeight="true" outlineLevel="0" collapsed="false">
      <c r="A32" s="20" t="s">
        <v>213</v>
      </c>
      <c r="B32" s="86"/>
      <c r="C32" s="86" t="n">
        <f aca="false">IFERROR((C29-B29)/B29,0)</f>
        <v>-0.0747772657450077</v>
      </c>
      <c r="D32" s="86" t="n">
        <f aca="false">IFERROR((D29-C29)/C29,0)</f>
        <v>0.0525302164962146</v>
      </c>
      <c r="E32" s="86" t="n">
        <f aca="false">IFERROR((E29-D29)/D29,0)</f>
        <v>0.0647359454855196</v>
      </c>
      <c r="F32" s="86" t="n">
        <f aca="false">IFERROR((F29-E29)/E29,0)</f>
        <v>0.0688</v>
      </c>
      <c r="G32" s="86" t="n">
        <f aca="false">IFERROR((G29-F29)/F29,0)</f>
        <v>0.0718562874251495</v>
      </c>
      <c r="H32" s="86" t="n">
        <f aca="false">IFERROR((H29-G29)/G29,0)</f>
        <v>0.0740223463687153</v>
      </c>
      <c r="I32" s="86" t="n">
        <f aca="false">IFERROR((I29-H29)/H29,0)</f>
        <v>0.0780234070221066</v>
      </c>
      <c r="J32" s="86" t="n">
        <f aca="false">IFERROR((J29-I29)/I29,0)</f>
        <v>0.0808202653799759</v>
      </c>
      <c r="K32" s="86" t="n">
        <f aca="false">IFERROR((K29-J29)/J29,0)</f>
        <v>0.0825892857142857</v>
      </c>
      <c r="L32" s="86" t="n">
        <f aca="false">IFERROR((L29-K29)/K29,0)</f>
        <v>0.0845360824742267</v>
      </c>
      <c r="M32" s="86" t="n">
        <f aca="false">IFERROR((M29-L29)/L29,0)</f>
        <v>0.0865019011406846</v>
      </c>
      <c r="N32" s="87" t="n">
        <f aca="false">M32</f>
        <v>0.0865019011406846</v>
      </c>
      <c r="O32" s="86" t="n">
        <f aca="false">IFERROR((O29-M29)/M29,0)</f>
        <v>0.0883639545056868</v>
      </c>
      <c r="P32" s="86" t="n">
        <f aca="false">IFERROR((P29-O29)/O29,0)</f>
        <v>0.090032154340836</v>
      </c>
      <c r="Q32" s="86" t="n">
        <f aca="false">IFERROR((Q29-P29)/P29,0)</f>
        <v>0.0907079646017699</v>
      </c>
      <c r="R32" s="86" t="n">
        <f aca="false">IFERROR((R29-Q29)/Q29,0)</f>
        <v>0.0919540229885058</v>
      </c>
      <c r="S32" s="86" t="n">
        <f aca="false">IFERROR((S29-R29)/R29,0)</f>
        <v>0.0928792569659443</v>
      </c>
      <c r="T32" s="86" t="n">
        <f aca="false">IFERROR((T29-S29)/S29,0)</f>
        <v>0.0940509915014164</v>
      </c>
      <c r="U32" s="86" t="n">
        <f aca="false">IFERROR((U29-T29)/T29,0)</f>
        <v>0.094251683065769</v>
      </c>
      <c r="V32" s="86" t="n">
        <f aca="false">IFERROR((V29-U29)/U29,0)</f>
        <v>0.0951254141031706</v>
      </c>
      <c r="W32" s="86" t="n">
        <f aca="false">IFERROR((W29-V29)/V29,0)</f>
        <v>0.0959377700950737</v>
      </c>
      <c r="X32" s="86" t="n">
        <f aca="false">IFERROR((X29-W29)/W29,0)</f>
        <v>0.096608832807571</v>
      </c>
      <c r="Y32" s="86" t="n">
        <f aca="false">IFERROR((Y29-X29)/X29,0)</f>
        <v>0.0970873786407767</v>
      </c>
      <c r="Z32" s="86" t="n">
        <f aca="false">IFERROR((Z29-Y29)/Y29,0)</f>
        <v>0.0973451327433628</v>
      </c>
      <c r="AA32" s="87" t="n">
        <f aca="false">Z32</f>
        <v>0.0973451327433628</v>
      </c>
      <c r="AB32" s="86" t="n">
        <f aca="false">IFERROR((AB29-Z29)/Z29,0)</f>
        <v>0.0979689366786141</v>
      </c>
      <c r="AC32" s="86" t="n">
        <f aca="false">IFERROR((AC29-AB29)/AB29,0)</f>
        <v>0.0982045701849837</v>
      </c>
      <c r="AD32" s="86" t="n">
        <f aca="false">IFERROR((AD29-AC29)/AC29,0)</f>
        <v>0.0985880604409215</v>
      </c>
      <c r="AE32" s="86" t="n">
        <f aca="false">IFERROR((AE29-AD29)/AD29,0)</f>
        <v>0.0987598647125139</v>
      </c>
      <c r="AF32" s="86" t="n">
        <f aca="false">IFERROR((AF29-AE29)/AE29,0)</f>
        <v>0.0989123743074084</v>
      </c>
      <c r="AG32" s="86" t="n">
        <f aca="false">IFERROR((AG29-AF29)/AF29,0)</f>
        <v>0.0991596638655462</v>
      </c>
      <c r="AH32" s="86" t="n">
        <f aca="false">IFERROR((AH29-AG29)/AG29,0)</f>
        <v>0.099388379204893</v>
      </c>
      <c r="AI32" s="86" t="n">
        <f aca="false">IFERROR((AI29-AH29)/AH29,0)</f>
        <v>0.0993664039561119</v>
      </c>
      <c r="AJ32" s="86" t="n">
        <f aca="false">IFERROR((AJ29-AI29)/AI29,0)</f>
        <v>0.099522069159404</v>
      </c>
      <c r="AK32" s="86" t="n">
        <f aca="false">IFERROR((AK29-AJ29)/AJ29,0)</f>
        <v>0.099590897468678</v>
      </c>
      <c r="AL32" s="86" t="n">
        <f aca="false">IFERROR((AL29-AK29)/AK29,0)</f>
        <v>0.0996395767933963</v>
      </c>
      <c r="AM32" s="86" t="n">
        <f aca="false">IFERROR((AM29-AL29)/AL29,0)</f>
        <v>0.0997039543243812</v>
      </c>
      <c r="AN32" s="87" t="n">
        <f aca="false">AM32</f>
        <v>0.0997039543243812</v>
      </c>
      <c r="AO32" s="86" t="n">
        <f aca="false">IFERROR((AO29-AM29)/AM29,0)</f>
        <v>0.0997980963368909</v>
      </c>
      <c r="AP32" s="86" t="n">
        <f aca="false">IFERROR((AP29-AO29)/AO29,0)</f>
        <v>0.0998339015648221</v>
      </c>
      <c r="AQ32" s="86" t="n">
        <f aca="false">IFERROR((AQ29-AP29)/AP29,0)</f>
        <v>0.0998330816310308</v>
      </c>
      <c r="AR32" s="86" t="n">
        <f aca="false">IFERROR((AR29-AQ29)/AQ29,0)</f>
        <v>0.0998771409987716</v>
      </c>
      <c r="AS32" s="86" t="n">
        <f aca="false">IFERROR((AS29-AR29)/AR29,0)</f>
        <v>0.0998751560549313</v>
      </c>
      <c r="AT32" s="86" t="n">
        <f aca="false">IFERROR((AT29-AS29)/AS29,0)</f>
        <v>0.0998864926220204</v>
      </c>
      <c r="AU32" s="86" t="n">
        <f aca="false">IFERROR((AU29-AT29)/AT29,0)</f>
        <v>0.0998859377546032</v>
      </c>
      <c r="AV32" s="86" t="n">
        <f aca="false">IFERROR((AV29-AU29)/AU29,0)</f>
        <v>0.0999012345679012</v>
      </c>
      <c r="AW32" s="86" t="n">
        <f aca="false">IFERROR((AW29-AV29)/AV29,0)</f>
        <v>0.0999416333677547</v>
      </c>
      <c r="AX32" s="86" t="n">
        <f aca="false">IFERROR((AX29-AW29)/AW29,0)</f>
        <v>0.099963263806686</v>
      </c>
      <c r="AY32" s="86" t="n">
        <f aca="false">IFERROR((AY29-AX29)/AX29,0)</f>
        <v>0.0999703131957845</v>
      </c>
      <c r="AZ32" s="86" t="n">
        <f aca="false">IFERROR((AZ29-AY29)/AY29,0)</f>
        <v>0.0999595169016935</v>
      </c>
      <c r="BA32" s="88" t="n">
        <f aca="false">AZ32</f>
        <v>0.0999595169016935</v>
      </c>
      <c r="BB32" s="86" t="n">
        <f aca="false">IFERROR((BB29-AZ29)/AZ29,0)</f>
        <v>0.0999846649286919</v>
      </c>
      <c r="BC32" s="86" t="n">
        <f aca="false">IFERROR((BC29-BB29)/BB29,0)</f>
        <v>0.0999860588317301</v>
      </c>
      <c r="BD32" s="86" t="n">
        <f aca="false">IFERROR((BD29-BC29)/BC29,0)</f>
        <v>0.0999721173100809</v>
      </c>
      <c r="BE32" s="86" t="n">
        <f aca="false">IFERROR((BE29-BD29)/BD29,0)</f>
        <v>0.099988477935246</v>
      </c>
      <c r="BF32" s="86" t="n">
        <f aca="false">IFERROR((BF29-BE29)/BE29,0)</f>
        <v>0.0999916202287678</v>
      </c>
      <c r="BG32" s="86" t="n">
        <f aca="false">IFERROR((BG29-BF29)/BF29,0)</f>
        <v>0.100005713523911</v>
      </c>
      <c r="BH32" s="86" t="n">
        <f aca="false">IFERROR((BH29-BG29)/BG29,0)</f>
        <v>0.100003462723779</v>
      </c>
      <c r="BI32" s="86" t="n">
        <f aca="false">IFERROR((BI29-BH29)/BH29,0)</f>
        <v>0.0999937041584034</v>
      </c>
      <c r="BJ32" s="86" t="n">
        <f aca="false">IFERROR((BJ29-BI29)/BI29,0)</f>
        <v>0.100004292643839</v>
      </c>
      <c r="BK32" s="86" t="n">
        <f aca="false">IFERROR((BK29-BJ29)/BJ29,0)</f>
        <v>0.0999921952234766</v>
      </c>
      <c r="BL32" s="86" t="n">
        <f aca="false">IFERROR((BL29-BK29)/BK29,0)</f>
        <v>0.0999964523491364</v>
      </c>
      <c r="BM32" s="86" t="n">
        <f aca="false">IFERROR((BM29-BL29)/BL29,0)</f>
        <v>0.0999903245573485</v>
      </c>
      <c r="BN32" s="88" t="n">
        <f aca="false">BM32</f>
        <v>0.0999903245573485</v>
      </c>
    </row>
    <row r="33" customFormat="false" ht="6" hidden="false" customHeight="tru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66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66"/>
    </row>
    <row r="34" customFormat="false" ht="19.5" hidden="false" customHeight="true" outlineLevel="0" collapsed="false">
      <c r="A34" s="89" t="s">
        <v>214</v>
      </c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89"/>
      <c r="AQ34" s="89"/>
      <c r="AR34" s="89"/>
      <c r="AS34" s="89"/>
      <c r="AT34" s="89"/>
      <c r="AU34" s="89"/>
      <c r="AV34" s="89"/>
      <c r="AW34" s="89"/>
      <c r="AX34" s="89"/>
      <c r="AY34" s="89"/>
      <c r="AZ34" s="89"/>
      <c r="BA34" s="89"/>
      <c r="BB34" s="89"/>
      <c r="BC34" s="89"/>
      <c r="BD34" s="89"/>
      <c r="BE34" s="89"/>
      <c r="BF34" s="89"/>
      <c r="BG34" s="89"/>
      <c r="BH34" s="89"/>
      <c r="BI34" s="89"/>
      <c r="BJ34" s="89"/>
      <c r="BK34" s="89"/>
      <c r="BL34" s="89"/>
      <c r="BM34" s="89"/>
      <c r="BN34" s="89"/>
    </row>
    <row r="35" customFormat="false" ht="18" hidden="false" customHeight="true" outlineLevel="0" collapsed="false">
      <c r="A35" s="72" t="s">
        <v>215</v>
      </c>
      <c r="B35" s="73" t="n">
        <f aca="false">IFERROR(B16*ASSUMPTIONS!$B$39,0)</f>
        <v>1890</v>
      </c>
      <c r="C35" s="73" t="n">
        <f aca="false">IFERROR(C16*ASSUMPTIONS!$B$39,0)</f>
        <v>1994.4</v>
      </c>
      <c r="D35" s="73" t="n">
        <f aca="false">IFERROR(D16*ASSUMPTIONS!$B$39,0)</f>
        <v>2113.2</v>
      </c>
      <c r="E35" s="73" t="n">
        <f aca="false">IFERROR(E16*ASSUMPTIONS!$B$39,0)</f>
        <v>2250</v>
      </c>
      <c r="F35" s="73" t="n">
        <f aca="false">IFERROR(F16*ASSUMPTIONS!$B$39,0)</f>
        <v>2404.8</v>
      </c>
      <c r="G35" s="73" t="n">
        <f aca="false">IFERROR(G16*ASSUMPTIONS!$B$39,0)</f>
        <v>2577.6</v>
      </c>
      <c r="H35" s="73" t="n">
        <f aca="false">IFERROR(H16*ASSUMPTIONS!$B$39,0)</f>
        <v>2768.4</v>
      </c>
      <c r="I35" s="73" t="n">
        <f aca="false">IFERROR(I16*ASSUMPTIONS!$B$39,0)</f>
        <v>2984.4</v>
      </c>
      <c r="J35" s="73" t="n">
        <f aca="false">IFERROR(J16*ASSUMPTIONS!$B$39,0)</f>
        <v>3225.6</v>
      </c>
      <c r="K35" s="73" t="n">
        <f aca="false">IFERROR(K16*ASSUMPTIONS!$B$39,0)</f>
        <v>3492</v>
      </c>
      <c r="L35" s="73" t="n">
        <f aca="false">IFERROR(L16*ASSUMPTIONS!$B$39,0)</f>
        <v>3787.2</v>
      </c>
      <c r="M35" s="73" t="n">
        <f aca="false">IFERROR(M16*ASSUMPTIONS!$B$39,0)</f>
        <v>4114.8</v>
      </c>
      <c r="N35" s="70" t="n">
        <f aca="false">SUM(B35:M35)</f>
        <v>33602.4</v>
      </c>
      <c r="O35" s="73" t="n">
        <f aca="false">IFERROR(O16*ASSUMPTIONS!$C$39,0)</f>
        <v>4478.4</v>
      </c>
      <c r="P35" s="73" t="n">
        <f aca="false">IFERROR(P16*ASSUMPTIONS!$C$39,0)</f>
        <v>4881.6</v>
      </c>
      <c r="Q35" s="73" t="n">
        <f aca="false">IFERROR(Q16*ASSUMPTIONS!$C$39,0)</f>
        <v>5324.4</v>
      </c>
      <c r="R35" s="73" t="n">
        <f aca="false">IFERROR(R16*ASSUMPTIONS!$C$39,0)</f>
        <v>5814</v>
      </c>
      <c r="S35" s="73" t="n">
        <f aca="false">IFERROR(S16*ASSUMPTIONS!$C$39,0)</f>
        <v>6354</v>
      </c>
      <c r="T35" s="73" t="n">
        <f aca="false">IFERROR(T16*ASSUMPTIONS!$C$39,0)</f>
        <v>6951.6</v>
      </c>
      <c r="U35" s="73" t="n">
        <f aca="false">IFERROR(U16*ASSUMPTIONS!$C$39,0)</f>
        <v>7606.8</v>
      </c>
      <c r="V35" s="73" t="n">
        <f aca="false">IFERROR(V16*ASSUMPTIONS!$C$39,0)</f>
        <v>8330.4</v>
      </c>
      <c r="W35" s="73" t="n">
        <f aca="false">IFERROR(W16*ASSUMPTIONS!$C$39,0)</f>
        <v>9129.6</v>
      </c>
      <c r="X35" s="73" t="n">
        <f aca="false">IFERROR(X16*ASSUMPTIONS!$C$39,0)</f>
        <v>10011.6</v>
      </c>
      <c r="Y35" s="73" t="n">
        <f aca="false">IFERROR(Y16*ASSUMPTIONS!$C$39,0)</f>
        <v>10983.6</v>
      </c>
      <c r="Z35" s="73" t="n">
        <f aca="false">IFERROR(Z16*ASSUMPTIONS!$C$39,0)</f>
        <v>12052.8</v>
      </c>
      <c r="AA35" s="70" t="n">
        <f aca="false">SUM(O35:Z35)</f>
        <v>91918.8</v>
      </c>
      <c r="AB35" s="73" t="n">
        <f aca="false">IFERROR(AB16*ASSUMPTIONS!$D$39,0)</f>
        <v>13233.6</v>
      </c>
      <c r="AC35" s="73" t="n">
        <f aca="false">IFERROR(AC16*ASSUMPTIONS!$D$39,0)</f>
        <v>14533.2</v>
      </c>
      <c r="AD35" s="73" t="n">
        <f aca="false">IFERROR(AD16*ASSUMPTIONS!$D$39,0)</f>
        <v>15966</v>
      </c>
      <c r="AE35" s="73" t="n">
        <f aca="false">IFERROR(AE16*ASSUMPTIONS!$D$39,0)</f>
        <v>17542.8</v>
      </c>
      <c r="AF35" s="73" t="n">
        <f aca="false">IFERROR(AF16*ASSUMPTIONS!$D$39,0)</f>
        <v>19278</v>
      </c>
      <c r="AG35" s="73" t="n">
        <f aca="false">IFERROR(AG16*ASSUMPTIONS!$D$39,0)</f>
        <v>21189.6</v>
      </c>
      <c r="AH35" s="73" t="n">
        <f aca="false">IFERROR(AH16*ASSUMPTIONS!$D$39,0)</f>
        <v>23295.6</v>
      </c>
      <c r="AI35" s="73" t="n">
        <f aca="false">IFERROR(AI16*ASSUMPTIONS!$D$39,0)</f>
        <v>25610.4</v>
      </c>
      <c r="AJ35" s="73" t="n">
        <f aca="false">IFERROR(AJ16*ASSUMPTIONS!$D$39,0)</f>
        <v>28159.2</v>
      </c>
      <c r="AK35" s="73" t="n">
        <f aca="false">IFERROR(AK16*ASSUMPTIONS!$D$39,0)</f>
        <v>30963.6</v>
      </c>
      <c r="AL35" s="73" t="n">
        <f aca="false">IFERROR(AL16*ASSUMPTIONS!$D$39,0)</f>
        <v>34048.8</v>
      </c>
      <c r="AM35" s="73" t="n">
        <f aca="false">IFERROR(AM16*ASSUMPTIONS!$D$39,0)</f>
        <v>37443.6</v>
      </c>
      <c r="AN35" s="70" t="n">
        <f aca="false">SUM(AB35:AM35)</f>
        <v>281264.4</v>
      </c>
      <c r="AO35" s="73" t="n">
        <f aca="false">IFERROR(AO16*ASSUMPTIONS!$E$39,0)</f>
        <v>41180.4</v>
      </c>
      <c r="AP35" s="73" t="n">
        <f aca="false">IFERROR(AP16*ASSUMPTIONS!$E$39,0)</f>
        <v>45291.6</v>
      </c>
      <c r="AQ35" s="73" t="n">
        <f aca="false">IFERROR(AQ16*ASSUMPTIONS!$E$39,0)</f>
        <v>49813.2</v>
      </c>
      <c r="AR35" s="73" t="n">
        <f aca="false">IFERROR(AR16*ASSUMPTIONS!$E$39,0)</f>
        <v>54788.4</v>
      </c>
      <c r="AS35" s="73" t="n">
        <f aca="false">IFERROR(AS16*ASSUMPTIONS!$E$39,0)</f>
        <v>60260.4</v>
      </c>
      <c r="AT35" s="73" t="n">
        <f aca="false">IFERROR(AT16*ASSUMPTIONS!$E$39,0)</f>
        <v>66279.6</v>
      </c>
      <c r="AU35" s="73" t="n">
        <f aca="false">IFERROR(AU16*ASSUMPTIONS!$E$39,0)</f>
        <v>72900</v>
      </c>
      <c r="AV35" s="73" t="n">
        <f aca="false">IFERROR(AV16*ASSUMPTIONS!$E$39,0)</f>
        <v>80182.8</v>
      </c>
      <c r="AW35" s="73" t="n">
        <f aca="false">IFERROR(AW16*ASSUMPTIONS!$E$39,0)</f>
        <v>88196.4</v>
      </c>
      <c r="AX35" s="73" t="n">
        <f aca="false">IFERROR(AX16*ASSUMPTIONS!$E$39,0)</f>
        <v>97012.8</v>
      </c>
      <c r="AY35" s="73" t="n">
        <f aca="false">IFERROR(AY16*ASSUMPTIONS!$E$39,0)</f>
        <v>106711.2</v>
      </c>
      <c r="AZ35" s="73" t="n">
        <f aca="false">IFERROR(AZ16*ASSUMPTIONS!$E$39,0)</f>
        <v>117378</v>
      </c>
      <c r="BA35" s="71" t="n">
        <f aca="false">SUM(AO35:AZ35)</f>
        <v>879994.8</v>
      </c>
      <c r="BB35" s="73" t="n">
        <f aca="false">IFERROR(BB16*ASSUMPTIONS!$F$39,0)</f>
        <v>129114</v>
      </c>
      <c r="BC35" s="73" t="n">
        <f aca="false">IFERROR(BC16*ASSUMPTIONS!$F$39,0)</f>
        <v>142023.6</v>
      </c>
      <c r="BD35" s="73" t="n">
        <f aca="false">IFERROR(BD16*ASSUMPTIONS!$F$39,0)</f>
        <v>156222</v>
      </c>
      <c r="BE35" s="73" t="n">
        <f aca="false">IFERROR(BE16*ASSUMPTIONS!$F$39,0)</f>
        <v>171842.4</v>
      </c>
      <c r="BF35" s="73" t="n">
        <f aca="false">IFERROR(BF16*ASSUMPTIONS!$F$39,0)</f>
        <v>189025.2</v>
      </c>
      <c r="BG35" s="73" t="n">
        <f aca="false">IFERROR(BG16*ASSUMPTIONS!$F$39,0)</f>
        <v>207928.8</v>
      </c>
      <c r="BH35" s="73" t="n">
        <f aca="false">IFERROR(BH16*ASSUMPTIONS!$F$39,0)</f>
        <v>228722.4</v>
      </c>
      <c r="BI35" s="73" t="n">
        <f aca="false">IFERROR(BI16*ASSUMPTIONS!$F$39,0)</f>
        <v>251593.2</v>
      </c>
      <c r="BJ35" s="73" t="n">
        <f aca="false">IFERROR(BJ16*ASSUMPTIONS!$F$39,0)</f>
        <v>276753.6</v>
      </c>
      <c r="BK35" s="73" t="n">
        <f aca="false">IFERROR(BK16*ASSUMPTIONS!$F$39,0)</f>
        <v>304426.8</v>
      </c>
      <c r="BL35" s="73" t="n">
        <f aca="false">IFERROR(BL16*ASSUMPTIONS!$F$39,0)</f>
        <v>334868.4</v>
      </c>
      <c r="BM35" s="73" t="n">
        <f aca="false">IFERROR(BM16*ASSUMPTIONS!$F$39,0)</f>
        <v>368352</v>
      </c>
      <c r="BN35" s="71" t="n">
        <f aca="false">SUM(BB35:BM35)</f>
        <v>2760872.4</v>
      </c>
    </row>
    <row r="36" customFormat="false" ht="18" hidden="false" customHeight="true" outlineLevel="0" collapsed="false">
      <c r="A36" s="74" t="s">
        <v>216</v>
      </c>
      <c r="B36" s="73" t="n">
        <f aca="false">IFERROR(ASSUMPTIONS!$B$40,0)</f>
        <v>2000</v>
      </c>
      <c r="C36" s="73" t="n">
        <f aca="false">IFERROR(ASSUMPTIONS!$B$40,0)</f>
        <v>2000</v>
      </c>
      <c r="D36" s="73" t="n">
        <f aca="false">IFERROR(ASSUMPTIONS!$B$40,0)</f>
        <v>2000</v>
      </c>
      <c r="E36" s="73" t="n">
        <f aca="false">IFERROR(ASSUMPTIONS!$B$40,0)</f>
        <v>2000</v>
      </c>
      <c r="F36" s="73" t="n">
        <f aca="false">IFERROR(ASSUMPTIONS!$B$40,0)</f>
        <v>2000</v>
      </c>
      <c r="G36" s="73" t="n">
        <f aca="false">IFERROR(ASSUMPTIONS!$B$40,0)</f>
        <v>2000</v>
      </c>
      <c r="H36" s="73" t="n">
        <f aca="false">IFERROR(ASSUMPTIONS!$B$40,0)</f>
        <v>2000</v>
      </c>
      <c r="I36" s="73" t="n">
        <f aca="false">IFERROR(ASSUMPTIONS!$B$40,0)</f>
        <v>2000</v>
      </c>
      <c r="J36" s="73" t="n">
        <f aca="false">IFERROR(ASSUMPTIONS!$B$40,0)</f>
        <v>2000</v>
      </c>
      <c r="K36" s="73" t="n">
        <f aca="false">IFERROR(ASSUMPTIONS!$B$40,0)</f>
        <v>2000</v>
      </c>
      <c r="L36" s="73" t="n">
        <f aca="false">IFERROR(ASSUMPTIONS!$B$40,0)</f>
        <v>2000</v>
      </c>
      <c r="M36" s="73" t="n">
        <f aca="false">IFERROR(ASSUMPTIONS!$B$40,0)</f>
        <v>2000</v>
      </c>
      <c r="N36" s="70" t="n">
        <f aca="false">SUM(B36:M36)</f>
        <v>24000</v>
      </c>
      <c r="O36" s="73" t="n">
        <f aca="false">IFERROR(ASSUMPTIONS!$C$40,0)</f>
        <v>2000</v>
      </c>
      <c r="P36" s="73" t="n">
        <f aca="false">IFERROR(ASSUMPTIONS!$C$40,0)</f>
        <v>2000</v>
      </c>
      <c r="Q36" s="73" t="n">
        <f aca="false">IFERROR(ASSUMPTIONS!$C$40,0)</f>
        <v>2000</v>
      </c>
      <c r="R36" s="73" t="n">
        <f aca="false">IFERROR(ASSUMPTIONS!$C$40,0)</f>
        <v>2000</v>
      </c>
      <c r="S36" s="73" t="n">
        <f aca="false">IFERROR(ASSUMPTIONS!$C$40,0)</f>
        <v>2000</v>
      </c>
      <c r="T36" s="73" t="n">
        <f aca="false">IFERROR(ASSUMPTIONS!$C$40,0)</f>
        <v>2000</v>
      </c>
      <c r="U36" s="73" t="n">
        <f aca="false">IFERROR(ASSUMPTIONS!$C$40,0)</f>
        <v>2000</v>
      </c>
      <c r="V36" s="73" t="n">
        <f aca="false">IFERROR(ASSUMPTIONS!$C$40,0)</f>
        <v>2000</v>
      </c>
      <c r="W36" s="73" t="n">
        <f aca="false">IFERROR(ASSUMPTIONS!$C$40,0)</f>
        <v>2000</v>
      </c>
      <c r="X36" s="73" t="n">
        <f aca="false">IFERROR(ASSUMPTIONS!$C$40,0)</f>
        <v>2000</v>
      </c>
      <c r="Y36" s="73" t="n">
        <f aca="false">IFERROR(ASSUMPTIONS!$C$40,0)</f>
        <v>2000</v>
      </c>
      <c r="Z36" s="73" t="n">
        <f aca="false">IFERROR(ASSUMPTIONS!$C$40,0)</f>
        <v>2000</v>
      </c>
      <c r="AA36" s="70" t="n">
        <f aca="false">SUM(O36:Z36)</f>
        <v>24000</v>
      </c>
      <c r="AB36" s="73" t="n">
        <f aca="false">IFERROR(ASSUMPTIONS!$D$40,0)</f>
        <v>2000</v>
      </c>
      <c r="AC36" s="73" t="n">
        <f aca="false">IFERROR(ASSUMPTIONS!$D$40,0)</f>
        <v>2000</v>
      </c>
      <c r="AD36" s="73" t="n">
        <f aca="false">IFERROR(ASSUMPTIONS!$D$40,0)</f>
        <v>2000</v>
      </c>
      <c r="AE36" s="73" t="n">
        <f aca="false">IFERROR(ASSUMPTIONS!$D$40,0)</f>
        <v>2000</v>
      </c>
      <c r="AF36" s="73" t="n">
        <f aca="false">IFERROR(ASSUMPTIONS!$D$40,0)</f>
        <v>2000</v>
      </c>
      <c r="AG36" s="73" t="n">
        <f aca="false">IFERROR(ASSUMPTIONS!$D$40,0)</f>
        <v>2000</v>
      </c>
      <c r="AH36" s="73" t="n">
        <f aca="false">IFERROR(ASSUMPTIONS!$D$40,0)</f>
        <v>2000</v>
      </c>
      <c r="AI36" s="73" t="n">
        <f aca="false">IFERROR(ASSUMPTIONS!$D$40,0)</f>
        <v>2000</v>
      </c>
      <c r="AJ36" s="73" t="n">
        <f aca="false">IFERROR(ASSUMPTIONS!$D$40,0)</f>
        <v>2000</v>
      </c>
      <c r="AK36" s="73" t="n">
        <f aca="false">IFERROR(ASSUMPTIONS!$D$40,0)</f>
        <v>2000</v>
      </c>
      <c r="AL36" s="73" t="n">
        <f aca="false">IFERROR(ASSUMPTIONS!$D$40,0)</f>
        <v>2000</v>
      </c>
      <c r="AM36" s="73" t="n">
        <f aca="false">IFERROR(ASSUMPTIONS!$D$40,0)</f>
        <v>2000</v>
      </c>
      <c r="AN36" s="70" t="n">
        <f aca="false">SUM(AB36:AM36)</f>
        <v>24000</v>
      </c>
      <c r="AO36" s="73" t="n">
        <f aca="false">IFERROR(ASSUMPTIONS!$E$40,0)</f>
        <v>2000</v>
      </c>
      <c r="AP36" s="73" t="n">
        <f aca="false">IFERROR(ASSUMPTIONS!$E$40,0)</f>
        <v>2000</v>
      </c>
      <c r="AQ36" s="73" t="n">
        <f aca="false">IFERROR(ASSUMPTIONS!$E$40,0)</f>
        <v>2000</v>
      </c>
      <c r="AR36" s="73" t="n">
        <f aca="false">IFERROR(ASSUMPTIONS!$E$40,0)</f>
        <v>2000</v>
      </c>
      <c r="AS36" s="73" t="n">
        <f aca="false">IFERROR(ASSUMPTIONS!$E$40,0)</f>
        <v>2000</v>
      </c>
      <c r="AT36" s="73" t="n">
        <f aca="false">IFERROR(ASSUMPTIONS!$E$40,0)</f>
        <v>2000</v>
      </c>
      <c r="AU36" s="73" t="n">
        <f aca="false">IFERROR(ASSUMPTIONS!$E$40,0)</f>
        <v>2000</v>
      </c>
      <c r="AV36" s="73" t="n">
        <f aca="false">IFERROR(ASSUMPTIONS!$E$40,0)</f>
        <v>2000</v>
      </c>
      <c r="AW36" s="73" t="n">
        <f aca="false">IFERROR(ASSUMPTIONS!$E$40,0)</f>
        <v>2000</v>
      </c>
      <c r="AX36" s="73" t="n">
        <f aca="false">IFERROR(ASSUMPTIONS!$E$40,0)</f>
        <v>2000</v>
      </c>
      <c r="AY36" s="73" t="n">
        <f aca="false">IFERROR(ASSUMPTIONS!$E$40,0)</f>
        <v>2000</v>
      </c>
      <c r="AZ36" s="73" t="n">
        <f aca="false">IFERROR(ASSUMPTIONS!$E$40,0)</f>
        <v>2000</v>
      </c>
      <c r="BA36" s="71" t="n">
        <f aca="false">SUM(AO36:AZ36)</f>
        <v>24000</v>
      </c>
      <c r="BB36" s="73" t="n">
        <f aca="false">IFERROR(ASSUMPTIONS!$F$40,0)</f>
        <v>2000</v>
      </c>
      <c r="BC36" s="73" t="n">
        <f aca="false">IFERROR(ASSUMPTIONS!$F$40,0)</f>
        <v>2000</v>
      </c>
      <c r="BD36" s="73" t="n">
        <f aca="false">IFERROR(ASSUMPTIONS!$F$40,0)</f>
        <v>2000</v>
      </c>
      <c r="BE36" s="73" t="n">
        <f aca="false">IFERROR(ASSUMPTIONS!$F$40,0)</f>
        <v>2000</v>
      </c>
      <c r="BF36" s="73" t="n">
        <f aca="false">IFERROR(ASSUMPTIONS!$F$40,0)</f>
        <v>2000</v>
      </c>
      <c r="BG36" s="73" t="n">
        <f aca="false">IFERROR(ASSUMPTIONS!$F$40,0)</f>
        <v>2000</v>
      </c>
      <c r="BH36" s="73" t="n">
        <f aca="false">IFERROR(ASSUMPTIONS!$F$40,0)</f>
        <v>2000</v>
      </c>
      <c r="BI36" s="73" t="n">
        <f aca="false">IFERROR(ASSUMPTIONS!$F$40,0)</f>
        <v>2000</v>
      </c>
      <c r="BJ36" s="73" t="n">
        <f aca="false">IFERROR(ASSUMPTIONS!$F$40,0)</f>
        <v>2000</v>
      </c>
      <c r="BK36" s="73" t="n">
        <f aca="false">IFERROR(ASSUMPTIONS!$F$40,0)</f>
        <v>2000</v>
      </c>
      <c r="BL36" s="73" t="n">
        <f aca="false">IFERROR(ASSUMPTIONS!$F$40,0)</f>
        <v>2000</v>
      </c>
      <c r="BM36" s="73" t="n">
        <f aca="false">IFERROR(ASSUMPTIONS!$F$40,0)</f>
        <v>2000</v>
      </c>
      <c r="BN36" s="71" t="n">
        <f aca="false">SUM(BB36:BM36)</f>
        <v>24000</v>
      </c>
    </row>
    <row r="37" customFormat="false" ht="18" hidden="false" customHeight="true" outlineLevel="0" collapsed="false">
      <c r="A37" s="72" t="s">
        <v>217</v>
      </c>
      <c r="B37" s="73" t="n">
        <f aca="false">IFERROR(IFERROR(B16/ASSUMPTIONS!$B$15,0)*ASSUMPTIONS!$B$41/1000,0)</f>
        <v>31.5</v>
      </c>
      <c r="C37" s="73" t="n">
        <f aca="false">IFERROR(IFERROR(C16/ASSUMPTIONS!$B$15,0)*ASSUMPTIONS!$B$41/1000,0)</f>
        <v>33.24</v>
      </c>
      <c r="D37" s="73" t="n">
        <f aca="false">IFERROR(IFERROR(D16/ASSUMPTIONS!$B$15,0)*ASSUMPTIONS!$B$41/1000,0)</f>
        <v>35.22</v>
      </c>
      <c r="E37" s="73" t="n">
        <f aca="false">IFERROR(IFERROR(E16/ASSUMPTIONS!$B$15,0)*ASSUMPTIONS!$B$41/1000,0)</f>
        <v>37.5</v>
      </c>
      <c r="F37" s="73" t="n">
        <f aca="false">IFERROR(IFERROR(F16/ASSUMPTIONS!$B$15,0)*ASSUMPTIONS!$B$41/1000,0)</f>
        <v>40.08</v>
      </c>
      <c r="G37" s="73" t="n">
        <f aca="false">IFERROR(IFERROR(G16/ASSUMPTIONS!$B$15,0)*ASSUMPTIONS!$B$41/1000,0)</f>
        <v>42.96</v>
      </c>
      <c r="H37" s="73" t="n">
        <f aca="false">IFERROR(IFERROR(H16/ASSUMPTIONS!$B$15,0)*ASSUMPTIONS!$B$41/1000,0)</f>
        <v>46.14</v>
      </c>
      <c r="I37" s="73" t="n">
        <f aca="false">IFERROR(IFERROR(I16/ASSUMPTIONS!$B$15,0)*ASSUMPTIONS!$B$41/1000,0)</f>
        <v>49.74</v>
      </c>
      <c r="J37" s="73" t="n">
        <f aca="false">IFERROR(IFERROR(J16/ASSUMPTIONS!$B$15,0)*ASSUMPTIONS!$B$41/1000,0)</f>
        <v>53.76</v>
      </c>
      <c r="K37" s="73" t="n">
        <f aca="false">IFERROR(IFERROR(K16/ASSUMPTIONS!$B$15,0)*ASSUMPTIONS!$B$41/1000,0)</f>
        <v>58.2</v>
      </c>
      <c r="L37" s="73" t="n">
        <f aca="false">IFERROR(IFERROR(L16/ASSUMPTIONS!$B$15,0)*ASSUMPTIONS!$B$41/1000,0)</f>
        <v>63.12</v>
      </c>
      <c r="M37" s="73" t="n">
        <f aca="false">IFERROR(IFERROR(M16/ASSUMPTIONS!$B$15,0)*ASSUMPTIONS!$B$41/1000,0)</f>
        <v>68.58</v>
      </c>
      <c r="N37" s="70" t="n">
        <f aca="false">SUM(B37:M37)</f>
        <v>560.04</v>
      </c>
      <c r="O37" s="73" t="n">
        <f aca="false">IFERROR(IFERROR(O16/ASSUMPTIONS!$C$15,0)*ASSUMPTIONS!$C$41/1000,0)</f>
        <v>74.64</v>
      </c>
      <c r="P37" s="73" t="n">
        <f aca="false">IFERROR(IFERROR(P16/ASSUMPTIONS!$C$15,0)*ASSUMPTIONS!$C$41/1000,0)</f>
        <v>81.36</v>
      </c>
      <c r="Q37" s="73" t="n">
        <f aca="false">IFERROR(IFERROR(Q16/ASSUMPTIONS!$C$15,0)*ASSUMPTIONS!$C$41/1000,0)</f>
        <v>88.74</v>
      </c>
      <c r="R37" s="73" t="n">
        <f aca="false">IFERROR(IFERROR(R16/ASSUMPTIONS!$C$15,0)*ASSUMPTIONS!$C$41/1000,0)</f>
        <v>96.9</v>
      </c>
      <c r="S37" s="73" t="n">
        <f aca="false">IFERROR(IFERROR(S16/ASSUMPTIONS!$C$15,0)*ASSUMPTIONS!$C$41/1000,0)</f>
        <v>105.9</v>
      </c>
      <c r="T37" s="73" t="n">
        <f aca="false">IFERROR(IFERROR(T16/ASSUMPTIONS!$C$15,0)*ASSUMPTIONS!$C$41/1000,0)</f>
        <v>115.86</v>
      </c>
      <c r="U37" s="73" t="n">
        <f aca="false">IFERROR(IFERROR(U16/ASSUMPTIONS!$C$15,0)*ASSUMPTIONS!$C$41/1000,0)</f>
        <v>126.78</v>
      </c>
      <c r="V37" s="73" t="n">
        <f aca="false">IFERROR(IFERROR(V16/ASSUMPTIONS!$C$15,0)*ASSUMPTIONS!$C$41/1000,0)</f>
        <v>138.84</v>
      </c>
      <c r="W37" s="73" t="n">
        <f aca="false">IFERROR(IFERROR(W16/ASSUMPTIONS!$C$15,0)*ASSUMPTIONS!$C$41/1000,0)</f>
        <v>152.16</v>
      </c>
      <c r="X37" s="73" t="n">
        <f aca="false">IFERROR(IFERROR(X16/ASSUMPTIONS!$C$15,0)*ASSUMPTIONS!$C$41/1000,0)</f>
        <v>166.86</v>
      </c>
      <c r="Y37" s="73" t="n">
        <f aca="false">IFERROR(IFERROR(Y16/ASSUMPTIONS!$C$15,0)*ASSUMPTIONS!$C$41/1000,0)</f>
        <v>183.06</v>
      </c>
      <c r="Z37" s="73" t="n">
        <f aca="false">IFERROR(IFERROR(Z16/ASSUMPTIONS!$C$15,0)*ASSUMPTIONS!$C$41/1000,0)</f>
        <v>200.88</v>
      </c>
      <c r="AA37" s="70" t="n">
        <f aca="false">SUM(O37:Z37)</f>
        <v>1531.98</v>
      </c>
      <c r="AB37" s="73" t="n">
        <f aca="false">IFERROR(IFERROR(AB16/ASSUMPTIONS!$D$15,0)*ASSUMPTIONS!$D$41/1000,0)</f>
        <v>220.56</v>
      </c>
      <c r="AC37" s="73" t="n">
        <f aca="false">IFERROR(IFERROR(AC16/ASSUMPTIONS!$D$15,0)*ASSUMPTIONS!$D$41/1000,0)</f>
        <v>242.22</v>
      </c>
      <c r="AD37" s="73" t="n">
        <f aca="false">IFERROR(IFERROR(AD16/ASSUMPTIONS!$D$15,0)*ASSUMPTIONS!$D$41/1000,0)</f>
        <v>266.1</v>
      </c>
      <c r="AE37" s="73" t="n">
        <f aca="false">IFERROR(IFERROR(AE16/ASSUMPTIONS!$D$15,0)*ASSUMPTIONS!$D$41/1000,0)</f>
        <v>292.38</v>
      </c>
      <c r="AF37" s="73" t="n">
        <f aca="false">IFERROR(IFERROR(AF16/ASSUMPTIONS!$D$15,0)*ASSUMPTIONS!$D$41/1000,0)</f>
        <v>321.3</v>
      </c>
      <c r="AG37" s="73" t="n">
        <f aca="false">IFERROR(IFERROR(AG16/ASSUMPTIONS!$D$15,0)*ASSUMPTIONS!$D$41/1000,0)</f>
        <v>353.16</v>
      </c>
      <c r="AH37" s="73" t="n">
        <f aca="false">IFERROR(IFERROR(AH16/ASSUMPTIONS!$D$15,0)*ASSUMPTIONS!$D$41/1000,0)</f>
        <v>388.26</v>
      </c>
      <c r="AI37" s="73" t="n">
        <f aca="false">IFERROR(IFERROR(AI16/ASSUMPTIONS!$D$15,0)*ASSUMPTIONS!$D$41/1000,0)</f>
        <v>426.84</v>
      </c>
      <c r="AJ37" s="73" t="n">
        <f aca="false">IFERROR(IFERROR(AJ16/ASSUMPTIONS!$D$15,0)*ASSUMPTIONS!$D$41/1000,0)</f>
        <v>469.32</v>
      </c>
      <c r="AK37" s="73" t="n">
        <f aca="false">IFERROR(IFERROR(AK16/ASSUMPTIONS!$D$15,0)*ASSUMPTIONS!$D$41/1000,0)</f>
        <v>516.06</v>
      </c>
      <c r="AL37" s="73" t="n">
        <f aca="false">IFERROR(IFERROR(AL16/ASSUMPTIONS!$D$15,0)*ASSUMPTIONS!$D$41/1000,0)</f>
        <v>567.48</v>
      </c>
      <c r="AM37" s="73" t="n">
        <f aca="false">IFERROR(IFERROR(AM16/ASSUMPTIONS!$D$15,0)*ASSUMPTIONS!$D$41/1000,0)</f>
        <v>624.06</v>
      </c>
      <c r="AN37" s="70" t="n">
        <f aca="false">SUM(AB37:AM37)</f>
        <v>4687.74</v>
      </c>
      <c r="AO37" s="73" t="n">
        <f aca="false">IFERROR(IFERROR(AO16/ASSUMPTIONS!$E$15,0)*ASSUMPTIONS!$E$41/1000,0)</f>
        <v>686.34</v>
      </c>
      <c r="AP37" s="73" t="n">
        <f aca="false">IFERROR(IFERROR(AP16/ASSUMPTIONS!$E$15,0)*ASSUMPTIONS!$E$41/1000,0)</f>
        <v>754.86</v>
      </c>
      <c r="AQ37" s="73" t="n">
        <f aca="false">IFERROR(IFERROR(AQ16/ASSUMPTIONS!$E$15,0)*ASSUMPTIONS!$E$41/1000,0)</f>
        <v>830.22</v>
      </c>
      <c r="AR37" s="73" t="n">
        <f aca="false">IFERROR(IFERROR(AR16/ASSUMPTIONS!$E$15,0)*ASSUMPTIONS!$E$41/1000,0)</f>
        <v>913.14</v>
      </c>
      <c r="AS37" s="73" t="n">
        <f aca="false">IFERROR(IFERROR(AS16/ASSUMPTIONS!$E$15,0)*ASSUMPTIONS!$E$41/1000,0)</f>
        <v>1004.34</v>
      </c>
      <c r="AT37" s="73" t="n">
        <f aca="false">IFERROR(IFERROR(AT16/ASSUMPTIONS!$E$15,0)*ASSUMPTIONS!$E$41/1000,0)</f>
        <v>1104.66</v>
      </c>
      <c r="AU37" s="73" t="n">
        <f aca="false">IFERROR(IFERROR(AU16/ASSUMPTIONS!$E$15,0)*ASSUMPTIONS!$E$41/1000,0)</f>
        <v>1215</v>
      </c>
      <c r="AV37" s="73" t="n">
        <f aca="false">IFERROR(IFERROR(AV16/ASSUMPTIONS!$E$15,0)*ASSUMPTIONS!$E$41/1000,0)</f>
        <v>1336.38</v>
      </c>
      <c r="AW37" s="73" t="n">
        <f aca="false">IFERROR(IFERROR(AW16/ASSUMPTIONS!$E$15,0)*ASSUMPTIONS!$E$41/1000,0)</f>
        <v>1469.94</v>
      </c>
      <c r="AX37" s="73" t="n">
        <f aca="false">IFERROR(IFERROR(AX16/ASSUMPTIONS!$E$15,0)*ASSUMPTIONS!$E$41/1000,0)</f>
        <v>1616.88</v>
      </c>
      <c r="AY37" s="73" t="n">
        <f aca="false">IFERROR(IFERROR(AY16/ASSUMPTIONS!$E$15,0)*ASSUMPTIONS!$E$41/1000,0)</f>
        <v>1778.52</v>
      </c>
      <c r="AZ37" s="73" t="n">
        <f aca="false">IFERROR(IFERROR(AZ16/ASSUMPTIONS!$E$15,0)*ASSUMPTIONS!$E$41/1000,0)</f>
        <v>1956.3</v>
      </c>
      <c r="BA37" s="71" t="n">
        <f aca="false">SUM(AO37:AZ37)</f>
        <v>14666.58</v>
      </c>
      <c r="BB37" s="73" t="n">
        <f aca="false">IFERROR(IFERROR(BB16/ASSUMPTIONS!$F$15,0)*ASSUMPTIONS!$F$41/1000,0)</f>
        <v>2151.9</v>
      </c>
      <c r="BC37" s="73" t="n">
        <f aca="false">IFERROR(IFERROR(BC16/ASSUMPTIONS!$F$15,0)*ASSUMPTIONS!$F$41/1000,0)</f>
        <v>2367.06</v>
      </c>
      <c r="BD37" s="73" t="n">
        <f aca="false">IFERROR(IFERROR(BD16/ASSUMPTIONS!$F$15,0)*ASSUMPTIONS!$F$41/1000,0)</f>
        <v>2603.7</v>
      </c>
      <c r="BE37" s="73" t="n">
        <f aca="false">IFERROR(IFERROR(BE16/ASSUMPTIONS!$F$15,0)*ASSUMPTIONS!$F$41/1000,0)</f>
        <v>2864.04</v>
      </c>
      <c r="BF37" s="73" t="n">
        <f aca="false">IFERROR(IFERROR(BF16/ASSUMPTIONS!$F$15,0)*ASSUMPTIONS!$F$41/1000,0)</f>
        <v>3150.42</v>
      </c>
      <c r="BG37" s="73" t="n">
        <f aca="false">IFERROR(IFERROR(BG16/ASSUMPTIONS!$F$15,0)*ASSUMPTIONS!$F$41/1000,0)</f>
        <v>3465.48</v>
      </c>
      <c r="BH37" s="73" t="n">
        <f aca="false">IFERROR(IFERROR(BH16/ASSUMPTIONS!$F$15,0)*ASSUMPTIONS!$F$41/1000,0)</f>
        <v>3812.04</v>
      </c>
      <c r="BI37" s="73" t="n">
        <f aca="false">IFERROR(IFERROR(BI16/ASSUMPTIONS!$F$15,0)*ASSUMPTIONS!$F$41/1000,0)</f>
        <v>4193.22</v>
      </c>
      <c r="BJ37" s="73" t="n">
        <f aca="false">IFERROR(IFERROR(BJ16/ASSUMPTIONS!$F$15,0)*ASSUMPTIONS!$F$41/1000,0)</f>
        <v>4612.56</v>
      </c>
      <c r="BK37" s="73" t="n">
        <f aca="false">IFERROR(IFERROR(BK16/ASSUMPTIONS!$F$15,0)*ASSUMPTIONS!$F$41/1000,0)</f>
        <v>5073.78</v>
      </c>
      <c r="BL37" s="73" t="n">
        <f aca="false">IFERROR(IFERROR(BL16/ASSUMPTIONS!$F$15,0)*ASSUMPTIONS!$F$41/1000,0)</f>
        <v>5581.14</v>
      </c>
      <c r="BM37" s="73" t="n">
        <f aca="false">IFERROR(IFERROR(BM16/ASSUMPTIONS!$F$15,0)*ASSUMPTIONS!$F$41/1000,0)</f>
        <v>6139.2</v>
      </c>
      <c r="BN37" s="71" t="n">
        <f aca="false">SUM(BB37:BM37)</f>
        <v>46014.54</v>
      </c>
    </row>
    <row r="38" customFormat="false" ht="18" hidden="false" customHeight="true" outlineLevel="0" collapsed="false">
      <c r="A38" s="74" t="s">
        <v>218</v>
      </c>
      <c r="B38" s="73" t="n">
        <f aca="false">IFERROR((B9+B13)/100*ASSUMPTIONS!$B$42,0)</f>
        <v>2835</v>
      </c>
      <c r="C38" s="73" t="n">
        <f aca="false">IFERROR((C9+C13)/100*ASSUMPTIONS!$B$42,0)</f>
        <v>2780</v>
      </c>
      <c r="D38" s="73" t="n">
        <f aca="false">IFERROR((D9+D13)/100*ASSUMPTIONS!$B$42,0)</f>
        <v>2935</v>
      </c>
      <c r="E38" s="73" t="n">
        <f aca="false">IFERROR((E9+E13)/100*ASSUMPTIONS!$B$42,0)</f>
        <v>3125</v>
      </c>
      <c r="F38" s="73" t="n">
        <f aca="false">IFERROR((F9+F13)/100*ASSUMPTIONS!$B$42,0)</f>
        <v>3340</v>
      </c>
      <c r="G38" s="73" t="n">
        <f aca="false">IFERROR((G9+G13)/100*ASSUMPTIONS!$B$42,0)</f>
        <v>3580</v>
      </c>
      <c r="H38" s="73" t="n">
        <f aca="false">IFERROR((H9+H13)/100*ASSUMPTIONS!$B$42,0)</f>
        <v>3845</v>
      </c>
      <c r="I38" s="73" t="n">
        <f aca="false">IFERROR((I9+I13)/100*ASSUMPTIONS!$B$42,0)</f>
        <v>4145</v>
      </c>
      <c r="J38" s="73" t="n">
        <f aca="false">IFERROR((J9+J13)/100*ASSUMPTIONS!$B$42,0)</f>
        <v>4480</v>
      </c>
      <c r="K38" s="73" t="n">
        <f aca="false">IFERROR((K9+K13)/100*ASSUMPTIONS!$B$42,0)</f>
        <v>4850</v>
      </c>
      <c r="L38" s="73" t="n">
        <f aca="false">IFERROR((L9+L13)/100*ASSUMPTIONS!$B$42,0)</f>
        <v>5260</v>
      </c>
      <c r="M38" s="73" t="n">
        <f aca="false">IFERROR((M9+M13)/100*ASSUMPTIONS!$B$42,0)</f>
        <v>5715</v>
      </c>
      <c r="N38" s="70" t="n">
        <f aca="false">SUM(B38:M38)</f>
        <v>46890</v>
      </c>
      <c r="O38" s="73" t="n">
        <f aca="false">IFERROR((O9+O13)/100*ASSUMPTIONS!$C$42,0)</f>
        <v>6220</v>
      </c>
      <c r="P38" s="73" t="n">
        <f aca="false">IFERROR((P9+P13)/100*ASSUMPTIONS!$C$42,0)</f>
        <v>6780</v>
      </c>
      <c r="Q38" s="73" t="n">
        <f aca="false">IFERROR((Q9+Q13)/100*ASSUMPTIONS!$C$42,0)</f>
        <v>7395</v>
      </c>
      <c r="R38" s="73" t="n">
        <f aca="false">IFERROR((R9+R13)/100*ASSUMPTIONS!$C$42,0)</f>
        <v>8075</v>
      </c>
      <c r="S38" s="73" t="n">
        <f aca="false">IFERROR((S9+S13)/100*ASSUMPTIONS!$C$42,0)</f>
        <v>8825</v>
      </c>
      <c r="T38" s="73" t="n">
        <f aca="false">IFERROR((T9+T13)/100*ASSUMPTIONS!$C$42,0)</f>
        <v>9655</v>
      </c>
      <c r="U38" s="73" t="n">
        <f aca="false">IFERROR((U9+U13)/100*ASSUMPTIONS!$C$42,0)</f>
        <v>10565</v>
      </c>
      <c r="V38" s="73" t="n">
        <f aca="false">IFERROR((V9+V13)/100*ASSUMPTIONS!$C$42,0)</f>
        <v>11570</v>
      </c>
      <c r="W38" s="73" t="n">
        <f aca="false">IFERROR((W9+W13)/100*ASSUMPTIONS!$C$42,0)</f>
        <v>12680</v>
      </c>
      <c r="X38" s="73" t="n">
        <f aca="false">IFERROR((X9+X13)/100*ASSUMPTIONS!$C$42,0)</f>
        <v>13905</v>
      </c>
      <c r="Y38" s="73" t="n">
        <f aca="false">IFERROR((Y9+Y13)/100*ASSUMPTIONS!$C$42,0)</f>
        <v>15255</v>
      </c>
      <c r="Z38" s="73" t="n">
        <f aca="false">IFERROR((Z9+Z13)/100*ASSUMPTIONS!$C$42,0)</f>
        <v>16740</v>
      </c>
      <c r="AA38" s="70" t="n">
        <f aca="false">SUM(O38:Z38)</f>
        <v>127665</v>
      </c>
      <c r="AB38" s="73" t="n">
        <f aca="false">IFERROR((AB9+AB13)/100*ASSUMPTIONS!$D$42,0)</f>
        <v>18380</v>
      </c>
      <c r="AC38" s="73" t="n">
        <f aca="false">IFERROR((AC9+AC13)/100*ASSUMPTIONS!$D$42,0)</f>
        <v>20185</v>
      </c>
      <c r="AD38" s="73" t="n">
        <f aca="false">IFERROR((AD9+AD13)/100*ASSUMPTIONS!$D$42,0)</f>
        <v>22175</v>
      </c>
      <c r="AE38" s="73" t="n">
        <f aca="false">IFERROR((AE9+AE13)/100*ASSUMPTIONS!$D$42,0)</f>
        <v>24365</v>
      </c>
      <c r="AF38" s="73" t="n">
        <f aca="false">IFERROR((AF9+AF13)/100*ASSUMPTIONS!$D$42,0)</f>
        <v>26775</v>
      </c>
      <c r="AG38" s="73" t="n">
        <f aca="false">IFERROR((AG9+AG13)/100*ASSUMPTIONS!$D$42,0)</f>
        <v>29430</v>
      </c>
      <c r="AH38" s="73" t="n">
        <f aca="false">IFERROR((AH9+AH13)/100*ASSUMPTIONS!$D$42,0)</f>
        <v>32355</v>
      </c>
      <c r="AI38" s="73" t="n">
        <f aca="false">IFERROR((AI9+AI13)/100*ASSUMPTIONS!$D$42,0)</f>
        <v>35570</v>
      </c>
      <c r="AJ38" s="73" t="n">
        <f aca="false">IFERROR((AJ9+AJ13)/100*ASSUMPTIONS!$D$42,0)</f>
        <v>39110</v>
      </c>
      <c r="AK38" s="73" t="n">
        <f aca="false">IFERROR((AK9+AK13)/100*ASSUMPTIONS!$D$42,0)</f>
        <v>43005</v>
      </c>
      <c r="AL38" s="73" t="n">
        <f aca="false">IFERROR((AL9+AL13)/100*ASSUMPTIONS!$D$42,0)</f>
        <v>47290</v>
      </c>
      <c r="AM38" s="73" t="n">
        <f aca="false">IFERROR((AM9+AM13)/100*ASSUMPTIONS!$D$42,0)</f>
        <v>52005</v>
      </c>
      <c r="AN38" s="70" t="n">
        <f aca="false">SUM(AB38:AM38)</f>
        <v>390645</v>
      </c>
      <c r="AO38" s="73" t="n">
        <f aca="false">IFERROR((AO9+AO13)/100*ASSUMPTIONS!$E$42,0)</f>
        <v>57195</v>
      </c>
      <c r="AP38" s="73" t="n">
        <f aca="false">IFERROR((AP9+AP13)/100*ASSUMPTIONS!$E$42,0)</f>
        <v>62905</v>
      </c>
      <c r="AQ38" s="73" t="n">
        <f aca="false">IFERROR((AQ9+AQ13)/100*ASSUMPTIONS!$E$42,0)</f>
        <v>69185</v>
      </c>
      <c r="AR38" s="73" t="n">
        <f aca="false">IFERROR((AR9+AR13)/100*ASSUMPTIONS!$E$42,0)</f>
        <v>76095</v>
      </c>
      <c r="AS38" s="73" t="n">
        <f aca="false">IFERROR((AS9+AS13)/100*ASSUMPTIONS!$E$42,0)</f>
        <v>83695</v>
      </c>
      <c r="AT38" s="73" t="n">
        <f aca="false">IFERROR((AT9+AT13)/100*ASSUMPTIONS!$E$42,0)</f>
        <v>92055</v>
      </c>
      <c r="AU38" s="73" t="n">
        <f aca="false">IFERROR((AU9+AU13)/100*ASSUMPTIONS!$E$42,0)</f>
        <v>101250</v>
      </c>
      <c r="AV38" s="73" t="n">
        <f aca="false">IFERROR((AV9+AV13)/100*ASSUMPTIONS!$E$42,0)</f>
        <v>111365</v>
      </c>
      <c r="AW38" s="73" t="n">
        <f aca="false">IFERROR((AW9+AW13)/100*ASSUMPTIONS!$E$42,0)</f>
        <v>122495</v>
      </c>
      <c r="AX38" s="73" t="n">
        <f aca="false">IFERROR((AX9+AX13)/100*ASSUMPTIONS!$E$42,0)</f>
        <v>134740</v>
      </c>
      <c r="AY38" s="73" t="n">
        <f aca="false">IFERROR((AY9+AY13)/100*ASSUMPTIONS!$E$42,0)</f>
        <v>148210</v>
      </c>
      <c r="AZ38" s="73" t="n">
        <f aca="false">IFERROR((AZ9+AZ13)/100*ASSUMPTIONS!$E$42,0)</f>
        <v>163025</v>
      </c>
      <c r="BA38" s="71" t="n">
        <f aca="false">SUM(AO38:AZ38)</f>
        <v>1222215</v>
      </c>
      <c r="BB38" s="73" t="n">
        <f aca="false">IFERROR((BB9+BB13)/100*ASSUMPTIONS!$F$42,0)</f>
        <v>179325</v>
      </c>
      <c r="BC38" s="73" t="n">
        <f aca="false">IFERROR((BC9+BC13)/100*ASSUMPTIONS!$F$42,0)</f>
        <v>197255</v>
      </c>
      <c r="BD38" s="73" t="n">
        <f aca="false">IFERROR((BD9+BD13)/100*ASSUMPTIONS!$F$42,0)</f>
        <v>216975</v>
      </c>
      <c r="BE38" s="73" t="n">
        <f aca="false">IFERROR((BE9+BE13)/100*ASSUMPTIONS!$F$42,0)</f>
        <v>238670</v>
      </c>
      <c r="BF38" s="73" t="n">
        <f aca="false">IFERROR((BF9+BF13)/100*ASSUMPTIONS!$F$42,0)</f>
        <v>262535</v>
      </c>
      <c r="BG38" s="73" t="n">
        <f aca="false">IFERROR((BG9+BG13)/100*ASSUMPTIONS!$F$42,0)</f>
        <v>288790</v>
      </c>
      <c r="BH38" s="73" t="n">
        <f aca="false">IFERROR((BH9+BH13)/100*ASSUMPTIONS!$F$42,0)</f>
        <v>317670</v>
      </c>
      <c r="BI38" s="73" t="n">
        <f aca="false">IFERROR((BI9+BI13)/100*ASSUMPTIONS!$F$42,0)</f>
        <v>349435</v>
      </c>
      <c r="BJ38" s="73" t="n">
        <f aca="false">IFERROR((BJ9+BJ13)/100*ASSUMPTIONS!$F$42,0)</f>
        <v>384380</v>
      </c>
      <c r="BK38" s="73" t="n">
        <f aca="false">IFERROR((BK9+BK13)/100*ASSUMPTIONS!$F$42,0)</f>
        <v>422815</v>
      </c>
      <c r="BL38" s="73" t="n">
        <f aca="false">IFERROR((BL9+BL13)/100*ASSUMPTIONS!$F$42,0)</f>
        <v>465095</v>
      </c>
      <c r="BM38" s="73" t="n">
        <f aca="false">IFERROR((BM9+BM13)/100*ASSUMPTIONS!$F$42,0)</f>
        <v>511600</v>
      </c>
      <c r="BN38" s="71" t="n">
        <f aca="false">SUM(BB38:BM38)</f>
        <v>3834545</v>
      </c>
    </row>
    <row r="39" customFormat="false" ht="18" hidden="false" customHeight="true" outlineLevel="0" collapsed="false">
      <c r="A39" s="72" t="s">
        <v>219</v>
      </c>
      <c r="B39" s="73" t="n">
        <f aca="false">IFERROR(B16*ASSUMPTIONS!$B$43,0)</f>
        <v>189</v>
      </c>
      <c r="C39" s="73" t="n">
        <f aca="false">IFERROR(C16*ASSUMPTIONS!$B$43,0)</f>
        <v>199.44</v>
      </c>
      <c r="D39" s="73" t="n">
        <f aca="false">IFERROR(D16*ASSUMPTIONS!$B$43,0)</f>
        <v>211.32</v>
      </c>
      <c r="E39" s="73" t="n">
        <f aca="false">IFERROR(E16*ASSUMPTIONS!$B$43,0)</f>
        <v>225</v>
      </c>
      <c r="F39" s="73" t="n">
        <f aca="false">IFERROR(F16*ASSUMPTIONS!$B$43,0)</f>
        <v>240.48</v>
      </c>
      <c r="G39" s="73" t="n">
        <f aca="false">IFERROR(G16*ASSUMPTIONS!$B$43,0)</f>
        <v>257.76</v>
      </c>
      <c r="H39" s="73" t="n">
        <f aca="false">IFERROR(H16*ASSUMPTIONS!$B$43,0)</f>
        <v>276.84</v>
      </c>
      <c r="I39" s="73" t="n">
        <f aca="false">IFERROR(I16*ASSUMPTIONS!$B$43,0)</f>
        <v>298.44</v>
      </c>
      <c r="J39" s="73" t="n">
        <f aca="false">IFERROR(J16*ASSUMPTIONS!$B$43,0)</f>
        <v>322.56</v>
      </c>
      <c r="K39" s="73" t="n">
        <f aca="false">IFERROR(K16*ASSUMPTIONS!$B$43,0)</f>
        <v>349.2</v>
      </c>
      <c r="L39" s="73" t="n">
        <f aca="false">IFERROR(L16*ASSUMPTIONS!$B$43,0)</f>
        <v>378.72</v>
      </c>
      <c r="M39" s="73" t="n">
        <f aca="false">IFERROR(M16*ASSUMPTIONS!$B$43,0)</f>
        <v>411.48</v>
      </c>
      <c r="N39" s="70" t="n">
        <f aca="false">SUM(B39:M39)</f>
        <v>3360.24</v>
      </c>
      <c r="O39" s="73" t="n">
        <f aca="false">IFERROR(O16*ASSUMPTIONS!$C$43,0)</f>
        <v>447.84</v>
      </c>
      <c r="P39" s="73" t="n">
        <f aca="false">IFERROR(P16*ASSUMPTIONS!$C$43,0)</f>
        <v>488.16</v>
      </c>
      <c r="Q39" s="73" t="n">
        <f aca="false">IFERROR(Q16*ASSUMPTIONS!$C$43,0)</f>
        <v>532.44</v>
      </c>
      <c r="R39" s="73" t="n">
        <f aca="false">IFERROR(R16*ASSUMPTIONS!$C$43,0)</f>
        <v>581.4</v>
      </c>
      <c r="S39" s="73" t="n">
        <f aca="false">IFERROR(S16*ASSUMPTIONS!$C$43,0)</f>
        <v>635.4</v>
      </c>
      <c r="T39" s="73" t="n">
        <f aca="false">IFERROR(T16*ASSUMPTIONS!$C$43,0)</f>
        <v>695.16</v>
      </c>
      <c r="U39" s="73" t="n">
        <f aca="false">IFERROR(U16*ASSUMPTIONS!$C$43,0)</f>
        <v>760.68</v>
      </c>
      <c r="V39" s="73" t="n">
        <f aca="false">IFERROR(V16*ASSUMPTIONS!$C$43,0)</f>
        <v>833.04</v>
      </c>
      <c r="W39" s="73" t="n">
        <f aca="false">IFERROR(W16*ASSUMPTIONS!$C$43,0)</f>
        <v>912.96</v>
      </c>
      <c r="X39" s="73" t="n">
        <f aca="false">IFERROR(X16*ASSUMPTIONS!$C$43,0)</f>
        <v>1001.16</v>
      </c>
      <c r="Y39" s="73" t="n">
        <f aca="false">IFERROR(Y16*ASSUMPTIONS!$C$43,0)</f>
        <v>1098.36</v>
      </c>
      <c r="Z39" s="73" t="n">
        <f aca="false">IFERROR(Z16*ASSUMPTIONS!$C$43,0)</f>
        <v>1205.28</v>
      </c>
      <c r="AA39" s="70" t="n">
        <f aca="false">SUM(O39:Z39)</f>
        <v>9191.88</v>
      </c>
      <c r="AB39" s="73" t="n">
        <f aca="false">IFERROR(AB16*ASSUMPTIONS!$D$43,0)</f>
        <v>1323.36</v>
      </c>
      <c r="AC39" s="73" t="n">
        <f aca="false">IFERROR(AC16*ASSUMPTIONS!$D$43,0)</f>
        <v>1453.32</v>
      </c>
      <c r="AD39" s="73" t="n">
        <f aca="false">IFERROR(AD16*ASSUMPTIONS!$D$43,0)</f>
        <v>1596.6</v>
      </c>
      <c r="AE39" s="73" t="n">
        <f aca="false">IFERROR(AE16*ASSUMPTIONS!$D$43,0)</f>
        <v>1754.28</v>
      </c>
      <c r="AF39" s="73" t="n">
        <f aca="false">IFERROR(AF16*ASSUMPTIONS!$D$43,0)</f>
        <v>1927.8</v>
      </c>
      <c r="AG39" s="73" t="n">
        <f aca="false">IFERROR(AG16*ASSUMPTIONS!$D$43,0)</f>
        <v>2118.96</v>
      </c>
      <c r="AH39" s="73" t="n">
        <f aca="false">IFERROR(AH16*ASSUMPTIONS!$D$43,0)</f>
        <v>2329.56</v>
      </c>
      <c r="AI39" s="73" t="n">
        <f aca="false">IFERROR(AI16*ASSUMPTIONS!$D$43,0)</f>
        <v>2561.04</v>
      </c>
      <c r="AJ39" s="73" t="n">
        <f aca="false">IFERROR(AJ16*ASSUMPTIONS!$D$43,0)</f>
        <v>2815.92</v>
      </c>
      <c r="AK39" s="73" t="n">
        <f aca="false">IFERROR(AK16*ASSUMPTIONS!$D$43,0)</f>
        <v>3096.36</v>
      </c>
      <c r="AL39" s="73" t="n">
        <f aca="false">IFERROR(AL16*ASSUMPTIONS!$D$43,0)</f>
        <v>3404.88</v>
      </c>
      <c r="AM39" s="73" t="n">
        <f aca="false">IFERROR(AM16*ASSUMPTIONS!$D$43,0)</f>
        <v>3744.36</v>
      </c>
      <c r="AN39" s="70" t="n">
        <f aca="false">SUM(AB39:AM39)</f>
        <v>28126.44</v>
      </c>
      <c r="AO39" s="73" t="n">
        <f aca="false">IFERROR(AO16*ASSUMPTIONS!$E$43,0)</f>
        <v>4118.04</v>
      </c>
      <c r="AP39" s="73" t="n">
        <f aca="false">IFERROR(AP16*ASSUMPTIONS!$E$43,0)</f>
        <v>4529.16</v>
      </c>
      <c r="AQ39" s="73" t="n">
        <f aca="false">IFERROR(AQ16*ASSUMPTIONS!$E$43,0)</f>
        <v>4981.32</v>
      </c>
      <c r="AR39" s="73" t="n">
        <f aca="false">IFERROR(AR16*ASSUMPTIONS!$E$43,0)</f>
        <v>5478.84</v>
      </c>
      <c r="AS39" s="73" t="n">
        <f aca="false">IFERROR(AS16*ASSUMPTIONS!$E$43,0)</f>
        <v>6026.04</v>
      </c>
      <c r="AT39" s="73" t="n">
        <f aca="false">IFERROR(AT16*ASSUMPTIONS!$E$43,0)</f>
        <v>6627.96</v>
      </c>
      <c r="AU39" s="73" t="n">
        <f aca="false">IFERROR(AU16*ASSUMPTIONS!$E$43,0)</f>
        <v>7290</v>
      </c>
      <c r="AV39" s="73" t="n">
        <f aca="false">IFERROR(AV16*ASSUMPTIONS!$E$43,0)</f>
        <v>8018.28</v>
      </c>
      <c r="AW39" s="73" t="n">
        <f aca="false">IFERROR(AW16*ASSUMPTIONS!$E$43,0)</f>
        <v>8819.64</v>
      </c>
      <c r="AX39" s="73" t="n">
        <f aca="false">IFERROR(AX16*ASSUMPTIONS!$E$43,0)</f>
        <v>9701.28</v>
      </c>
      <c r="AY39" s="73" t="n">
        <f aca="false">IFERROR(AY16*ASSUMPTIONS!$E$43,0)</f>
        <v>10671.12</v>
      </c>
      <c r="AZ39" s="73" t="n">
        <f aca="false">IFERROR(AZ16*ASSUMPTIONS!$E$43,0)</f>
        <v>11737.8</v>
      </c>
      <c r="BA39" s="71" t="n">
        <f aca="false">SUM(AO39:AZ39)</f>
        <v>87999.48</v>
      </c>
      <c r="BB39" s="73" t="n">
        <f aca="false">IFERROR(BB16*ASSUMPTIONS!$F$43,0)</f>
        <v>12911.4</v>
      </c>
      <c r="BC39" s="73" t="n">
        <f aca="false">IFERROR(BC16*ASSUMPTIONS!$F$43,0)</f>
        <v>14202.36</v>
      </c>
      <c r="BD39" s="73" t="n">
        <f aca="false">IFERROR(BD16*ASSUMPTIONS!$F$43,0)</f>
        <v>15622.2</v>
      </c>
      <c r="BE39" s="73" t="n">
        <f aca="false">IFERROR(BE16*ASSUMPTIONS!$F$43,0)</f>
        <v>17184.24</v>
      </c>
      <c r="BF39" s="73" t="n">
        <f aca="false">IFERROR(BF16*ASSUMPTIONS!$F$43,0)</f>
        <v>18902.52</v>
      </c>
      <c r="BG39" s="73" t="n">
        <f aca="false">IFERROR(BG16*ASSUMPTIONS!$F$43,0)</f>
        <v>20792.88</v>
      </c>
      <c r="BH39" s="73" t="n">
        <f aca="false">IFERROR(BH16*ASSUMPTIONS!$F$43,0)</f>
        <v>22872.24</v>
      </c>
      <c r="BI39" s="73" t="n">
        <f aca="false">IFERROR(BI16*ASSUMPTIONS!$F$43,0)</f>
        <v>25159.32</v>
      </c>
      <c r="BJ39" s="73" t="n">
        <f aca="false">IFERROR(BJ16*ASSUMPTIONS!$F$43,0)</f>
        <v>27675.36</v>
      </c>
      <c r="BK39" s="73" t="n">
        <f aca="false">IFERROR(BK16*ASSUMPTIONS!$F$43,0)</f>
        <v>30442.68</v>
      </c>
      <c r="BL39" s="73" t="n">
        <f aca="false">IFERROR(BL16*ASSUMPTIONS!$F$43,0)</f>
        <v>33486.84</v>
      </c>
      <c r="BM39" s="73" t="n">
        <f aca="false">IFERROR(BM16*ASSUMPTIONS!$F$43,0)</f>
        <v>36835.2</v>
      </c>
      <c r="BN39" s="71" t="n">
        <f aca="false">SUM(BB39:BM39)</f>
        <v>276087.24</v>
      </c>
    </row>
    <row r="40" customFormat="false" ht="18" hidden="false" customHeight="true" outlineLevel="0" collapsed="false">
      <c r="A40" s="75" t="s">
        <v>220</v>
      </c>
      <c r="B40" s="76" t="n">
        <f aca="false">IFERROR(B35+B36+B37+B38+B39,0)</f>
        <v>6945.5</v>
      </c>
      <c r="C40" s="76" t="n">
        <f aca="false">IFERROR(C35+C36+C37+C38+C39,0)</f>
        <v>7007.08</v>
      </c>
      <c r="D40" s="76" t="n">
        <f aca="false">IFERROR(D35+D36+D37+D38+D39,0)</f>
        <v>7294.74</v>
      </c>
      <c r="E40" s="76" t="n">
        <f aca="false">IFERROR(E35+E36+E37+E38+E39,0)</f>
        <v>7637.5</v>
      </c>
      <c r="F40" s="76" t="n">
        <f aca="false">IFERROR(F35+F36+F37+F38+F39,0)</f>
        <v>8025.36</v>
      </c>
      <c r="G40" s="76" t="n">
        <f aca="false">IFERROR(G35+G36+G37+G38+G39,0)</f>
        <v>8458.32</v>
      </c>
      <c r="H40" s="76" t="n">
        <f aca="false">IFERROR(H35+H36+H37+H38+H39,0)</f>
        <v>8936.38</v>
      </c>
      <c r="I40" s="76" t="n">
        <f aca="false">IFERROR(I35+I36+I37+I38+I39,0)</f>
        <v>9477.58</v>
      </c>
      <c r="J40" s="76" t="n">
        <f aca="false">IFERROR(J35+J36+J37+J38+J39,0)</f>
        <v>10081.92</v>
      </c>
      <c r="K40" s="76" t="n">
        <f aca="false">IFERROR(K35+K36+K37+K38+K39,0)</f>
        <v>10749.4</v>
      </c>
      <c r="L40" s="76" t="n">
        <f aca="false">IFERROR(L35+L36+L37+L38+L39,0)</f>
        <v>11489.04</v>
      </c>
      <c r="M40" s="76" t="n">
        <f aca="false">IFERROR(M35+M36+M37+M38+M39,0)</f>
        <v>12309.86</v>
      </c>
      <c r="N40" s="76" t="n">
        <f aca="false">SUM(B40:M40)</f>
        <v>108412.68</v>
      </c>
      <c r="O40" s="76" t="n">
        <f aca="false">IFERROR(O35+O36+O37+O38+O39,0)</f>
        <v>13220.88</v>
      </c>
      <c r="P40" s="76" t="n">
        <f aca="false">IFERROR(P35+P36+P37+P38+P39,0)</f>
        <v>14231.12</v>
      </c>
      <c r="Q40" s="76" t="n">
        <f aca="false">IFERROR(Q35+Q36+Q37+Q38+Q39,0)</f>
        <v>15340.58</v>
      </c>
      <c r="R40" s="76" t="n">
        <f aca="false">IFERROR(R35+R36+R37+R38+R39,0)</f>
        <v>16567.3</v>
      </c>
      <c r="S40" s="76" t="n">
        <f aca="false">IFERROR(S35+S36+S37+S38+S39,0)</f>
        <v>17920.3</v>
      </c>
      <c r="T40" s="76" t="n">
        <f aca="false">IFERROR(T35+T36+T37+T38+T39,0)</f>
        <v>19417.62</v>
      </c>
      <c r="U40" s="76" t="n">
        <f aca="false">IFERROR(U35+U36+U37+U38+U39,0)</f>
        <v>21059.26</v>
      </c>
      <c r="V40" s="76" t="n">
        <f aca="false">IFERROR(V35+V36+V37+V38+V39,0)</f>
        <v>22872.28</v>
      </c>
      <c r="W40" s="76" t="n">
        <f aca="false">IFERROR(W35+W36+W37+W38+W39,0)</f>
        <v>24874.72</v>
      </c>
      <c r="X40" s="76" t="n">
        <f aca="false">IFERROR(X35+X36+X37+X38+X39,0)</f>
        <v>27084.62</v>
      </c>
      <c r="Y40" s="76" t="n">
        <f aca="false">IFERROR(Y35+Y36+Y37+Y38+Y39,0)</f>
        <v>29520.02</v>
      </c>
      <c r="Z40" s="76" t="n">
        <f aca="false">IFERROR(Z35+Z36+Z37+Z38+Z39,0)</f>
        <v>32198.96</v>
      </c>
      <c r="AA40" s="76" t="n">
        <f aca="false">SUM(O40:Z40)</f>
        <v>254307.66</v>
      </c>
      <c r="AB40" s="76" t="n">
        <f aca="false">IFERROR(AB35+AB36+AB37+AB38+AB39,0)</f>
        <v>35157.52</v>
      </c>
      <c r="AC40" s="76" t="n">
        <f aca="false">IFERROR(AC35+AC36+AC37+AC38+AC39,0)</f>
        <v>38413.74</v>
      </c>
      <c r="AD40" s="76" t="n">
        <f aca="false">IFERROR(AD35+AD36+AD37+AD38+AD39,0)</f>
        <v>42003.7</v>
      </c>
      <c r="AE40" s="76" t="n">
        <f aca="false">IFERROR(AE35+AE36+AE37+AE38+AE39,0)</f>
        <v>45954.46</v>
      </c>
      <c r="AF40" s="76" t="n">
        <f aca="false">IFERROR(AF35+AF36+AF37+AF38+AF39,0)</f>
        <v>50302.1</v>
      </c>
      <c r="AG40" s="76" t="n">
        <f aca="false">IFERROR(AG35+AG36+AG37+AG38+AG39,0)</f>
        <v>55091.72</v>
      </c>
      <c r="AH40" s="76" t="n">
        <f aca="false">IFERROR(AH35+AH36+AH37+AH38+AH39,0)</f>
        <v>60368.42</v>
      </c>
      <c r="AI40" s="76" t="n">
        <f aca="false">IFERROR(AI35+AI36+AI37+AI38+AI39,0)</f>
        <v>66168.28</v>
      </c>
      <c r="AJ40" s="76" t="n">
        <f aca="false">IFERROR(AJ35+AJ36+AJ37+AJ38+AJ39,0)</f>
        <v>72554.44</v>
      </c>
      <c r="AK40" s="76" t="n">
        <f aca="false">IFERROR(AK35+AK36+AK37+AK38+AK39,0)</f>
        <v>79581.02</v>
      </c>
      <c r="AL40" s="76" t="n">
        <f aca="false">IFERROR(AL35+AL36+AL37+AL38+AL39,0)</f>
        <v>87311.16</v>
      </c>
      <c r="AM40" s="76" t="n">
        <f aca="false">IFERROR(AM35+AM36+AM37+AM38+AM39,0)</f>
        <v>95817.02</v>
      </c>
      <c r="AN40" s="76" t="n">
        <f aca="false">SUM(AB40:AM40)</f>
        <v>728723.58</v>
      </c>
      <c r="AO40" s="76" t="n">
        <f aca="false">IFERROR(AO35+AO36+AO37+AO38+AO39,0)</f>
        <v>105179.78</v>
      </c>
      <c r="AP40" s="76" t="n">
        <f aca="false">IFERROR(AP35+AP36+AP37+AP38+AP39,0)</f>
        <v>115480.62</v>
      </c>
      <c r="AQ40" s="76" t="n">
        <f aca="false">IFERROR(AQ35+AQ36+AQ37+AQ38+AQ39,0)</f>
        <v>126809.74</v>
      </c>
      <c r="AR40" s="76" t="n">
        <f aca="false">IFERROR(AR35+AR36+AR37+AR38+AR39,0)</f>
        <v>139275.38</v>
      </c>
      <c r="AS40" s="76" t="n">
        <f aca="false">IFERROR(AS35+AS36+AS37+AS38+AS39,0)</f>
        <v>152985.78</v>
      </c>
      <c r="AT40" s="76" t="n">
        <f aca="false">IFERROR(AT35+AT36+AT37+AT38+AT39,0)</f>
        <v>168067.22</v>
      </c>
      <c r="AU40" s="76" t="n">
        <f aca="false">IFERROR(AU35+AU36+AU37+AU38+AU39,0)</f>
        <v>184655</v>
      </c>
      <c r="AV40" s="76" t="n">
        <f aca="false">IFERROR(AV35+AV36+AV37+AV38+AV39,0)</f>
        <v>202902.46</v>
      </c>
      <c r="AW40" s="76" t="n">
        <f aca="false">IFERROR(AW35+AW36+AW37+AW38+AW39,0)</f>
        <v>222980.98</v>
      </c>
      <c r="AX40" s="76" t="n">
        <f aca="false">IFERROR(AX35+AX36+AX37+AX38+AX39,0)</f>
        <v>245070.96</v>
      </c>
      <c r="AY40" s="76" t="n">
        <f aca="false">IFERROR(AY35+AY36+AY37+AY38+AY39,0)</f>
        <v>269370.84</v>
      </c>
      <c r="AZ40" s="76" t="n">
        <f aca="false">IFERROR(AZ35+AZ36+AZ37+AZ38+AZ39,0)</f>
        <v>296097.1</v>
      </c>
      <c r="BA40" s="77" t="n">
        <f aca="false">SUM(AO40:AZ40)</f>
        <v>2228875.86</v>
      </c>
      <c r="BB40" s="76" t="n">
        <f aca="false">IFERROR(BB35+BB36+BB37+BB38+BB39,0)</f>
        <v>325502.3</v>
      </c>
      <c r="BC40" s="76" t="n">
        <f aca="false">IFERROR(BC35+BC36+BC37+BC38+BC39,0)</f>
        <v>357848.02</v>
      </c>
      <c r="BD40" s="76" t="n">
        <f aca="false">IFERROR(BD35+BD36+BD37+BD38+BD39,0)</f>
        <v>393422.9</v>
      </c>
      <c r="BE40" s="76" t="n">
        <f aca="false">IFERROR(BE35+BE36+BE37+BE38+BE39,0)</f>
        <v>432560.68</v>
      </c>
      <c r="BF40" s="76" t="n">
        <f aca="false">IFERROR(BF35+BF36+BF37+BF38+BF39,0)</f>
        <v>475613.14</v>
      </c>
      <c r="BG40" s="76" t="n">
        <f aca="false">IFERROR(BG35+BG36+BG37+BG38+BG39,0)</f>
        <v>522977.16</v>
      </c>
      <c r="BH40" s="76" t="n">
        <f aca="false">IFERROR(BH35+BH36+BH37+BH38+BH39,0)</f>
        <v>575076.68</v>
      </c>
      <c r="BI40" s="76" t="n">
        <f aca="false">IFERROR(BI35+BI36+BI37+BI38+BI39,0)</f>
        <v>632380.74</v>
      </c>
      <c r="BJ40" s="76" t="n">
        <f aca="false">IFERROR(BJ35+BJ36+BJ37+BJ38+BJ39,0)</f>
        <v>695421.52</v>
      </c>
      <c r="BK40" s="76" t="n">
        <f aca="false">IFERROR(BK35+BK36+BK37+BK38+BK39,0)</f>
        <v>764758.26</v>
      </c>
      <c r="BL40" s="76" t="n">
        <f aca="false">IFERROR(BL35+BL36+BL37+BL38+BL39,0)</f>
        <v>841031.38</v>
      </c>
      <c r="BM40" s="76" t="n">
        <f aca="false">IFERROR(BM35+BM36+BM37+BM38+BM39,0)</f>
        <v>924926.4</v>
      </c>
      <c r="BN40" s="77" t="n">
        <f aca="false">SUM(BB40:BM40)</f>
        <v>6941519.18</v>
      </c>
    </row>
    <row r="41" customFormat="false" ht="6" hidden="false" customHeight="true" outlineLevel="0" collapsed="false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78"/>
      <c r="AR41" s="78"/>
      <c r="AS41" s="78"/>
      <c r="AT41" s="78"/>
      <c r="AU41" s="78"/>
      <c r="AV41" s="78"/>
      <c r="AW41" s="78"/>
      <c r="AX41" s="78"/>
      <c r="AY41" s="78"/>
      <c r="AZ41" s="78"/>
      <c r="BA41" s="79"/>
      <c r="BB41" s="78"/>
      <c r="BC41" s="78"/>
      <c r="BD41" s="78"/>
      <c r="BE41" s="78"/>
      <c r="BF41" s="78"/>
      <c r="BG41" s="78"/>
      <c r="BH41" s="78"/>
      <c r="BI41" s="78"/>
      <c r="BJ41" s="78"/>
      <c r="BK41" s="78"/>
      <c r="BL41" s="78"/>
      <c r="BM41" s="78"/>
      <c r="BN41" s="79"/>
    </row>
    <row r="42" customFormat="false" ht="18" hidden="false" customHeight="true" outlineLevel="0" collapsed="false">
      <c r="A42" s="75" t="s">
        <v>221</v>
      </c>
      <c r="B42" s="76" t="n">
        <f aca="false">IFERROR(B31-B40,0)</f>
        <v>16804.5</v>
      </c>
      <c r="C42" s="76" t="n">
        <f aca="false">IFERROR(C31-C40,0)</f>
        <v>17020.92</v>
      </c>
      <c r="D42" s="76" t="n">
        <f aca="false">IFERROR(D31-D40,0)</f>
        <v>19318.26</v>
      </c>
      <c r="E42" s="76" t="n">
        <f aca="false">IFERROR(E31-E40,0)</f>
        <v>22094.5</v>
      </c>
      <c r="F42" s="76" t="n">
        <f aca="false">IFERROR(F31-F40,0)</f>
        <v>25259.64</v>
      </c>
      <c r="G42" s="76" t="n">
        <f aca="false">IFERROR(G31-G40,0)</f>
        <v>28813.68</v>
      </c>
      <c r="H42" s="76" t="n">
        <f aca="false">IFERROR(H31-H40,0)</f>
        <v>33055.62</v>
      </c>
      <c r="I42" s="76" t="n">
        <f aca="false">IFERROR(I31-I40,0)</f>
        <v>38021.42</v>
      </c>
      <c r="J42" s="76" t="n">
        <f aca="false">IFERROR(J31-J40,0)</f>
        <v>43412.08</v>
      </c>
      <c r="K42" s="76" t="n">
        <f aca="false">IFERROR(K31-K40,0)</f>
        <v>49526.6</v>
      </c>
      <c r="L42" s="76" t="n">
        <f aca="false">IFERROR(L31-L40,0)</f>
        <v>56681.96</v>
      </c>
      <c r="M42" s="76" t="n">
        <f aca="false">IFERROR(M31-M40,0)</f>
        <v>64597.14</v>
      </c>
      <c r="N42" s="76" t="n">
        <f aca="false">SUM(B42:M42)</f>
        <v>414606.32</v>
      </c>
      <c r="O42" s="76" t="n">
        <f aca="false">IFERROR(O31-O40,0)</f>
        <v>73888.12</v>
      </c>
      <c r="P42" s="76" t="n">
        <f aca="false">IFERROR(P31-P40,0)</f>
        <v>84273.88</v>
      </c>
      <c r="Q42" s="76" t="n">
        <f aca="false">IFERROR(Q31-Q40,0)</f>
        <v>96352.42</v>
      </c>
      <c r="R42" s="76" t="n">
        <f aca="false">IFERROR(R31-R40,0)</f>
        <v>110159.7</v>
      </c>
      <c r="S42" s="76" t="n">
        <f aca="false">IFERROR(S31-S40,0)</f>
        <v>125713.7</v>
      </c>
      <c r="T42" s="76" t="n">
        <f aca="false">IFERROR(T31-T40,0)</f>
        <v>143648.38</v>
      </c>
      <c r="U42" s="76" t="n">
        <f aca="false">IFERROR(U31-U40,0)</f>
        <v>163963.74</v>
      </c>
      <c r="V42" s="76" t="n">
        <f aca="false">IFERROR(V31-V40,0)</f>
        <v>187012.72</v>
      </c>
      <c r="W42" s="76" t="n">
        <f aca="false">IFERROR(W31-W40,0)</f>
        <v>213429.28</v>
      </c>
      <c r="X42" s="76" t="n">
        <f aca="false">IFERROR(X31-X40,0)</f>
        <v>243847.38</v>
      </c>
      <c r="Y42" s="76" t="n">
        <f aca="false">IFERROR(Y31-Y40,0)</f>
        <v>278601.98</v>
      </c>
      <c r="Z42" s="76" t="n">
        <f aca="false">IFERROR(Z31-Z40,0)</f>
        <v>318327.04</v>
      </c>
      <c r="AA42" s="76" t="n">
        <f aca="false">SUM(O42:Z42)</f>
        <v>2039218.34</v>
      </c>
      <c r="AB42" s="76" t="n">
        <f aca="false">IFERROR(AB31-AB40,0)</f>
        <v>363991.48</v>
      </c>
      <c r="AC42" s="76" t="n">
        <f aca="false">IFERROR(AC31-AC40,0)</f>
        <v>416229.26</v>
      </c>
      <c r="AD42" s="76" t="n">
        <f aca="false">IFERROR(AD31-AD40,0)</f>
        <v>476009.3</v>
      </c>
      <c r="AE42" s="76" t="n">
        <f aca="false">IFERROR(AE31-AE40,0)</f>
        <v>544282.54</v>
      </c>
      <c r="AF42" s="76" t="n">
        <f aca="false">IFERROR(AF31-AF40,0)</f>
        <v>622316.9</v>
      </c>
      <c r="AG42" s="76" t="n">
        <f aca="false">IFERROR(AG31-AG40,0)</f>
        <v>711697.28</v>
      </c>
      <c r="AH42" s="76" t="n">
        <f aca="false">IFERROR(AH31-AH40,0)</f>
        <v>813709.58</v>
      </c>
      <c r="AI42" s="76" t="n">
        <f aca="false">IFERROR(AI31-AI40,0)</f>
        <v>930518.72</v>
      </c>
      <c r="AJ42" s="76" t="n">
        <f aca="false">IFERROR(AJ31-AJ40,0)</f>
        <v>1064343.56</v>
      </c>
      <c r="AK42" s="76" t="n">
        <f aca="false">IFERROR(AK31-AK40,0)</f>
        <v>1217683.98</v>
      </c>
      <c r="AL42" s="76" t="n">
        <f aca="false">IFERROR(AL31-AL40,0)</f>
        <v>1393356.84</v>
      </c>
      <c r="AM42" s="76" t="n">
        <f aca="false">IFERROR(AM31-AM40,0)</f>
        <v>1594495.98</v>
      </c>
      <c r="AN42" s="76" t="n">
        <f aca="false">SUM(AB42:AM42)</f>
        <v>10148635.42</v>
      </c>
      <c r="AO42" s="76" t="n">
        <f aca="false">IFERROR(AO31-AO40,0)</f>
        <v>1825150.22</v>
      </c>
      <c r="AP42" s="76" t="n">
        <f aca="false">IFERROR(AP31-AP40,0)</f>
        <v>2089368.38</v>
      </c>
      <c r="AQ42" s="76" t="n">
        <f aca="false">IFERROR(AQ31-AQ40,0)</f>
        <v>2391815.26</v>
      </c>
      <c r="AR42" s="76" t="n">
        <f aca="false">IFERROR(AR31-AR40,0)</f>
        <v>2738686.62</v>
      </c>
      <c r="AS42" s="76" t="n">
        <f aca="false">IFERROR(AS31-AS40,0)</f>
        <v>3136178.22</v>
      </c>
      <c r="AT42" s="76" t="n">
        <f aca="false">IFERROR(AT31-AT40,0)</f>
        <v>3591717.78</v>
      </c>
      <c r="AU42" s="76" t="n">
        <f aca="false">IFERROR(AU31-AU40,0)</f>
        <v>4114246</v>
      </c>
      <c r="AV42" s="76" t="n">
        <f aca="false">IFERROR(AV31-AV40,0)</f>
        <v>4713337.54</v>
      </c>
      <c r="AW42" s="76" t="n">
        <f aca="false">IFERROR(AW31-AW40,0)</f>
        <v>5400397.02</v>
      </c>
      <c r="AX42" s="76" t="n">
        <f aca="false">IFERROR(AX31-AX40,0)</f>
        <v>6188641.04</v>
      </c>
      <c r="AY42" s="76" t="n">
        <f aca="false">IFERROR(AY31-AY40,0)</f>
        <v>7092817.16</v>
      </c>
      <c r="AZ42" s="76" t="n">
        <f aca="false">IFERROR(AZ31-AZ40,0)</f>
        <v>8130399.9</v>
      </c>
      <c r="BA42" s="77" t="n">
        <f aca="false">SUM(AO42:AZ42)</f>
        <v>51412755.14</v>
      </c>
      <c r="BB42" s="76" t="n">
        <f aca="false">IFERROR(BB31-BB40,0)</f>
        <v>9321028.7</v>
      </c>
      <c r="BC42" s="76" t="n">
        <f aca="false">IFERROR(BC31-BC40,0)</f>
        <v>10687649.98</v>
      </c>
      <c r="BD42" s="76" t="n">
        <f aca="false">IFERROR(BD31-BD40,0)</f>
        <v>12255656.1</v>
      </c>
      <c r="BE42" s="76" t="n">
        <f aca="false">IFERROR(BE31-BE40,0)</f>
        <v>14055313.32</v>
      </c>
      <c r="BF42" s="76" t="n">
        <f aca="false">IFERROR(BF31-BF40,0)</f>
        <v>16121109.86</v>
      </c>
      <c r="BG42" s="76" t="n">
        <f aca="false">IFERROR(BG31-BG40,0)</f>
        <v>18492706.84</v>
      </c>
      <c r="BH42" s="76" t="n">
        <f aca="false">IFERROR(BH31-BH40,0)</f>
        <v>21215201.32</v>
      </c>
      <c r="BI42" s="76" t="n">
        <f aca="false">IFERROR(BI31-BI40,0)</f>
        <v>24340956.26</v>
      </c>
      <c r="BJ42" s="76" t="n">
        <f aca="false">IFERROR(BJ31-BJ40,0)</f>
        <v>27929935.48</v>
      </c>
      <c r="BK42" s="76" t="n">
        <f aca="false">IFERROR(BK31-BK40,0)</f>
        <v>32050827.74</v>
      </c>
      <c r="BL42" s="76" t="n">
        <f aca="false">IFERROR(BL31-BL40,0)</f>
        <v>36782948.62</v>
      </c>
      <c r="BM42" s="76" t="n">
        <f aca="false">IFERROR(BM31-BM40,0)</f>
        <v>42217065.6</v>
      </c>
      <c r="BN42" s="77" t="n">
        <f aca="false">SUM(BB42:BM42)</f>
        <v>265470399.82</v>
      </c>
    </row>
    <row r="43" customFormat="false" ht="18" hidden="false" customHeight="true" outlineLevel="0" collapsed="false">
      <c r="A43" s="63" t="s">
        <v>222</v>
      </c>
      <c r="B43" s="90" t="n">
        <f aca="false">IFERROR(B42/B31,0)</f>
        <v>0.707557894736842</v>
      </c>
      <c r="C43" s="90" t="n">
        <f aca="false">IFERROR(C42/C31,0)</f>
        <v>0.708378558348593</v>
      </c>
      <c r="D43" s="90" t="n">
        <f aca="false">IFERROR(D42/D31,0)</f>
        <v>0.725895614925037</v>
      </c>
      <c r="E43" s="90" t="n">
        <f aca="false">IFERROR(E42/E31,0)</f>
        <v>0.743121888873941</v>
      </c>
      <c r="F43" s="90" t="n">
        <f aca="false">IFERROR(F42/F31,0)</f>
        <v>0.758889589905363</v>
      </c>
      <c r="G43" s="90" t="n">
        <f aca="false">IFERROR(G42/G31,0)</f>
        <v>0.773065035415325</v>
      </c>
      <c r="H43" s="90" t="n">
        <f aca="false">IFERROR(H42/H31,0)</f>
        <v>0.787188512097542</v>
      </c>
      <c r="I43" s="90" t="n">
        <f aca="false">IFERROR(I42/I31,0)</f>
        <v>0.800467799322091</v>
      </c>
      <c r="J43" s="90" t="n">
        <f aca="false">IFERROR(J42/J31,0)</f>
        <v>0.811531760571279</v>
      </c>
      <c r="K43" s="90" t="n">
        <f aca="false">IFERROR(K42/K31,0)</f>
        <v>0.821663680403477</v>
      </c>
      <c r="L43" s="90" t="n">
        <f aca="false">IFERROR(L42/L31,0)</f>
        <v>0.831467339484532</v>
      </c>
      <c r="M43" s="90" t="n">
        <f aca="false">IFERROR(M42/M31,0)</f>
        <v>0.839938367118728</v>
      </c>
      <c r="N43" s="91" t="n">
        <f aca="false">M43</f>
        <v>0.839938367118728</v>
      </c>
      <c r="O43" s="90" t="n">
        <f aca="false">IFERROR(O42/O31,0)</f>
        <v>0.848226015681503</v>
      </c>
      <c r="P43" s="90" t="n">
        <f aca="false">IFERROR(P42/P31,0)</f>
        <v>0.855528957920918</v>
      </c>
      <c r="Q43" s="90" t="n">
        <f aca="false">IFERROR(Q42/Q31,0)</f>
        <v>0.862654060684197</v>
      </c>
      <c r="R43" s="90" t="n">
        <f aca="false">IFERROR(R42/R31,0)</f>
        <v>0.869267796128686</v>
      </c>
      <c r="S43" s="90" t="n">
        <f aca="false">IFERROR(S42/S31,0)</f>
        <v>0.875236364649039</v>
      </c>
      <c r="T43" s="90" t="n">
        <f aca="false">IFERROR(T42/T31,0)</f>
        <v>0.880921712680755</v>
      </c>
      <c r="U43" s="90" t="n">
        <f aca="false">IFERROR(U42/U31,0)</f>
        <v>0.886180312717878</v>
      </c>
      <c r="V43" s="90" t="n">
        <f aca="false">IFERROR(V42/V31,0)</f>
        <v>0.891024704004574</v>
      </c>
      <c r="W43" s="90" t="n">
        <f aca="false">IFERROR(W42/W31,0)</f>
        <v>0.895617698402041</v>
      </c>
      <c r="X43" s="90" t="n">
        <f aca="false">IFERROR(X42/X31,0)</f>
        <v>0.900031668462935</v>
      </c>
      <c r="Y43" s="90" t="n">
        <f aca="false">IFERROR(Y42/Y31,0)</f>
        <v>0.904193728458208</v>
      </c>
      <c r="Z43" s="90" t="n">
        <f aca="false">IFERROR(Z42/Z31,0)</f>
        <v>0.908141022349269</v>
      </c>
      <c r="AA43" s="91" t="n">
        <f aca="false">Z43</f>
        <v>0.908141022349269</v>
      </c>
      <c r="AB43" s="90" t="n">
        <f aca="false">IFERROR(AB42/AB31,0)</f>
        <v>0.911918807262451</v>
      </c>
      <c r="AC43" s="90" t="n">
        <f aca="false">IFERROR(AC42/AC31,0)</f>
        <v>0.915507904003801</v>
      </c>
      <c r="AD43" s="90" t="n">
        <f aca="false">IFERROR(AD42/AD31,0)</f>
        <v>0.918913811043352</v>
      </c>
      <c r="AE43" s="90" t="n">
        <f aca="false">IFERROR(AE42/AE31,0)</f>
        <v>0.922142359763959</v>
      </c>
      <c r="AF43" s="90" t="n">
        <f aca="false">IFERROR(AF42/AF31,0)</f>
        <v>0.925214571696607</v>
      </c>
      <c r="AG43" s="90" t="n">
        <f aca="false">IFERROR(AG42/AG31,0)</f>
        <v>0.928152699112794</v>
      </c>
      <c r="AH43" s="90" t="n">
        <f aca="false">IFERROR(AH42/AH31,0)</f>
        <v>0.930934744954112</v>
      </c>
      <c r="AI43" s="90" t="n">
        <f aca="false">IFERROR(AI42/AI31,0)</f>
        <v>0.933611775813269</v>
      </c>
      <c r="AJ43" s="90" t="n">
        <f aca="false">IFERROR(AJ42/AJ31,0)</f>
        <v>0.936182102528107</v>
      </c>
      <c r="AK43" s="90" t="n">
        <f aca="false">IFERROR(AK42/AK31,0)</f>
        <v>0.938654769842708</v>
      </c>
      <c r="AL43" s="90" t="n">
        <f aca="false">IFERROR(AL42/AL31,0)</f>
        <v>0.941032587994068</v>
      </c>
      <c r="AM43" s="90" t="n">
        <f aca="false">IFERROR(AM42/AM31,0)</f>
        <v>0.943314037104371</v>
      </c>
      <c r="AN43" s="91" t="n">
        <f aca="false">AM43</f>
        <v>0.943314037104371</v>
      </c>
      <c r="AO43" s="90" t="n">
        <f aca="false">IFERROR(AO42/AO31,0)</f>
        <v>0.945512021260614</v>
      </c>
      <c r="AP43" s="90" t="n">
        <f aca="false">IFERROR(AP42/AP31,0)</f>
        <v>0.947624250005329</v>
      </c>
      <c r="AQ43" s="90" t="n">
        <f aca="false">IFERROR(AQ42/AQ31,0)</f>
        <v>0.949651202541069</v>
      </c>
      <c r="AR43" s="90" t="n">
        <f aca="false">IFERROR(AR42/AR31,0)</f>
        <v>0.951606247754487</v>
      </c>
      <c r="AS43" s="90" t="n">
        <f aca="false">IFERROR(AS42/AS31,0)</f>
        <v>0.953487944049005</v>
      </c>
      <c r="AT43" s="90" t="n">
        <f aca="false">IFERROR(AT42/AT31,0)</f>
        <v>0.955298715219088</v>
      </c>
      <c r="AU43" s="90" t="n">
        <f aca="false">IFERROR(AU42/AU31,0)</f>
        <v>0.957045998500547</v>
      </c>
      <c r="AV43" s="90" t="n">
        <f aca="false">IFERROR(AV42/AV31,0)</f>
        <v>0.958728121491221</v>
      </c>
      <c r="AW43" s="90" t="n">
        <f aca="false">IFERROR(AW42/AW31,0)</f>
        <v>0.96034750287105</v>
      </c>
      <c r="AX43" s="90" t="n">
        <f aca="false">IFERROR(AX42/AX31,0)</f>
        <v>0.961908310474575</v>
      </c>
      <c r="AY43" s="90" t="n">
        <f aca="false">IFERROR(AY42/AY31,0)</f>
        <v>0.963411578188441</v>
      </c>
      <c r="AZ43" s="90" t="n">
        <f aca="false">IFERROR(AZ42/AZ31,0)</f>
        <v>0.964861187276279</v>
      </c>
      <c r="BA43" s="88" t="n">
        <f aca="false">AZ43</f>
        <v>0.964861187276279</v>
      </c>
      <c r="BB43" s="90" t="n">
        <f aca="false">IFERROR(BB42/BB31,0)</f>
        <v>0.966257061735457</v>
      </c>
      <c r="BC43" s="90" t="n">
        <f aca="false">IFERROR(BC42/BC31,0)</f>
        <v>0.967602364329793</v>
      </c>
      <c r="BD43" s="90" t="n">
        <f aca="false">IFERROR(BD42/BD31,0)</f>
        <v>0.968897111007054</v>
      </c>
      <c r="BE43" s="90" t="n">
        <f aca="false">IFERROR(BE42/BE31,0)</f>
        <v>0.970143260494949</v>
      </c>
      <c r="BF43" s="90" t="n">
        <f aca="false">IFERROR(BF42/BF31,0)</f>
        <v>0.971342948845986</v>
      </c>
      <c r="BG43" s="90" t="n">
        <f aca="false">IFERROR(BG42/BG31,0)</f>
        <v>0.972497588832461</v>
      </c>
      <c r="BH43" s="90" t="n">
        <f aca="false">IFERROR(BH42/BH31,0)</f>
        <v>0.973608566168821</v>
      </c>
      <c r="BI43" s="90" t="n">
        <f aca="false">IFERROR(BI42/BI31,0)</f>
        <v>0.974677763728572</v>
      </c>
      <c r="BJ43" s="90" t="n">
        <f aca="false">IFERROR(BJ42/BJ31,0)</f>
        <v>0.975706101412115</v>
      </c>
      <c r="BK43" s="90" t="n">
        <f aca="false">IFERROR(BK42/BK31,0)</f>
        <v>0.976695273398439</v>
      </c>
      <c r="BL43" s="90" t="n">
        <f aca="false">IFERROR(BL42/BL31,0)</f>
        <v>0.977646400513715</v>
      </c>
      <c r="BM43" s="90" t="n">
        <f aca="false">IFERROR(BM42/BM31,0)</f>
        <v>0.978560878690998</v>
      </c>
      <c r="BN43" s="88" t="n">
        <f aca="false">BM43</f>
        <v>0.978560878690998</v>
      </c>
    </row>
    <row r="44" customFormat="false" ht="15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customFormat="false" ht="15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customFormat="false" ht="15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customFormat="false" ht="15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customFormat="false" ht="15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customFormat="false" ht="15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customFormat="false" ht="15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customFormat="false" ht="15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customFormat="false" ht="15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customFormat="false" ht="15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customFormat="false" ht="15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customFormat="false" ht="15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customFormat="false" ht="15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customFormat="false" ht="15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customFormat="false" ht="15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customFormat="false" ht="15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customFormat="false" ht="15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customFormat="false" ht="15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customFormat="false" ht="15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customFormat="false" ht="15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customFormat="false" ht="15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customFormat="false" ht="15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customFormat="false" ht="15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customFormat="false" ht="15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customFormat="false" ht="15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customFormat="false" ht="15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customFormat="false" ht="15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customFormat="false" ht="15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customFormat="false" ht="15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customFormat="false" ht="15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customFormat="false" ht="15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customFormat="false" ht="15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customFormat="false" ht="15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customFormat="false" ht="15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customFormat="false" ht="15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customFormat="false" ht="15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customFormat="false" ht="15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customFormat="false" ht="15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customFormat="false" ht="15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customFormat="false" ht="15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customFormat="false" ht="15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customFormat="false" ht="15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customFormat="false" ht="15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customFormat="false" ht="15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customFormat="false" ht="15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customFormat="false" ht="15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customFormat="false" ht="15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customFormat="false" ht="15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customFormat="false" ht="15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customFormat="false" ht="15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customFormat="false" ht="15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customFormat="false" ht="15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customFormat="false" ht="15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customFormat="false" ht="15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customFormat="false" ht="15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customFormat="false" ht="15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customFormat="false" ht="15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customFormat="false" ht="15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customFormat="false" ht="15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customFormat="false" ht="15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customFormat="false" ht="15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customFormat="false" ht="15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customFormat="false" ht="15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customFormat="false" ht="15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customFormat="false" ht="15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customFormat="false" ht="15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customFormat="false" ht="15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customFormat="false" ht="15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customFormat="false" ht="15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customFormat="false" ht="15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customFormat="false" ht="15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customFormat="false" ht="15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customFormat="false" ht="15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customFormat="false" ht="15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customFormat="false" ht="15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customFormat="false" ht="15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customFormat="false" ht="15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customFormat="false" ht="15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customFormat="false" ht="15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 customFormat="false" ht="15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customFormat="false" ht="15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customFormat="false" ht="15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customFormat="false" ht="15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customFormat="false" ht="15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customFormat="false" ht="15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customFormat="false" ht="15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customFormat="false" ht="15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customFormat="false" ht="15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customFormat="false" ht="15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customFormat="false" ht="15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customFormat="false" ht="15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customFormat="false" ht="15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customFormat="false" ht="15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customFormat="false" ht="15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customFormat="false" ht="15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customFormat="false" ht="15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customFormat="false" ht="15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customFormat="false" ht="15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customFormat="false" ht="15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customFormat="false" ht="15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customFormat="false" ht="15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customFormat="false" ht="15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customFormat="false" ht="15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customFormat="false" ht="15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customFormat="false" ht="15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customFormat="false" ht="15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customFormat="false" ht="15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customFormat="false" ht="15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customFormat="false" ht="15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customFormat="false" ht="15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customFormat="false" ht="15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customFormat="false" ht="15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customFormat="false" ht="15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customFormat="false" ht="15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customFormat="false" ht="15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customFormat="false" ht="15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customFormat="false" ht="15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customFormat="false" ht="15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customFormat="false" ht="15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customFormat="false" ht="15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customFormat="false" ht="15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customFormat="false" ht="15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customFormat="false" ht="15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customFormat="false" ht="15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customFormat="false" ht="15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customFormat="false" ht="15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customFormat="false" ht="15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customFormat="false" ht="15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customFormat="false" ht="15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customFormat="false" ht="15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customFormat="false" ht="15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customFormat="false" ht="15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customFormat="false" ht="15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customFormat="false" ht="15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customFormat="false" ht="15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customFormat="false" ht="15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customFormat="false" ht="15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customFormat="false" ht="15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customFormat="false" ht="15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customFormat="false" ht="15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customFormat="false" ht="15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customFormat="false" ht="15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customFormat="false" ht="15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customFormat="false" ht="15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customFormat="false" ht="15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customFormat="false" ht="15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customFormat="false" ht="15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customFormat="false" ht="15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customFormat="false" ht="15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customFormat="false" ht="15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customFormat="false" ht="15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customFormat="false" ht="15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customFormat="false" ht="15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customFormat="false" ht="15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customFormat="false" ht="15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customFormat="false" ht="15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customFormat="false" ht="15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customFormat="false" ht="15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customFormat="false" ht="15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customFormat="false" ht="15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customFormat="false" ht="15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customFormat="false" ht="15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customFormat="false" ht="15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customFormat="false" ht="15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customFormat="false" ht="15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customFormat="false" ht="15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customFormat="false" ht="15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customFormat="false" ht="15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customFormat="false" ht="15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customFormat="false" ht="15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customFormat="false" ht="15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customFormat="false" ht="15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</row>
  </sheetData>
  <mergeCells count="9">
    <mergeCell ref="A1:BN1"/>
    <mergeCell ref="A2:BN2"/>
    <mergeCell ref="AO4:AZ4"/>
    <mergeCell ref="BB4:BM4"/>
    <mergeCell ref="A6:BN6"/>
    <mergeCell ref="A15:BN15"/>
    <mergeCell ref="A21:BN21"/>
    <mergeCell ref="A28:BN28"/>
    <mergeCell ref="A34:BN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BN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3" min="2" style="0" width="9.57"/>
    <col collapsed="false" customWidth="true" hidden="false" outlineLevel="0" max="14" min="14" style="0" width="11"/>
    <col collapsed="false" customWidth="true" hidden="false" outlineLevel="0" max="26" min="15" style="0" width="9.57"/>
    <col collapsed="false" customWidth="true" hidden="false" outlineLevel="0" max="27" min="27" style="0" width="11"/>
    <col collapsed="false" customWidth="true" hidden="false" outlineLevel="0" max="39" min="28" style="0" width="9.57"/>
    <col collapsed="false" customWidth="true" hidden="false" outlineLevel="0" max="40" min="40" style="0" width="11"/>
    <col collapsed="false" customWidth="true" hidden="false" outlineLevel="0" max="41" min="41" style="0" width="9.57"/>
    <col collapsed="false" customWidth="true" hidden="false" outlineLevel="0" max="52" min="42" style="0" width="13"/>
    <col collapsed="false" customWidth="true" hidden="false" outlineLevel="0" max="53" min="53" style="0" width="11"/>
    <col collapsed="false" customWidth="true" hidden="false" outlineLevel="0" max="54" min="54" style="0" width="9.57"/>
    <col collapsed="false" customWidth="true" hidden="false" outlineLevel="0" max="65" min="55" style="0" width="13"/>
    <col collapsed="false" customWidth="true" hidden="false" outlineLevel="0" max="66" min="66" style="0" width="11"/>
  </cols>
  <sheetData>
    <row r="1" customFormat="false" ht="39.75" hidden="false" customHeight="true" outlineLevel="0" collapsed="false">
      <c r="A1" s="45" t="s">
        <v>223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</row>
    <row r="2" customFormat="false" ht="18" hidden="false" customHeight="true" outlineLevel="0" collapsed="false">
      <c r="A2" s="46" t="s">
        <v>224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46"/>
    </row>
    <row r="3" customFormat="false" ht="6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customFormat="false" ht="13.5" hidden="false" customHeight="true" outlineLevel="0" collapsed="false">
      <c r="A4" s="47"/>
      <c r="B4" s="16" t="s">
        <v>164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48" t="s">
        <v>165</v>
      </c>
      <c r="O4" s="49" t="s">
        <v>166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50" t="s">
        <v>167</v>
      </c>
      <c r="AB4" s="51" t="s">
        <v>168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52" t="s">
        <v>169</v>
      </c>
      <c r="AO4" s="53" t="s">
        <v>170</v>
      </c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4" t="s">
        <v>171</v>
      </c>
      <c r="BB4" s="53" t="s">
        <v>172</v>
      </c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4" t="s">
        <v>173</v>
      </c>
    </row>
    <row r="5" customFormat="false" ht="21.75" hidden="false" customHeight="true" outlineLevel="0" collapsed="false">
      <c r="A5" s="47"/>
      <c r="B5" s="55" t="s">
        <v>174</v>
      </c>
      <c r="C5" s="55" t="s">
        <v>175</v>
      </c>
      <c r="D5" s="55" t="s">
        <v>176</v>
      </c>
      <c r="E5" s="55" t="s">
        <v>177</v>
      </c>
      <c r="F5" s="55" t="s">
        <v>178</v>
      </c>
      <c r="G5" s="55" t="s">
        <v>179</v>
      </c>
      <c r="H5" s="55" t="s">
        <v>180</v>
      </c>
      <c r="I5" s="55" t="s">
        <v>181</v>
      </c>
      <c r="J5" s="55" t="s">
        <v>182</v>
      </c>
      <c r="K5" s="55" t="s">
        <v>183</v>
      </c>
      <c r="L5" s="55" t="s">
        <v>184</v>
      </c>
      <c r="M5" s="55" t="s">
        <v>185</v>
      </c>
      <c r="N5" s="55" t="s">
        <v>186</v>
      </c>
      <c r="O5" s="39" t="s">
        <v>174</v>
      </c>
      <c r="P5" s="39" t="s">
        <v>175</v>
      </c>
      <c r="Q5" s="39" t="s">
        <v>176</v>
      </c>
      <c r="R5" s="39" t="s">
        <v>177</v>
      </c>
      <c r="S5" s="39" t="s">
        <v>178</v>
      </c>
      <c r="T5" s="39" t="s">
        <v>179</v>
      </c>
      <c r="U5" s="39" t="s">
        <v>180</v>
      </c>
      <c r="V5" s="39" t="s">
        <v>181</v>
      </c>
      <c r="W5" s="39" t="s">
        <v>182</v>
      </c>
      <c r="X5" s="39" t="s">
        <v>183</v>
      </c>
      <c r="Y5" s="39" t="s">
        <v>184</v>
      </c>
      <c r="Z5" s="39" t="s">
        <v>185</v>
      </c>
      <c r="AA5" s="39" t="s">
        <v>187</v>
      </c>
      <c r="AB5" s="56" t="s">
        <v>174</v>
      </c>
      <c r="AC5" s="56" t="s">
        <v>175</v>
      </c>
      <c r="AD5" s="56" t="s">
        <v>176</v>
      </c>
      <c r="AE5" s="56" t="s">
        <v>177</v>
      </c>
      <c r="AF5" s="56" t="s">
        <v>178</v>
      </c>
      <c r="AG5" s="56" t="s">
        <v>179</v>
      </c>
      <c r="AH5" s="56" t="s">
        <v>180</v>
      </c>
      <c r="AI5" s="56" t="s">
        <v>181</v>
      </c>
      <c r="AJ5" s="56" t="s">
        <v>182</v>
      </c>
      <c r="AK5" s="56" t="s">
        <v>183</v>
      </c>
      <c r="AL5" s="56" t="s">
        <v>184</v>
      </c>
      <c r="AM5" s="56" t="s">
        <v>185</v>
      </c>
      <c r="AN5" s="56" t="s">
        <v>188</v>
      </c>
      <c r="AO5" s="56" t="s">
        <v>174</v>
      </c>
      <c r="AP5" s="56" t="s">
        <v>175</v>
      </c>
      <c r="AQ5" s="56" t="s">
        <v>176</v>
      </c>
      <c r="AR5" s="56" t="s">
        <v>177</v>
      </c>
      <c r="AS5" s="56" t="s">
        <v>178</v>
      </c>
      <c r="AT5" s="56" t="s">
        <v>179</v>
      </c>
      <c r="AU5" s="56" t="s">
        <v>180</v>
      </c>
      <c r="AV5" s="56" t="s">
        <v>181</v>
      </c>
      <c r="AW5" s="56" t="s">
        <v>182</v>
      </c>
      <c r="AX5" s="56" t="s">
        <v>183</v>
      </c>
      <c r="AY5" s="56" t="s">
        <v>184</v>
      </c>
      <c r="AZ5" s="56" t="s">
        <v>185</v>
      </c>
      <c r="BA5" s="56" t="s">
        <v>189</v>
      </c>
      <c r="BB5" s="56" t="s">
        <v>174</v>
      </c>
      <c r="BC5" s="56" t="s">
        <v>175</v>
      </c>
      <c r="BD5" s="56" t="s">
        <v>176</v>
      </c>
      <c r="BE5" s="56" t="s">
        <v>177</v>
      </c>
      <c r="BF5" s="56" t="s">
        <v>178</v>
      </c>
      <c r="BG5" s="56" t="s">
        <v>179</v>
      </c>
      <c r="BH5" s="56" t="s">
        <v>180</v>
      </c>
      <c r="BI5" s="56" t="s">
        <v>181</v>
      </c>
      <c r="BJ5" s="56" t="s">
        <v>182</v>
      </c>
      <c r="BK5" s="56" t="s">
        <v>183</v>
      </c>
      <c r="BL5" s="56" t="s">
        <v>184</v>
      </c>
      <c r="BM5" s="56" t="s">
        <v>185</v>
      </c>
      <c r="BN5" s="56" t="s">
        <v>190</v>
      </c>
    </row>
    <row r="6" customFormat="false" ht="6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66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66"/>
    </row>
    <row r="7" customFormat="false" ht="19.5" hidden="false" customHeight="true" outlineLevel="0" collapsed="false">
      <c r="A7" s="92" t="s">
        <v>225</v>
      </c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2"/>
      <c r="BF7" s="92"/>
      <c r="BG7" s="92"/>
      <c r="BH7" s="92"/>
      <c r="BI7" s="92"/>
      <c r="BJ7" s="92"/>
      <c r="BK7" s="92"/>
      <c r="BL7" s="92"/>
      <c r="BM7" s="92"/>
      <c r="BN7" s="92"/>
    </row>
    <row r="8" customFormat="false" ht="19.5" hidden="false" customHeight="true" outlineLevel="0" collapsed="false">
      <c r="A8" s="93" t="str">
        <f aca="false">IFERROR(ASSUMPTIONS!B47,"(empty)")</f>
        <v>Engineering</v>
      </c>
      <c r="B8" s="94" t="n">
        <f aca="false">IFERROR(IF(1&gt;=ASSUMPTIONS!$C$47,ASSUMPTIONS!$D$47*(1+ASSUMPTIONS!$B$66),0),0)</f>
        <v>10242</v>
      </c>
      <c r="C8" s="94" t="n">
        <f aca="false">IFERROR(IF(2&gt;=ASSUMPTIONS!$C$47,ASSUMPTIONS!$D$47*(1+ASSUMPTIONS!$B$66),0),0)</f>
        <v>10242</v>
      </c>
      <c r="D8" s="94" t="n">
        <f aca="false">IFERROR(IF(3&gt;=ASSUMPTIONS!$C$47,ASSUMPTIONS!$D$47*(1+ASSUMPTIONS!$B$66),0),0)</f>
        <v>10242</v>
      </c>
      <c r="E8" s="94" t="n">
        <f aca="false">IFERROR(IF(4&gt;=ASSUMPTIONS!$C$47,ASSUMPTIONS!$D$47*(1+ASSUMPTIONS!$B$66),0),0)</f>
        <v>10242</v>
      </c>
      <c r="F8" s="94" t="n">
        <f aca="false">IFERROR(IF(5&gt;=ASSUMPTIONS!$C$47,ASSUMPTIONS!$D$47*(1+ASSUMPTIONS!$B$66),0),0)</f>
        <v>10242</v>
      </c>
      <c r="G8" s="94" t="n">
        <f aca="false">IFERROR(IF(6&gt;=ASSUMPTIONS!$C$47,ASSUMPTIONS!$D$47*(1+ASSUMPTIONS!$B$66),0),0)</f>
        <v>10242</v>
      </c>
      <c r="H8" s="94" t="n">
        <f aca="false">IFERROR(IF(7&gt;=ASSUMPTIONS!$C$47,ASSUMPTIONS!$D$47*(1+ASSUMPTIONS!$B$66),0),0)</f>
        <v>10242</v>
      </c>
      <c r="I8" s="94" t="n">
        <f aca="false">IFERROR(IF(8&gt;=ASSUMPTIONS!$C$47,ASSUMPTIONS!$D$47*(1+ASSUMPTIONS!$B$66),0),0)</f>
        <v>10242</v>
      </c>
      <c r="J8" s="94" t="n">
        <f aca="false">IFERROR(IF(9&gt;=ASSUMPTIONS!$C$47,ASSUMPTIONS!$D$47*(1+ASSUMPTIONS!$B$66),0),0)</f>
        <v>10242</v>
      </c>
      <c r="K8" s="94" t="n">
        <f aca="false">IFERROR(IF(10&gt;=ASSUMPTIONS!$C$47,ASSUMPTIONS!$D$47*(1+ASSUMPTIONS!$B$66),0),0)</f>
        <v>10242</v>
      </c>
      <c r="L8" s="94" t="n">
        <f aca="false">IFERROR(IF(11&gt;=ASSUMPTIONS!$C$47,ASSUMPTIONS!$D$47*(1+ASSUMPTIONS!$B$66),0),0)</f>
        <v>10242</v>
      </c>
      <c r="M8" s="94" t="n">
        <f aca="false">IFERROR(IF(12&gt;=ASSUMPTIONS!$C$47,ASSUMPTIONS!$D$47*(1+ASSUMPTIONS!$B$66),0),0)</f>
        <v>10242</v>
      </c>
      <c r="N8" s="95" t="n">
        <f aca="false">SUM(B8:M8)</f>
        <v>122904</v>
      </c>
      <c r="O8" s="94" t="n">
        <f aca="false">IFERROR(IF(13&gt;=ASSUMPTIONS!$C$47,ASSUMPTIONS!$D$47*(1+ASSUMPTIONS!$B$66),0),0)</f>
        <v>10242</v>
      </c>
      <c r="P8" s="94" t="n">
        <f aca="false">IFERROR(IF(14&gt;=ASSUMPTIONS!$C$47,ASSUMPTIONS!$D$47*(1+ASSUMPTIONS!$B$66),0),0)</f>
        <v>10242</v>
      </c>
      <c r="Q8" s="94" t="n">
        <f aca="false">IFERROR(IF(15&gt;=ASSUMPTIONS!$C$47,ASSUMPTIONS!$D$47*(1+ASSUMPTIONS!$B$66),0),0)</f>
        <v>10242</v>
      </c>
      <c r="R8" s="94" t="n">
        <f aca="false">IFERROR(IF(16&gt;=ASSUMPTIONS!$C$47,ASSUMPTIONS!$D$47*(1+ASSUMPTIONS!$B$66),0),0)</f>
        <v>10242</v>
      </c>
      <c r="S8" s="94" t="n">
        <f aca="false">IFERROR(IF(17&gt;=ASSUMPTIONS!$C$47,ASSUMPTIONS!$D$47*(1+ASSUMPTIONS!$B$66),0),0)</f>
        <v>10242</v>
      </c>
      <c r="T8" s="94" t="n">
        <f aca="false">IFERROR(IF(18&gt;=ASSUMPTIONS!$C$47,ASSUMPTIONS!$D$47*(1+ASSUMPTIONS!$B$66),0),0)</f>
        <v>10242</v>
      </c>
      <c r="U8" s="94" t="n">
        <f aca="false">IFERROR(IF(19&gt;=ASSUMPTIONS!$C$47,ASSUMPTIONS!$D$47*(1+ASSUMPTIONS!$B$66),0),0)</f>
        <v>10242</v>
      </c>
      <c r="V8" s="94" t="n">
        <f aca="false">IFERROR(IF(20&gt;=ASSUMPTIONS!$C$47,ASSUMPTIONS!$D$47*(1+ASSUMPTIONS!$B$66),0),0)</f>
        <v>10242</v>
      </c>
      <c r="W8" s="94" t="n">
        <f aca="false">IFERROR(IF(21&gt;=ASSUMPTIONS!$C$47,ASSUMPTIONS!$D$47*(1+ASSUMPTIONS!$B$66),0),0)</f>
        <v>10242</v>
      </c>
      <c r="X8" s="94" t="n">
        <f aca="false">IFERROR(IF(22&gt;=ASSUMPTIONS!$C$47,ASSUMPTIONS!$D$47*(1+ASSUMPTIONS!$B$66),0),0)</f>
        <v>10242</v>
      </c>
      <c r="Y8" s="94" t="n">
        <f aca="false">IFERROR(IF(23&gt;=ASSUMPTIONS!$C$47,ASSUMPTIONS!$D$47*(1+ASSUMPTIONS!$B$66),0),0)</f>
        <v>10242</v>
      </c>
      <c r="Z8" s="94" t="n">
        <f aca="false">IFERROR(IF(24&gt;=ASSUMPTIONS!$C$47,ASSUMPTIONS!$D$47*(1+ASSUMPTIONS!$B$66),0),0)</f>
        <v>10242</v>
      </c>
      <c r="AA8" s="95" t="n">
        <f aca="false">SUM(O8:Z8)</f>
        <v>122904</v>
      </c>
      <c r="AB8" s="94" t="n">
        <f aca="false">IFERROR(IF(25&gt;=ASSUMPTIONS!$C$47,ASSUMPTIONS!$D$47*(1+ASSUMPTIONS!$B$66),0),0)</f>
        <v>10242</v>
      </c>
      <c r="AC8" s="94" t="n">
        <f aca="false">IFERROR(IF(26&gt;=ASSUMPTIONS!$C$47,ASSUMPTIONS!$D$47*(1+ASSUMPTIONS!$B$66),0),0)</f>
        <v>10242</v>
      </c>
      <c r="AD8" s="94" t="n">
        <f aca="false">IFERROR(IF(27&gt;=ASSUMPTIONS!$C$47,ASSUMPTIONS!$D$47*(1+ASSUMPTIONS!$B$66),0),0)</f>
        <v>10242</v>
      </c>
      <c r="AE8" s="94" t="n">
        <f aca="false">IFERROR(IF(28&gt;=ASSUMPTIONS!$C$47,ASSUMPTIONS!$D$47*(1+ASSUMPTIONS!$B$66),0),0)</f>
        <v>10242</v>
      </c>
      <c r="AF8" s="94" t="n">
        <f aca="false">IFERROR(IF(29&gt;=ASSUMPTIONS!$C$47,ASSUMPTIONS!$D$47*(1+ASSUMPTIONS!$B$66),0),0)</f>
        <v>10242</v>
      </c>
      <c r="AG8" s="94" t="n">
        <f aca="false">IFERROR(IF(30&gt;=ASSUMPTIONS!$C$47,ASSUMPTIONS!$D$47*(1+ASSUMPTIONS!$B$66),0),0)</f>
        <v>10242</v>
      </c>
      <c r="AH8" s="94" t="n">
        <f aca="false">IFERROR(IF(31&gt;=ASSUMPTIONS!$C$47,ASSUMPTIONS!$D$47*(1+ASSUMPTIONS!$B$66),0),0)</f>
        <v>10242</v>
      </c>
      <c r="AI8" s="94" t="n">
        <f aca="false">IFERROR(IF(32&gt;=ASSUMPTIONS!$C$47,ASSUMPTIONS!$D$47*(1+ASSUMPTIONS!$B$66),0),0)</f>
        <v>10242</v>
      </c>
      <c r="AJ8" s="94" t="n">
        <f aca="false">IFERROR(IF(33&gt;=ASSUMPTIONS!$C$47,ASSUMPTIONS!$D$47*(1+ASSUMPTIONS!$B$66),0),0)</f>
        <v>10242</v>
      </c>
      <c r="AK8" s="94" t="n">
        <f aca="false">IFERROR(IF(34&gt;=ASSUMPTIONS!$C$47,ASSUMPTIONS!$D$47*(1+ASSUMPTIONS!$B$66),0),0)</f>
        <v>10242</v>
      </c>
      <c r="AL8" s="94" t="n">
        <f aca="false">IFERROR(IF(35&gt;=ASSUMPTIONS!$C$47,ASSUMPTIONS!$D$47*(1+ASSUMPTIONS!$B$66),0),0)</f>
        <v>10242</v>
      </c>
      <c r="AM8" s="94" t="n">
        <f aca="false">IFERROR(IF(36&gt;=ASSUMPTIONS!$C$47,ASSUMPTIONS!$D$47*(1+ASSUMPTIONS!$B$66),0),0)</f>
        <v>10242</v>
      </c>
      <c r="AN8" s="95" t="n">
        <f aca="false">SUM(AB8:AM8)</f>
        <v>122904</v>
      </c>
      <c r="AO8" s="94" t="n">
        <f aca="false">IFERROR(IF(37&gt;=ASSUMPTIONS!$C$47,ASSUMPTIONS!$D$47*(1+ASSUMPTIONS!$B$66),0),0)</f>
        <v>10242</v>
      </c>
      <c r="AP8" s="94" t="n">
        <f aca="false">IFERROR(IF(38&gt;=ASSUMPTIONS!$C$47,ASSUMPTIONS!$D$47*(1+ASSUMPTIONS!$B$66),0),0)</f>
        <v>10242</v>
      </c>
      <c r="AQ8" s="94" t="n">
        <f aca="false">IFERROR(IF(39&gt;=ASSUMPTIONS!$C$47,ASSUMPTIONS!$D$47*(1+ASSUMPTIONS!$B$66),0),0)</f>
        <v>10242</v>
      </c>
      <c r="AR8" s="94" t="n">
        <f aca="false">IFERROR(IF(40&gt;=ASSUMPTIONS!$C$47,ASSUMPTIONS!$D$47*(1+ASSUMPTIONS!$B$66),0),0)</f>
        <v>10242</v>
      </c>
      <c r="AS8" s="94" t="n">
        <f aca="false">IFERROR(IF(41&gt;=ASSUMPTIONS!$C$47,ASSUMPTIONS!$D$47*(1+ASSUMPTIONS!$B$66),0),0)</f>
        <v>10242</v>
      </c>
      <c r="AT8" s="94" t="n">
        <f aca="false">IFERROR(IF(42&gt;=ASSUMPTIONS!$C$47,ASSUMPTIONS!$D$47*(1+ASSUMPTIONS!$B$66),0),0)</f>
        <v>10242</v>
      </c>
      <c r="AU8" s="94" t="n">
        <f aca="false">IFERROR(IF(43&gt;=ASSUMPTIONS!$C$47,ASSUMPTIONS!$D$47*(1+ASSUMPTIONS!$B$66),0),0)</f>
        <v>10242</v>
      </c>
      <c r="AV8" s="94" t="n">
        <f aca="false">IFERROR(IF(44&gt;=ASSUMPTIONS!$C$47,ASSUMPTIONS!$D$47*(1+ASSUMPTIONS!$B$66),0),0)</f>
        <v>10242</v>
      </c>
      <c r="AW8" s="94" t="n">
        <f aca="false">IFERROR(IF(45&gt;=ASSUMPTIONS!$C$47,ASSUMPTIONS!$D$47*(1+ASSUMPTIONS!$B$66),0),0)</f>
        <v>10242</v>
      </c>
      <c r="AX8" s="94" t="n">
        <f aca="false">IFERROR(IF(46&gt;=ASSUMPTIONS!$C$47,ASSUMPTIONS!$D$47*(1+ASSUMPTIONS!$B$66),0),0)</f>
        <v>10242</v>
      </c>
      <c r="AY8" s="94" t="n">
        <f aca="false">IFERROR(IF(47&gt;=ASSUMPTIONS!$C$47,ASSUMPTIONS!$D$47*(1+ASSUMPTIONS!$B$66),0),0)</f>
        <v>10242</v>
      </c>
      <c r="AZ8" s="94" t="n">
        <f aca="false">IFERROR(IF(48&gt;=ASSUMPTIONS!$C$47,ASSUMPTIONS!$D$47*(1+ASSUMPTIONS!$B$66),0),0)</f>
        <v>10242</v>
      </c>
      <c r="BA8" s="71" t="n">
        <f aca="false">SUM(AO8:AZ8)</f>
        <v>122904</v>
      </c>
      <c r="BB8" s="94" t="n">
        <f aca="false">IFERROR(IF(49&gt;=ASSUMPTIONS!$C$47,ASSUMPTIONS!$D$47*(1+ASSUMPTIONS!$B$66),0),0)</f>
        <v>10242</v>
      </c>
      <c r="BC8" s="94" t="n">
        <f aca="false">IFERROR(IF(50&gt;=ASSUMPTIONS!$C$47,ASSUMPTIONS!$D$47*(1+ASSUMPTIONS!$B$66),0),0)</f>
        <v>10242</v>
      </c>
      <c r="BD8" s="94" t="n">
        <f aca="false">IFERROR(IF(51&gt;=ASSUMPTIONS!$C$47,ASSUMPTIONS!$D$47*(1+ASSUMPTIONS!$B$66),0),0)</f>
        <v>10242</v>
      </c>
      <c r="BE8" s="94" t="n">
        <f aca="false">IFERROR(IF(52&gt;=ASSUMPTIONS!$C$47,ASSUMPTIONS!$D$47*(1+ASSUMPTIONS!$B$66),0),0)</f>
        <v>10242</v>
      </c>
      <c r="BF8" s="94" t="n">
        <f aca="false">IFERROR(IF(53&gt;=ASSUMPTIONS!$C$47,ASSUMPTIONS!$D$47*(1+ASSUMPTIONS!$B$66),0),0)</f>
        <v>10242</v>
      </c>
      <c r="BG8" s="94" t="n">
        <f aca="false">IFERROR(IF(54&gt;=ASSUMPTIONS!$C$47,ASSUMPTIONS!$D$47*(1+ASSUMPTIONS!$B$66),0),0)</f>
        <v>10242</v>
      </c>
      <c r="BH8" s="94" t="n">
        <f aca="false">IFERROR(IF(55&gt;=ASSUMPTIONS!$C$47,ASSUMPTIONS!$D$47*(1+ASSUMPTIONS!$B$66),0),0)</f>
        <v>10242</v>
      </c>
      <c r="BI8" s="94" t="n">
        <f aca="false">IFERROR(IF(56&gt;=ASSUMPTIONS!$C$47,ASSUMPTIONS!$D$47*(1+ASSUMPTIONS!$B$66),0),0)</f>
        <v>10242</v>
      </c>
      <c r="BJ8" s="94" t="n">
        <f aca="false">IFERROR(IF(57&gt;=ASSUMPTIONS!$C$47,ASSUMPTIONS!$D$47*(1+ASSUMPTIONS!$B$66),0),0)</f>
        <v>10242</v>
      </c>
      <c r="BK8" s="94" t="n">
        <f aca="false">IFERROR(IF(58&gt;=ASSUMPTIONS!$C$47,ASSUMPTIONS!$D$47*(1+ASSUMPTIONS!$B$66),0),0)</f>
        <v>10242</v>
      </c>
      <c r="BL8" s="94" t="n">
        <f aca="false">IFERROR(IF(59&gt;=ASSUMPTIONS!$C$47,ASSUMPTIONS!$D$47*(1+ASSUMPTIONS!$B$66),0),0)</f>
        <v>10242</v>
      </c>
      <c r="BM8" s="94" t="n">
        <f aca="false">IFERROR(IF(60&gt;=ASSUMPTIONS!$C$47,ASSUMPTIONS!$D$47*(1+ASSUMPTIONS!$B$66),0),0)</f>
        <v>10242</v>
      </c>
      <c r="BN8" s="71" t="n">
        <f aca="false">SUM(BB8:BM8)</f>
        <v>122904</v>
      </c>
    </row>
    <row r="9" customFormat="false" ht="19.5" hidden="false" customHeight="true" outlineLevel="0" collapsed="false">
      <c r="A9" s="93" t="str">
        <f aca="false">IFERROR(ASSUMPTIONS!B48,"(empty)")</f>
        <v>Engineering</v>
      </c>
      <c r="B9" s="94" t="n">
        <f aca="false">IFERROR(IF(1&gt;=ASSUMPTIONS!$C$48,ASSUMPTIONS!$D$48*(1+ASSUMPTIONS!$B$66),0),0)</f>
        <v>7966</v>
      </c>
      <c r="C9" s="94" t="n">
        <f aca="false">IFERROR(IF(2&gt;=ASSUMPTIONS!$C$48,ASSUMPTIONS!$D$48*(1+ASSUMPTIONS!$B$66),0),0)</f>
        <v>7966</v>
      </c>
      <c r="D9" s="94" t="n">
        <f aca="false">IFERROR(IF(3&gt;=ASSUMPTIONS!$C$48,ASSUMPTIONS!$D$48*(1+ASSUMPTIONS!$B$66),0),0)</f>
        <v>7966</v>
      </c>
      <c r="E9" s="94" t="n">
        <f aca="false">IFERROR(IF(4&gt;=ASSUMPTIONS!$C$48,ASSUMPTIONS!$D$48*(1+ASSUMPTIONS!$B$66),0),0)</f>
        <v>7966</v>
      </c>
      <c r="F9" s="94" t="n">
        <f aca="false">IFERROR(IF(5&gt;=ASSUMPTIONS!$C$48,ASSUMPTIONS!$D$48*(1+ASSUMPTIONS!$B$66),0),0)</f>
        <v>7966</v>
      </c>
      <c r="G9" s="94" t="n">
        <f aca="false">IFERROR(IF(6&gt;=ASSUMPTIONS!$C$48,ASSUMPTIONS!$D$48*(1+ASSUMPTIONS!$B$66),0),0)</f>
        <v>7966</v>
      </c>
      <c r="H9" s="94" t="n">
        <f aca="false">IFERROR(IF(7&gt;=ASSUMPTIONS!$C$48,ASSUMPTIONS!$D$48*(1+ASSUMPTIONS!$B$66),0),0)</f>
        <v>7966</v>
      </c>
      <c r="I9" s="94" t="n">
        <f aca="false">IFERROR(IF(8&gt;=ASSUMPTIONS!$C$48,ASSUMPTIONS!$D$48*(1+ASSUMPTIONS!$B$66),0),0)</f>
        <v>7966</v>
      </c>
      <c r="J9" s="94" t="n">
        <f aca="false">IFERROR(IF(9&gt;=ASSUMPTIONS!$C$48,ASSUMPTIONS!$D$48*(1+ASSUMPTIONS!$B$66),0),0)</f>
        <v>7966</v>
      </c>
      <c r="K9" s="94" t="n">
        <f aca="false">IFERROR(IF(10&gt;=ASSUMPTIONS!$C$48,ASSUMPTIONS!$D$48*(1+ASSUMPTIONS!$B$66),0),0)</f>
        <v>7966</v>
      </c>
      <c r="L9" s="94" t="n">
        <f aca="false">IFERROR(IF(11&gt;=ASSUMPTIONS!$C$48,ASSUMPTIONS!$D$48*(1+ASSUMPTIONS!$B$66),0),0)</f>
        <v>7966</v>
      </c>
      <c r="M9" s="94" t="n">
        <f aca="false">IFERROR(IF(12&gt;=ASSUMPTIONS!$C$48,ASSUMPTIONS!$D$48*(1+ASSUMPTIONS!$B$66),0),0)</f>
        <v>7966</v>
      </c>
      <c r="N9" s="95" t="n">
        <f aca="false">SUM(B9:M9)</f>
        <v>95592</v>
      </c>
      <c r="O9" s="94" t="n">
        <f aca="false">IFERROR(IF(13&gt;=ASSUMPTIONS!$C$48,ASSUMPTIONS!$D$48*(1+ASSUMPTIONS!$B$66),0),0)</f>
        <v>7966</v>
      </c>
      <c r="P9" s="94" t="n">
        <f aca="false">IFERROR(IF(14&gt;=ASSUMPTIONS!$C$48,ASSUMPTIONS!$D$48*(1+ASSUMPTIONS!$B$66),0),0)</f>
        <v>7966</v>
      </c>
      <c r="Q9" s="94" t="n">
        <f aca="false">IFERROR(IF(15&gt;=ASSUMPTIONS!$C$48,ASSUMPTIONS!$D$48*(1+ASSUMPTIONS!$B$66),0),0)</f>
        <v>7966</v>
      </c>
      <c r="R9" s="94" t="n">
        <f aca="false">IFERROR(IF(16&gt;=ASSUMPTIONS!$C$48,ASSUMPTIONS!$D$48*(1+ASSUMPTIONS!$B$66),0),0)</f>
        <v>7966</v>
      </c>
      <c r="S9" s="94" t="n">
        <f aca="false">IFERROR(IF(17&gt;=ASSUMPTIONS!$C$48,ASSUMPTIONS!$D$48*(1+ASSUMPTIONS!$B$66),0),0)</f>
        <v>7966</v>
      </c>
      <c r="T9" s="94" t="n">
        <f aca="false">IFERROR(IF(18&gt;=ASSUMPTIONS!$C$48,ASSUMPTIONS!$D$48*(1+ASSUMPTIONS!$B$66),0),0)</f>
        <v>7966</v>
      </c>
      <c r="U9" s="94" t="n">
        <f aca="false">IFERROR(IF(19&gt;=ASSUMPTIONS!$C$48,ASSUMPTIONS!$D$48*(1+ASSUMPTIONS!$B$66),0),0)</f>
        <v>7966</v>
      </c>
      <c r="V9" s="94" t="n">
        <f aca="false">IFERROR(IF(20&gt;=ASSUMPTIONS!$C$48,ASSUMPTIONS!$D$48*(1+ASSUMPTIONS!$B$66),0),0)</f>
        <v>7966</v>
      </c>
      <c r="W9" s="94" t="n">
        <f aca="false">IFERROR(IF(21&gt;=ASSUMPTIONS!$C$48,ASSUMPTIONS!$D$48*(1+ASSUMPTIONS!$B$66),0),0)</f>
        <v>7966</v>
      </c>
      <c r="X9" s="94" t="n">
        <f aca="false">IFERROR(IF(22&gt;=ASSUMPTIONS!$C$48,ASSUMPTIONS!$D$48*(1+ASSUMPTIONS!$B$66),0),0)</f>
        <v>7966</v>
      </c>
      <c r="Y9" s="94" t="n">
        <f aca="false">IFERROR(IF(23&gt;=ASSUMPTIONS!$C$48,ASSUMPTIONS!$D$48*(1+ASSUMPTIONS!$B$66),0),0)</f>
        <v>7966</v>
      </c>
      <c r="Z9" s="94" t="n">
        <f aca="false">IFERROR(IF(24&gt;=ASSUMPTIONS!$C$48,ASSUMPTIONS!$D$48*(1+ASSUMPTIONS!$B$66),0),0)</f>
        <v>7966</v>
      </c>
      <c r="AA9" s="95" t="n">
        <f aca="false">SUM(O9:Z9)</f>
        <v>95592</v>
      </c>
      <c r="AB9" s="94" t="n">
        <f aca="false">IFERROR(IF(25&gt;=ASSUMPTIONS!$C$48,ASSUMPTIONS!$D$48*(1+ASSUMPTIONS!$B$66),0),0)</f>
        <v>7966</v>
      </c>
      <c r="AC9" s="94" t="n">
        <f aca="false">IFERROR(IF(26&gt;=ASSUMPTIONS!$C$48,ASSUMPTIONS!$D$48*(1+ASSUMPTIONS!$B$66),0),0)</f>
        <v>7966</v>
      </c>
      <c r="AD9" s="94" t="n">
        <f aca="false">IFERROR(IF(27&gt;=ASSUMPTIONS!$C$48,ASSUMPTIONS!$D$48*(1+ASSUMPTIONS!$B$66),0),0)</f>
        <v>7966</v>
      </c>
      <c r="AE9" s="94" t="n">
        <f aca="false">IFERROR(IF(28&gt;=ASSUMPTIONS!$C$48,ASSUMPTIONS!$D$48*(1+ASSUMPTIONS!$B$66),0),0)</f>
        <v>7966</v>
      </c>
      <c r="AF9" s="94" t="n">
        <f aca="false">IFERROR(IF(29&gt;=ASSUMPTIONS!$C$48,ASSUMPTIONS!$D$48*(1+ASSUMPTIONS!$B$66),0),0)</f>
        <v>7966</v>
      </c>
      <c r="AG9" s="94" t="n">
        <f aca="false">IFERROR(IF(30&gt;=ASSUMPTIONS!$C$48,ASSUMPTIONS!$D$48*(1+ASSUMPTIONS!$B$66),0),0)</f>
        <v>7966</v>
      </c>
      <c r="AH9" s="94" t="n">
        <f aca="false">IFERROR(IF(31&gt;=ASSUMPTIONS!$C$48,ASSUMPTIONS!$D$48*(1+ASSUMPTIONS!$B$66),0),0)</f>
        <v>7966</v>
      </c>
      <c r="AI9" s="94" t="n">
        <f aca="false">IFERROR(IF(32&gt;=ASSUMPTIONS!$C$48,ASSUMPTIONS!$D$48*(1+ASSUMPTIONS!$B$66),0),0)</f>
        <v>7966</v>
      </c>
      <c r="AJ9" s="94" t="n">
        <f aca="false">IFERROR(IF(33&gt;=ASSUMPTIONS!$C$48,ASSUMPTIONS!$D$48*(1+ASSUMPTIONS!$B$66),0),0)</f>
        <v>7966</v>
      </c>
      <c r="AK9" s="94" t="n">
        <f aca="false">IFERROR(IF(34&gt;=ASSUMPTIONS!$C$48,ASSUMPTIONS!$D$48*(1+ASSUMPTIONS!$B$66),0),0)</f>
        <v>7966</v>
      </c>
      <c r="AL9" s="94" t="n">
        <f aca="false">IFERROR(IF(35&gt;=ASSUMPTIONS!$C$48,ASSUMPTIONS!$D$48*(1+ASSUMPTIONS!$B$66),0),0)</f>
        <v>7966</v>
      </c>
      <c r="AM9" s="94" t="n">
        <f aca="false">IFERROR(IF(36&gt;=ASSUMPTIONS!$C$48,ASSUMPTIONS!$D$48*(1+ASSUMPTIONS!$B$66),0),0)</f>
        <v>7966</v>
      </c>
      <c r="AN9" s="95" t="n">
        <f aca="false">SUM(AB9:AM9)</f>
        <v>95592</v>
      </c>
      <c r="AO9" s="94" t="n">
        <f aca="false">IFERROR(IF(37&gt;=ASSUMPTIONS!$C$48,ASSUMPTIONS!$D$48*(1+ASSUMPTIONS!$B$66),0),0)</f>
        <v>7966</v>
      </c>
      <c r="AP9" s="94" t="n">
        <f aca="false">IFERROR(IF(38&gt;=ASSUMPTIONS!$C$48,ASSUMPTIONS!$D$48*(1+ASSUMPTIONS!$B$66),0),0)</f>
        <v>7966</v>
      </c>
      <c r="AQ9" s="94" t="n">
        <f aca="false">IFERROR(IF(39&gt;=ASSUMPTIONS!$C$48,ASSUMPTIONS!$D$48*(1+ASSUMPTIONS!$B$66),0),0)</f>
        <v>7966</v>
      </c>
      <c r="AR9" s="94" t="n">
        <f aca="false">IFERROR(IF(40&gt;=ASSUMPTIONS!$C$48,ASSUMPTIONS!$D$48*(1+ASSUMPTIONS!$B$66),0),0)</f>
        <v>7966</v>
      </c>
      <c r="AS9" s="94" t="n">
        <f aca="false">IFERROR(IF(41&gt;=ASSUMPTIONS!$C$48,ASSUMPTIONS!$D$48*(1+ASSUMPTIONS!$B$66),0),0)</f>
        <v>7966</v>
      </c>
      <c r="AT9" s="94" t="n">
        <f aca="false">IFERROR(IF(42&gt;=ASSUMPTIONS!$C$48,ASSUMPTIONS!$D$48*(1+ASSUMPTIONS!$B$66),0),0)</f>
        <v>7966</v>
      </c>
      <c r="AU9" s="94" t="n">
        <f aca="false">IFERROR(IF(43&gt;=ASSUMPTIONS!$C$48,ASSUMPTIONS!$D$48*(1+ASSUMPTIONS!$B$66),0),0)</f>
        <v>7966</v>
      </c>
      <c r="AV9" s="94" t="n">
        <f aca="false">IFERROR(IF(44&gt;=ASSUMPTIONS!$C$48,ASSUMPTIONS!$D$48*(1+ASSUMPTIONS!$B$66),0),0)</f>
        <v>7966</v>
      </c>
      <c r="AW9" s="94" t="n">
        <f aca="false">IFERROR(IF(45&gt;=ASSUMPTIONS!$C$48,ASSUMPTIONS!$D$48*(1+ASSUMPTIONS!$B$66),0),0)</f>
        <v>7966</v>
      </c>
      <c r="AX9" s="94" t="n">
        <f aca="false">IFERROR(IF(46&gt;=ASSUMPTIONS!$C$48,ASSUMPTIONS!$D$48*(1+ASSUMPTIONS!$B$66),0),0)</f>
        <v>7966</v>
      </c>
      <c r="AY9" s="94" t="n">
        <f aca="false">IFERROR(IF(47&gt;=ASSUMPTIONS!$C$48,ASSUMPTIONS!$D$48*(1+ASSUMPTIONS!$B$66),0),0)</f>
        <v>7966</v>
      </c>
      <c r="AZ9" s="94" t="n">
        <f aca="false">IFERROR(IF(48&gt;=ASSUMPTIONS!$C$48,ASSUMPTIONS!$D$48*(1+ASSUMPTIONS!$B$66),0),0)</f>
        <v>7966</v>
      </c>
      <c r="BA9" s="71" t="n">
        <f aca="false">SUM(AO9:AZ9)</f>
        <v>95592</v>
      </c>
      <c r="BB9" s="94" t="n">
        <f aca="false">IFERROR(IF(49&gt;=ASSUMPTIONS!$C$48,ASSUMPTIONS!$D$48*(1+ASSUMPTIONS!$B$66),0),0)</f>
        <v>7966</v>
      </c>
      <c r="BC9" s="94" t="n">
        <f aca="false">IFERROR(IF(50&gt;=ASSUMPTIONS!$C$48,ASSUMPTIONS!$D$48*(1+ASSUMPTIONS!$B$66),0),0)</f>
        <v>7966</v>
      </c>
      <c r="BD9" s="94" t="n">
        <f aca="false">IFERROR(IF(51&gt;=ASSUMPTIONS!$C$48,ASSUMPTIONS!$D$48*(1+ASSUMPTIONS!$B$66),0),0)</f>
        <v>7966</v>
      </c>
      <c r="BE9" s="94" t="n">
        <f aca="false">IFERROR(IF(52&gt;=ASSUMPTIONS!$C$48,ASSUMPTIONS!$D$48*(1+ASSUMPTIONS!$B$66),0),0)</f>
        <v>7966</v>
      </c>
      <c r="BF9" s="94" t="n">
        <f aca="false">IFERROR(IF(53&gt;=ASSUMPTIONS!$C$48,ASSUMPTIONS!$D$48*(1+ASSUMPTIONS!$B$66),0),0)</f>
        <v>7966</v>
      </c>
      <c r="BG9" s="94" t="n">
        <f aca="false">IFERROR(IF(54&gt;=ASSUMPTIONS!$C$48,ASSUMPTIONS!$D$48*(1+ASSUMPTIONS!$B$66),0),0)</f>
        <v>7966</v>
      </c>
      <c r="BH9" s="94" t="n">
        <f aca="false">IFERROR(IF(55&gt;=ASSUMPTIONS!$C$48,ASSUMPTIONS!$D$48*(1+ASSUMPTIONS!$B$66),0),0)</f>
        <v>7966</v>
      </c>
      <c r="BI9" s="94" t="n">
        <f aca="false">IFERROR(IF(56&gt;=ASSUMPTIONS!$C$48,ASSUMPTIONS!$D$48*(1+ASSUMPTIONS!$B$66),0),0)</f>
        <v>7966</v>
      </c>
      <c r="BJ9" s="94" t="n">
        <f aca="false">IFERROR(IF(57&gt;=ASSUMPTIONS!$C$48,ASSUMPTIONS!$D$48*(1+ASSUMPTIONS!$B$66),0),0)</f>
        <v>7966</v>
      </c>
      <c r="BK9" s="94" t="n">
        <f aca="false">IFERROR(IF(58&gt;=ASSUMPTIONS!$C$48,ASSUMPTIONS!$D$48*(1+ASSUMPTIONS!$B$66),0),0)</f>
        <v>7966</v>
      </c>
      <c r="BL9" s="94" t="n">
        <f aca="false">IFERROR(IF(59&gt;=ASSUMPTIONS!$C$48,ASSUMPTIONS!$D$48*(1+ASSUMPTIONS!$B$66),0),0)</f>
        <v>7966</v>
      </c>
      <c r="BM9" s="94" t="n">
        <f aca="false">IFERROR(IF(60&gt;=ASSUMPTIONS!$C$48,ASSUMPTIONS!$D$48*(1+ASSUMPTIONS!$B$66),0),0)</f>
        <v>7966</v>
      </c>
      <c r="BN9" s="71" t="n">
        <f aca="false">SUM(BB9:BM9)</f>
        <v>95592</v>
      </c>
    </row>
    <row r="10" customFormat="false" ht="19.5" hidden="false" customHeight="true" outlineLevel="0" collapsed="false">
      <c r="A10" s="93" t="str">
        <f aca="false">IFERROR(ASSUMPTIONS!B49,"(empty)")</f>
        <v>Engineering</v>
      </c>
      <c r="B10" s="94" t="n">
        <f aca="false">IFERROR(IF(1&gt;=ASSUMPTIONS!$C$49,ASSUMPTIONS!$D$49*(1+ASSUMPTIONS!$B$66),0),0)</f>
        <v>0</v>
      </c>
      <c r="C10" s="94" t="n">
        <f aca="false">IFERROR(IF(2&gt;=ASSUMPTIONS!$C$49,ASSUMPTIONS!$D$49*(1+ASSUMPTIONS!$B$66),0),0)</f>
        <v>0</v>
      </c>
      <c r="D10" s="94" t="n">
        <f aca="false">IFERROR(IF(3&gt;=ASSUMPTIONS!$C$49,ASSUMPTIONS!$D$49*(1+ASSUMPTIONS!$B$66),0),0)</f>
        <v>6259</v>
      </c>
      <c r="E10" s="94" t="n">
        <f aca="false">IFERROR(IF(4&gt;=ASSUMPTIONS!$C$49,ASSUMPTIONS!$D$49*(1+ASSUMPTIONS!$B$66),0),0)</f>
        <v>6259</v>
      </c>
      <c r="F10" s="94" t="n">
        <f aca="false">IFERROR(IF(5&gt;=ASSUMPTIONS!$C$49,ASSUMPTIONS!$D$49*(1+ASSUMPTIONS!$B$66),0),0)</f>
        <v>6259</v>
      </c>
      <c r="G10" s="94" t="n">
        <f aca="false">IFERROR(IF(6&gt;=ASSUMPTIONS!$C$49,ASSUMPTIONS!$D$49*(1+ASSUMPTIONS!$B$66),0),0)</f>
        <v>6259</v>
      </c>
      <c r="H10" s="94" t="n">
        <f aca="false">IFERROR(IF(7&gt;=ASSUMPTIONS!$C$49,ASSUMPTIONS!$D$49*(1+ASSUMPTIONS!$B$66),0),0)</f>
        <v>6259</v>
      </c>
      <c r="I10" s="94" t="n">
        <f aca="false">IFERROR(IF(8&gt;=ASSUMPTIONS!$C$49,ASSUMPTIONS!$D$49*(1+ASSUMPTIONS!$B$66),0),0)</f>
        <v>6259</v>
      </c>
      <c r="J10" s="94" t="n">
        <f aca="false">IFERROR(IF(9&gt;=ASSUMPTIONS!$C$49,ASSUMPTIONS!$D$49*(1+ASSUMPTIONS!$B$66),0),0)</f>
        <v>6259</v>
      </c>
      <c r="K10" s="94" t="n">
        <f aca="false">IFERROR(IF(10&gt;=ASSUMPTIONS!$C$49,ASSUMPTIONS!$D$49*(1+ASSUMPTIONS!$B$66),0),0)</f>
        <v>6259</v>
      </c>
      <c r="L10" s="94" t="n">
        <f aca="false">IFERROR(IF(11&gt;=ASSUMPTIONS!$C$49,ASSUMPTIONS!$D$49*(1+ASSUMPTIONS!$B$66),0),0)</f>
        <v>6259</v>
      </c>
      <c r="M10" s="94" t="n">
        <f aca="false">IFERROR(IF(12&gt;=ASSUMPTIONS!$C$49,ASSUMPTIONS!$D$49*(1+ASSUMPTIONS!$B$66),0),0)</f>
        <v>6259</v>
      </c>
      <c r="N10" s="95" t="n">
        <f aca="false">SUM(B10:M10)</f>
        <v>62590</v>
      </c>
      <c r="O10" s="94" t="n">
        <f aca="false">IFERROR(IF(13&gt;=ASSUMPTIONS!$C$49,ASSUMPTIONS!$D$49*(1+ASSUMPTIONS!$B$66),0),0)</f>
        <v>6259</v>
      </c>
      <c r="P10" s="94" t="n">
        <f aca="false">IFERROR(IF(14&gt;=ASSUMPTIONS!$C$49,ASSUMPTIONS!$D$49*(1+ASSUMPTIONS!$B$66),0),0)</f>
        <v>6259</v>
      </c>
      <c r="Q10" s="94" t="n">
        <f aca="false">IFERROR(IF(15&gt;=ASSUMPTIONS!$C$49,ASSUMPTIONS!$D$49*(1+ASSUMPTIONS!$B$66),0),0)</f>
        <v>6259</v>
      </c>
      <c r="R10" s="94" t="n">
        <f aca="false">IFERROR(IF(16&gt;=ASSUMPTIONS!$C$49,ASSUMPTIONS!$D$49*(1+ASSUMPTIONS!$B$66),0),0)</f>
        <v>6259</v>
      </c>
      <c r="S10" s="94" t="n">
        <f aca="false">IFERROR(IF(17&gt;=ASSUMPTIONS!$C$49,ASSUMPTIONS!$D$49*(1+ASSUMPTIONS!$B$66),0),0)</f>
        <v>6259</v>
      </c>
      <c r="T10" s="94" t="n">
        <f aca="false">IFERROR(IF(18&gt;=ASSUMPTIONS!$C$49,ASSUMPTIONS!$D$49*(1+ASSUMPTIONS!$B$66),0),0)</f>
        <v>6259</v>
      </c>
      <c r="U10" s="94" t="n">
        <f aca="false">IFERROR(IF(19&gt;=ASSUMPTIONS!$C$49,ASSUMPTIONS!$D$49*(1+ASSUMPTIONS!$B$66),0),0)</f>
        <v>6259</v>
      </c>
      <c r="V10" s="94" t="n">
        <f aca="false">IFERROR(IF(20&gt;=ASSUMPTIONS!$C$49,ASSUMPTIONS!$D$49*(1+ASSUMPTIONS!$B$66),0),0)</f>
        <v>6259</v>
      </c>
      <c r="W10" s="94" t="n">
        <f aca="false">IFERROR(IF(21&gt;=ASSUMPTIONS!$C$49,ASSUMPTIONS!$D$49*(1+ASSUMPTIONS!$B$66),0),0)</f>
        <v>6259</v>
      </c>
      <c r="X10" s="94" t="n">
        <f aca="false">IFERROR(IF(22&gt;=ASSUMPTIONS!$C$49,ASSUMPTIONS!$D$49*(1+ASSUMPTIONS!$B$66),0),0)</f>
        <v>6259</v>
      </c>
      <c r="Y10" s="94" t="n">
        <f aca="false">IFERROR(IF(23&gt;=ASSUMPTIONS!$C$49,ASSUMPTIONS!$D$49*(1+ASSUMPTIONS!$B$66),0),0)</f>
        <v>6259</v>
      </c>
      <c r="Z10" s="94" t="n">
        <f aca="false">IFERROR(IF(24&gt;=ASSUMPTIONS!$C$49,ASSUMPTIONS!$D$49*(1+ASSUMPTIONS!$B$66),0),0)</f>
        <v>6259</v>
      </c>
      <c r="AA10" s="95" t="n">
        <f aca="false">SUM(O10:Z10)</f>
        <v>75108</v>
      </c>
      <c r="AB10" s="94" t="n">
        <f aca="false">IFERROR(IF(25&gt;=ASSUMPTIONS!$C$49,ASSUMPTIONS!$D$49*(1+ASSUMPTIONS!$B$66),0),0)</f>
        <v>6259</v>
      </c>
      <c r="AC10" s="94" t="n">
        <f aca="false">IFERROR(IF(26&gt;=ASSUMPTIONS!$C$49,ASSUMPTIONS!$D$49*(1+ASSUMPTIONS!$B$66),0),0)</f>
        <v>6259</v>
      </c>
      <c r="AD10" s="94" t="n">
        <f aca="false">IFERROR(IF(27&gt;=ASSUMPTIONS!$C$49,ASSUMPTIONS!$D$49*(1+ASSUMPTIONS!$B$66),0),0)</f>
        <v>6259</v>
      </c>
      <c r="AE10" s="94" t="n">
        <f aca="false">IFERROR(IF(28&gt;=ASSUMPTIONS!$C$49,ASSUMPTIONS!$D$49*(1+ASSUMPTIONS!$B$66),0),0)</f>
        <v>6259</v>
      </c>
      <c r="AF10" s="94" t="n">
        <f aca="false">IFERROR(IF(29&gt;=ASSUMPTIONS!$C$49,ASSUMPTIONS!$D$49*(1+ASSUMPTIONS!$B$66),0),0)</f>
        <v>6259</v>
      </c>
      <c r="AG10" s="94" t="n">
        <f aca="false">IFERROR(IF(30&gt;=ASSUMPTIONS!$C$49,ASSUMPTIONS!$D$49*(1+ASSUMPTIONS!$B$66),0),0)</f>
        <v>6259</v>
      </c>
      <c r="AH10" s="94" t="n">
        <f aca="false">IFERROR(IF(31&gt;=ASSUMPTIONS!$C$49,ASSUMPTIONS!$D$49*(1+ASSUMPTIONS!$B$66),0),0)</f>
        <v>6259</v>
      </c>
      <c r="AI10" s="94" t="n">
        <f aca="false">IFERROR(IF(32&gt;=ASSUMPTIONS!$C$49,ASSUMPTIONS!$D$49*(1+ASSUMPTIONS!$B$66),0),0)</f>
        <v>6259</v>
      </c>
      <c r="AJ10" s="94" t="n">
        <f aca="false">IFERROR(IF(33&gt;=ASSUMPTIONS!$C$49,ASSUMPTIONS!$D$49*(1+ASSUMPTIONS!$B$66),0),0)</f>
        <v>6259</v>
      </c>
      <c r="AK10" s="94" t="n">
        <f aca="false">IFERROR(IF(34&gt;=ASSUMPTIONS!$C$49,ASSUMPTIONS!$D$49*(1+ASSUMPTIONS!$B$66),0),0)</f>
        <v>6259</v>
      </c>
      <c r="AL10" s="94" t="n">
        <f aca="false">IFERROR(IF(35&gt;=ASSUMPTIONS!$C$49,ASSUMPTIONS!$D$49*(1+ASSUMPTIONS!$B$66),0),0)</f>
        <v>6259</v>
      </c>
      <c r="AM10" s="94" t="n">
        <f aca="false">IFERROR(IF(36&gt;=ASSUMPTIONS!$C$49,ASSUMPTIONS!$D$49*(1+ASSUMPTIONS!$B$66),0),0)</f>
        <v>6259</v>
      </c>
      <c r="AN10" s="95" t="n">
        <f aca="false">SUM(AB10:AM10)</f>
        <v>75108</v>
      </c>
      <c r="AO10" s="94" t="n">
        <f aca="false">IFERROR(IF(37&gt;=ASSUMPTIONS!$C$49,ASSUMPTIONS!$D$49*(1+ASSUMPTIONS!$B$66),0),0)</f>
        <v>6259</v>
      </c>
      <c r="AP10" s="94" t="n">
        <f aca="false">IFERROR(IF(38&gt;=ASSUMPTIONS!$C$49,ASSUMPTIONS!$D$49*(1+ASSUMPTIONS!$B$66),0),0)</f>
        <v>6259</v>
      </c>
      <c r="AQ10" s="94" t="n">
        <f aca="false">IFERROR(IF(39&gt;=ASSUMPTIONS!$C$49,ASSUMPTIONS!$D$49*(1+ASSUMPTIONS!$B$66),0),0)</f>
        <v>6259</v>
      </c>
      <c r="AR10" s="94" t="n">
        <f aca="false">IFERROR(IF(40&gt;=ASSUMPTIONS!$C$49,ASSUMPTIONS!$D$49*(1+ASSUMPTIONS!$B$66),0),0)</f>
        <v>6259</v>
      </c>
      <c r="AS10" s="94" t="n">
        <f aca="false">IFERROR(IF(41&gt;=ASSUMPTIONS!$C$49,ASSUMPTIONS!$D$49*(1+ASSUMPTIONS!$B$66),0),0)</f>
        <v>6259</v>
      </c>
      <c r="AT10" s="94" t="n">
        <f aca="false">IFERROR(IF(42&gt;=ASSUMPTIONS!$C$49,ASSUMPTIONS!$D$49*(1+ASSUMPTIONS!$B$66),0),0)</f>
        <v>6259</v>
      </c>
      <c r="AU10" s="94" t="n">
        <f aca="false">IFERROR(IF(43&gt;=ASSUMPTIONS!$C$49,ASSUMPTIONS!$D$49*(1+ASSUMPTIONS!$B$66),0),0)</f>
        <v>6259</v>
      </c>
      <c r="AV10" s="94" t="n">
        <f aca="false">IFERROR(IF(44&gt;=ASSUMPTIONS!$C$49,ASSUMPTIONS!$D$49*(1+ASSUMPTIONS!$B$66),0),0)</f>
        <v>6259</v>
      </c>
      <c r="AW10" s="94" t="n">
        <f aca="false">IFERROR(IF(45&gt;=ASSUMPTIONS!$C$49,ASSUMPTIONS!$D$49*(1+ASSUMPTIONS!$B$66),0),0)</f>
        <v>6259</v>
      </c>
      <c r="AX10" s="94" t="n">
        <f aca="false">IFERROR(IF(46&gt;=ASSUMPTIONS!$C$49,ASSUMPTIONS!$D$49*(1+ASSUMPTIONS!$B$66),0),0)</f>
        <v>6259</v>
      </c>
      <c r="AY10" s="94" t="n">
        <f aca="false">IFERROR(IF(47&gt;=ASSUMPTIONS!$C$49,ASSUMPTIONS!$D$49*(1+ASSUMPTIONS!$B$66),0),0)</f>
        <v>6259</v>
      </c>
      <c r="AZ10" s="94" t="n">
        <f aca="false">IFERROR(IF(48&gt;=ASSUMPTIONS!$C$49,ASSUMPTIONS!$D$49*(1+ASSUMPTIONS!$B$66),0),0)</f>
        <v>6259</v>
      </c>
      <c r="BA10" s="71" t="n">
        <f aca="false">SUM(AO10:AZ10)</f>
        <v>75108</v>
      </c>
      <c r="BB10" s="94" t="n">
        <f aca="false">IFERROR(IF(49&gt;=ASSUMPTIONS!$C$49,ASSUMPTIONS!$D$49*(1+ASSUMPTIONS!$B$66),0),0)</f>
        <v>6259</v>
      </c>
      <c r="BC10" s="94" t="n">
        <f aca="false">IFERROR(IF(50&gt;=ASSUMPTIONS!$C$49,ASSUMPTIONS!$D$49*(1+ASSUMPTIONS!$B$66),0),0)</f>
        <v>6259</v>
      </c>
      <c r="BD10" s="94" t="n">
        <f aca="false">IFERROR(IF(51&gt;=ASSUMPTIONS!$C$49,ASSUMPTIONS!$D$49*(1+ASSUMPTIONS!$B$66),0),0)</f>
        <v>6259</v>
      </c>
      <c r="BE10" s="94" t="n">
        <f aca="false">IFERROR(IF(52&gt;=ASSUMPTIONS!$C$49,ASSUMPTIONS!$D$49*(1+ASSUMPTIONS!$B$66),0),0)</f>
        <v>6259</v>
      </c>
      <c r="BF10" s="94" t="n">
        <f aca="false">IFERROR(IF(53&gt;=ASSUMPTIONS!$C$49,ASSUMPTIONS!$D$49*(1+ASSUMPTIONS!$B$66),0),0)</f>
        <v>6259</v>
      </c>
      <c r="BG10" s="94" t="n">
        <f aca="false">IFERROR(IF(54&gt;=ASSUMPTIONS!$C$49,ASSUMPTIONS!$D$49*(1+ASSUMPTIONS!$B$66),0),0)</f>
        <v>6259</v>
      </c>
      <c r="BH10" s="94" t="n">
        <f aca="false">IFERROR(IF(55&gt;=ASSUMPTIONS!$C$49,ASSUMPTIONS!$D$49*(1+ASSUMPTIONS!$B$66),0),0)</f>
        <v>6259</v>
      </c>
      <c r="BI10" s="94" t="n">
        <f aca="false">IFERROR(IF(56&gt;=ASSUMPTIONS!$C$49,ASSUMPTIONS!$D$49*(1+ASSUMPTIONS!$B$66),0),0)</f>
        <v>6259</v>
      </c>
      <c r="BJ10" s="94" t="n">
        <f aca="false">IFERROR(IF(57&gt;=ASSUMPTIONS!$C$49,ASSUMPTIONS!$D$49*(1+ASSUMPTIONS!$B$66),0),0)</f>
        <v>6259</v>
      </c>
      <c r="BK10" s="94" t="n">
        <f aca="false">IFERROR(IF(58&gt;=ASSUMPTIONS!$C$49,ASSUMPTIONS!$D$49*(1+ASSUMPTIONS!$B$66),0),0)</f>
        <v>6259</v>
      </c>
      <c r="BL10" s="94" t="n">
        <f aca="false">IFERROR(IF(59&gt;=ASSUMPTIONS!$C$49,ASSUMPTIONS!$D$49*(1+ASSUMPTIONS!$B$66),0),0)</f>
        <v>6259</v>
      </c>
      <c r="BM10" s="94" t="n">
        <f aca="false">IFERROR(IF(60&gt;=ASSUMPTIONS!$C$49,ASSUMPTIONS!$D$49*(1+ASSUMPTIONS!$B$66),0),0)</f>
        <v>6259</v>
      </c>
      <c r="BN10" s="71" t="n">
        <f aca="false">SUM(BB10:BM10)</f>
        <v>75108</v>
      </c>
    </row>
    <row r="11" customFormat="false" ht="19.5" hidden="false" customHeight="true" outlineLevel="0" collapsed="false">
      <c r="A11" s="93" t="str">
        <f aca="false">IFERROR(ASSUMPTIONS!B50,"(empty)")</f>
        <v>Engineering</v>
      </c>
      <c r="B11" s="94" t="n">
        <f aca="false">IFERROR(IF(1&gt;=ASSUMPTIONS!$C$50,ASSUMPTIONS!$D$50*(1+ASSUMPTIONS!$B$66),0),0)</f>
        <v>0</v>
      </c>
      <c r="C11" s="94" t="n">
        <f aca="false">IFERROR(IF(2&gt;=ASSUMPTIONS!$C$50,ASSUMPTIONS!$D$50*(1+ASSUMPTIONS!$B$66),0),0)</f>
        <v>0</v>
      </c>
      <c r="D11" s="94" t="n">
        <f aca="false">IFERROR(IF(3&gt;=ASSUMPTIONS!$C$50,ASSUMPTIONS!$D$50*(1+ASSUMPTIONS!$B$66),0),0)</f>
        <v>0</v>
      </c>
      <c r="E11" s="94" t="n">
        <f aca="false">IFERROR(IF(4&gt;=ASSUMPTIONS!$C$50,ASSUMPTIONS!$D$50*(1+ASSUMPTIONS!$B$66),0),0)</f>
        <v>0</v>
      </c>
      <c r="F11" s="94" t="n">
        <f aca="false">IFERROR(IF(5&gt;=ASSUMPTIONS!$C$50,ASSUMPTIONS!$D$50*(1+ASSUMPTIONS!$B$66),0),0)</f>
        <v>0</v>
      </c>
      <c r="G11" s="94" t="n">
        <f aca="false">IFERROR(IF(6&gt;=ASSUMPTIONS!$C$50,ASSUMPTIONS!$D$50*(1+ASSUMPTIONS!$B$66),0),0)</f>
        <v>6259</v>
      </c>
      <c r="H11" s="94" t="n">
        <f aca="false">IFERROR(IF(7&gt;=ASSUMPTIONS!$C$50,ASSUMPTIONS!$D$50*(1+ASSUMPTIONS!$B$66),0),0)</f>
        <v>6259</v>
      </c>
      <c r="I11" s="94" t="n">
        <f aca="false">IFERROR(IF(8&gt;=ASSUMPTIONS!$C$50,ASSUMPTIONS!$D$50*(1+ASSUMPTIONS!$B$66),0),0)</f>
        <v>6259</v>
      </c>
      <c r="J11" s="94" t="n">
        <f aca="false">IFERROR(IF(9&gt;=ASSUMPTIONS!$C$50,ASSUMPTIONS!$D$50*(1+ASSUMPTIONS!$B$66),0),0)</f>
        <v>6259</v>
      </c>
      <c r="K11" s="94" t="n">
        <f aca="false">IFERROR(IF(10&gt;=ASSUMPTIONS!$C$50,ASSUMPTIONS!$D$50*(1+ASSUMPTIONS!$B$66),0),0)</f>
        <v>6259</v>
      </c>
      <c r="L11" s="94" t="n">
        <f aca="false">IFERROR(IF(11&gt;=ASSUMPTIONS!$C$50,ASSUMPTIONS!$D$50*(1+ASSUMPTIONS!$B$66),0),0)</f>
        <v>6259</v>
      </c>
      <c r="M11" s="94" t="n">
        <f aca="false">IFERROR(IF(12&gt;=ASSUMPTIONS!$C$50,ASSUMPTIONS!$D$50*(1+ASSUMPTIONS!$B$66),0),0)</f>
        <v>6259</v>
      </c>
      <c r="N11" s="95" t="n">
        <f aca="false">SUM(B11:M11)</f>
        <v>43813</v>
      </c>
      <c r="O11" s="94" t="n">
        <f aca="false">IFERROR(IF(13&gt;=ASSUMPTIONS!$C$50,ASSUMPTIONS!$D$50*(1+ASSUMPTIONS!$B$66),0),0)</f>
        <v>6259</v>
      </c>
      <c r="P11" s="94" t="n">
        <f aca="false">IFERROR(IF(14&gt;=ASSUMPTIONS!$C$50,ASSUMPTIONS!$D$50*(1+ASSUMPTIONS!$B$66),0),0)</f>
        <v>6259</v>
      </c>
      <c r="Q11" s="94" t="n">
        <f aca="false">IFERROR(IF(15&gt;=ASSUMPTIONS!$C$50,ASSUMPTIONS!$D$50*(1+ASSUMPTIONS!$B$66),0),0)</f>
        <v>6259</v>
      </c>
      <c r="R11" s="94" t="n">
        <f aca="false">IFERROR(IF(16&gt;=ASSUMPTIONS!$C$50,ASSUMPTIONS!$D$50*(1+ASSUMPTIONS!$B$66),0),0)</f>
        <v>6259</v>
      </c>
      <c r="S11" s="94" t="n">
        <f aca="false">IFERROR(IF(17&gt;=ASSUMPTIONS!$C$50,ASSUMPTIONS!$D$50*(1+ASSUMPTIONS!$B$66),0),0)</f>
        <v>6259</v>
      </c>
      <c r="T11" s="94" t="n">
        <f aca="false">IFERROR(IF(18&gt;=ASSUMPTIONS!$C$50,ASSUMPTIONS!$D$50*(1+ASSUMPTIONS!$B$66),0),0)</f>
        <v>6259</v>
      </c>
      <c r="U11" s="94" t="n">
        <f aca="false">IFERROR(IF(19&gt;=ASSUMPTIONS!$C$50,ASSUMPTIONS!$D$50*(1+ASSUMPTIONS!$B$66),0),0)</f>
        <v>6259</v>
      </c>
      <c r="V11" s="94" t="n">
        <f aca="false">IFERROR(IF(20&gt;=ASSUMPTIONS!$C$50,ASSUMPTIONS!$D$50*(1+ASSUMPTIONS!$B$66),0),0)</f>
        <v>6259</v>
      </c>
      <c r="W11" s="94" t="n">
        <f aca="false">IFERROR(IF(21&gt;=ASSUMPTIONS!$C$50,ASSUMPTIONS!$D$50*(1+ASSUMPTIONS!$B$66),0),0)</f>
        <v>6259</v>
      </c>
      <c r="X11" s="94" t="n">
        <f aca="false">IFERROR(IF(22&gt;=ASSUMPTIONS!$C$50,ASSUMPTIONS!$D$50*(1+ASSUMPTIONS!$B$66),0),0)</f>
        <v>6259</v>
      </c>
      <c r="Y11" s="94" t="n">
        <f aca="false">IFERROR(IF(23&gt;=ASSUMPTIONS!$C$50,ASSUMPTIONS!$D$50*(1+ASSUMPTIONS!$B$66),0),0)</f>
        <v>6259</v>
      </c>
      <c r="Z11" s="94" t="n">
        <f aca="false">IFERROR(IF(24&gt;=ASSUMPTIONS!$C$50,ASSUMPTIONS!$D$50*(1+ASSUMPTIONS!$B$66),0),0)</f>
        <v>6259</v>
      </c>
      <c r="AA11" s="95" t="n">
        <f aca="false">SUM(O11:Z11)</f>
        <v>75108</v>
      </c>
      <c r="AB11" s="94" t="n">
        <f aca="false">IFERROR(IF(25&gt;=ASSUMPTIONS!$C$50,ASSUMPTIONS!$D$50*(1+ASSUMPTIONS!$B$66),0),0)</f>
        <v>6259</v>
      </c>
      <c r="AC11" s="94" t="n">
        <f aca="false">IFERROR(IF(26&gt;=ASSUMPTIONS!$C$50,ASSUMPTIONS!$D$50*(1+ASSUMPTIONS!$B$66),0),0)</f>
        <v>6259</v>
      </c>
      <c r="AD11" s="94" t="n">
        <f aca="false">IFERROR(IF(27&gt;=ASSUMPTIONS!$C$50,ASSUMPTIONS!$D$50*(1+ASSUMPTIONS!$B$66),0),0)</f>
        <v>6259</v>
      </c>
      <c r="AE11" s="94" t="n">
        <f aca="false">IFERROR(IF(28&gt;=ASSUMPTIONS!$C$50,ASSUMPTIONS!$D$50*(1+ASSUMPTIONS!$B$66),0),0)</f>
        <v>6259</v>
      </c>
      <c r="AF11" s="94" t="n">
        <f aca="false">IFERROR(IF(29&gt;=ASSUMPTIONS!$C$50,ASSUMPTIONS!$D$50*(1+ASSUMPTIONS!$B$66),0),0)</f>
        <v>6259</v>
      </c>
      <c r="AG11" s="94" t="n">
        <f aca="false">IFERROR(IF(30&gt;=ASSUMPTIONS!$C$50,ASSUMPTIONS!$D$50*(1+ASSUMPTIONS!$B$66),0),0)</f>
        <v>6259</v>
      </c>
      <c r="AH11" s="94" t="n">
        <f aca="false">IFERROR(IF(31&gt;=ASSUMPTIONS!$C$50,ASSUMPTIONS!$D$50*(1+ASSUMPTIONS!$B$66),0),0)</f>
        <v>6259</v>
      </c>
      <c r="AI11" s="94" t="n">
        <f aca="false">IFERROR(IF(32&gt;=ASSUMPTIONS!$C$50,ASSUMPTIONS!$D$50*(1+ASSUMPTIONS!$B$66),0),0)</f>
        <v>6259</v>
      </c>
      <c r="AJ11" s="94" t="n">
        <f aca="false">IFERROR(IF(33&gt;=ASSUMPTIONS!$C$50,ASSUMPTIONS!$D$50*(1+ASSUMPTIONS!$B$66),0),0)</f>
        <v>6259</v>
      </c>
      <c r="AK11" s="94" t="n">
        <f aca="false">IFERROR(IF(34&gt;=ASSUMPTIONS!$C$50,ASSUMPTIONS!$D$50*(1+ASSUMPTIONS!$B$66),0),0)</f>
        <v>6259</v>
      </c>
      <c r="AL11" s="94" t="n">
        <f aca="false">IFERROR(IF(35&gt;=ASSUMPTIONS!$C$50,ASSUMPTIONS!$D$50*(1+ASSUMPTIONS!$B$66),0),0)</f>
        <v>6259</v>
      </c>
      <c r="AM11" s="94" t="n">
        <f aca="false">IFERROR(IF(36&gt;=ASSUMPTIONS!$C$50,ASSUMPTIONS!$D$50*(1+ASSUMPTIONS!$B$66),0),0)</f>
        <v>6259</v>
      </c>
      <c r="AN11" s="95" t="n">
        <f aca="false">SUM(AB11:AM11)</f>
        <v>75108</v>
      </c>
      <c r="AO11" s="94" t="n">
        <f aca="false">IFERROR(IF(37&gt;=ASSUMPTIONS!$C$50,ASSUMPTIONS!$D$50*(1+ASSUMPTIONS!$B$66),0),0)</f>
        <v>6259</v>
      </c>
      <c r="AP11" s="94" t="n">
        <f aca="false">IFERROR(IF(38&gt;=ASSUMPTIONS!$C$50,ASSUMPTIONS!$D$50*(1+ASSUMPTIONS!$B$66),0),0)</f>
        <v>6259</v>
      </c>
      <c r="AQ11" s="94" t="n">
        <f aca="false">IFERROR(IF(39&gt;=ASSUMPTIONS!$C$50,ASSUMPTIONS!$D$50*(1+ASSUMPTIONS!$B$66),0),0)</f>
        <v>6259</v>
      </c>
      <c r="AR11" s="94" t="n">
        <f aca="false">IFERROR(IF(40&gt;=ASSUMPTIONS!$C$50,ASSUMPTIONS!$D$50*(1+ASSUMPTIONS!$B$66),0),0)</f>
        <v>6259</v>
      </c>
      <c r="AS11" s="94" t="n">
        <f aca="false">IFERROR(IF(41&gt;=ASSUMPTIONS!$C$50,ASSUMPTIONS!$D$50*(1+ASSUMPTIONS!$B$66),0),0)</f>
        <v>6259</v>
      </c>
      <c r="AT11" s="94" t="n">
        <f aca="false">IFERROR(IF(42&gt;=ASSUMPTIONS!$C$50,ASSUMPTIONS!$D$50*(1+ASSUMPTIONS!$B$66),0),0)</f>
        <v>6259</v>
      </c>
      <c r="AU11" s="94" t="n">
        <f aca="false">IFERROR(IF(43&gt;=ASSUMPTIONS!$C$50,ASSUMPTIONS!$D$50*(1+ASSUMPTIONS!$B$66),0),0)</f>
        <v>6259</v>
      </c>
      <c r="AV11" s="94" t="n">
        <f aca="false">IFERROR(IF(44&gt;=ASSUMPTIONS!$C$50,ASSUMPTIONS!$D$50*(1+ASSUMPTIONS!$B$66),0),0)</f>
        <v>6259</v>
      </c>
      <c r="AW11" s="94" t="n">
        <f aca="false">IFERROR(IF(45&gt;=ASSUMPTIONS!$C$50,ASSUMPTIONS!$D$50*(1+ASSUMPTIONS!$B$66),0),0)</f>
        <v>6259</v>
      </c>
      <c r="AX11" s="94" t="n">
        <f aca="false">IFERROR(IF(46&gt;=ASSUMPTIONS!$C$50,ASSUMPTIONS!$D$50*(1+ASSUMPTIONS!$B$66),0),0)</f>
        <v>6259</v>
      </c>
      <c r="AY11" s="94" t="n">
        <f aca="false">IFERROR(IF(47&gt;=ASSUMPTIONS!$C$50,ASSUMPTIONS!$D$50*(1+ASSUMPTIONS!$B$66),0),0)</f>
        <v>6259</v>
      </c>
      <c r="AZ11" s="94" t="n">
        <f aca="false">IFERROR(IF(48&gt;=ASSUMPTIONS!$C$50,ASSUMPTIONS!$D$50*(1+ASSUMPTIONS!$B$66),0),0)</f>
        <v>6259</v>
      </c>
      <c r="BA11" s="71" t="n">
        <f aca="false">SUM(AO11:AZ11)</f>
        <v>75108</v>
      </c>
      <c r="BB11" s="94" t="n">
        <f aca="false">IFERROR(IF(49&gt;=ASSUMPTIONS!$C$50,ASSUMPTIONS!$D$50*(1+ASSUMPTIONS!$B$66),0),0)</f>
        <v>6259</v>
      </c>
      <c r="BC11" s="94" t="n">
        <f aca="false">IFERROR(IF(50&gt;=ASSUMPTIONS!$C$50,ASSUMPTIONS!$D$50*(1+ASSUMPTIONS!$B$66),0),0)</f>
        <v>6259</v>
      </c>
      <c r="BD11" s="94" t="n">
        <f aca="false">IFERROR(IF(51&gt;=ASSUMPTIONS!$C$50,ASSUMPTIONS!$D$50*(1+ASSUMPTIONS!$B$66),0),0)</f>
        <v>6259</v>
      </c>
      <c r="BE11" s="94" t="n">
        <f aca="false">IFERROR(IF(52&gt;=ASSUMPTIONS!$C$50,ASSUMPTIONS!$D$50*(1+ASSUMPTIONS!$B$66),0),0)</f>
        <v>6259</v>
      </c>
      <c r="BF11" s="94" t="n">
        <f aca="false">IFERROR(IF(53&gt;=ASSUMPTIONS!$C$50,ASSUMPTIONS!$D$50*(1+ASSUMPTIONS!$B$66),0),0)</f>
        <v>6259</v>
      </c>
      <c r="BG11" s="94" t="n">
        <f aca="false">IFERROR(IF(54&gt;=ASSUMPTIONS!$C$50,ASSUMPTIONS!$D$50*(1+ASSUMPTIONS!$B$66),0),0)</f>
        <v>6259</v>
      </c>
      <c r="BH11" s="94" t="n">
        <f aca="false">IFERROR(IF(55&gt;=ASSUMPTIONS!$C$50,ASSUMPTIONS!$D$50*(1+ASSUMPTIONS!$B$66),0),0)</f>
        <v>6259</v>
      </c>
      <c r="BI11" s="94" t="n">
        <f aca="false">IFERROR(IF(56&gt;=ASSUMPTIONS!$C$50,ASSUMPTIONS!$D$50*(1+ASSUMPTIONS!$B$66),0),0)</f>
        <v>6259</v>
      </c>
      <c r="BJ11" s="94" t="n">
        <f aca="false">IFERROR(IF(57&gt;=ASSUMPTIONS!$C$50,ASSUMPTIONS!$D$50*(1+ASSUMPTIONS!$B$66),0),0)</f>
        <v>6259</v>
      </c>
      <c r="BK11" s="94" t="n">
        <f aca="false">IFERROR(IF(58&gt;=ASSUMPTIONS!$C$50,ASSUMPTIONS!$D$50*(1+ASSUMPTIONS!$B$66),0),0)</f>
        <v>6259</v>
      </c>
      <c r="BL11" s="94" t="n">
        <f aca="false">IFERROR(IF(59&gt;=ASSUMPTIONS!$C$50,ASSUMPTIONS!$D$50*(1+ASSUMPTIONS!$B$66),0),0)</f>
        <v>6259</v>
      </c>
      <c r="BM11" s="94" t="n">
        <f aca="false">IFERROR(IF(60&gt;=ASSUMPTIONS!$C$50,ASSUMPTIONS!$D$50*(1+ASSUMPTIONS!$B$66),0),0)</f>
        <v>6259</v>
      </c>
      <c r="BN11" s="71" t="n">
        <f aca="false">SUM(BB11:BM11)</f>
        <v>75108</v>
      </c>
    </row>
    <row r="12" customFormat="false" ht="19.5" hidden="false" customHeight="true" outlineLevel="0" collapsed="false">
      <c r="A12" s="93" t="str">
        <f aca="false">IFERROR(ASSUMPTIONS!B51,"(empty)")</f>
        <v>Engineering</v>
      </c>
      <c r="B12" s="94" t="n">
        <f aca="false">IFERROR(IF(1&gt;=ASSUMPTIONS!$C$51,ASSUMPTIONS!$D$51*(1+ASSUMPTIONS!$B$66),0),0)</f>
        <v>0</v>
      </c>
      <c r="C12" s="94" t="n">
        <f aca="false">IFERROR(IF(2&gt;=ASSUMPTIONS!$C$51,ASSUMPTIONS!$D$51*(1+ASSUMPTIONS!$B$66),0),0)</f>
        <v>0</v>
      </c>
      <c r="D12" s="94" t="n">
        <f aca="false">IFERROR(IF(3&gt;=ASSUMPTIONS!$C$51,ASSUMPTIONS!$D$51*(1+ASSUMPTIONS!$B$66),0),0)</f>
        <v>0</v>
      </c>
      <c r="E12" s="94" t="n">
        <f aca="false">IFERROR(IF(4&gt;=ASSUMPTIONS!$C$51,ASSUMPTIONS!$D$51*(1+ASSUMPTIONS!$B$66),0),0)</f>
        <v>0</v>
      </c>
      <c r="F12" s="94" t="n">
        <f aca="false">IFERROR(IF(5&gt;=ASSUMPTIONS!$C$51,ASSUMPTIONS!$D$51*(1+ASSUMPTIONS!$B$66),0),0)</f>
        <v>0</v>
      </c>
      <c r="G12" s="94" t="n">
        <f aca="false">IFERROR(IF(6&gt;=ASSUMPTIONS!$C$51,ASSUMPTIONS!$D$51*(1+ASSUMPTIONS!$B$66),0),0)</f>
        <v>5121</v>
      </c>
      <c r="H12" s="94" t="n">
        <f aca="false">IFERROR(IF(7&gt;=ASSUMPTIONS!$C$51,ASSUMPTIONS!$D$51*(1+ASSUMPTIONS!$B$66),0),0)</f>
        <v>5121</v>
      </c>
      <c r="I12" s="94" t="n">
        <f aca="false">IFERROR(IF(8&gt;=ASSUMPTIONS!$C$51,ASSUMPTIONS!$D$51*(1+ASSUMPTIONS!$B$66),0),0)</f>
        <v>5121</v>
      </c>
      <c r="J12" s="94" t="n">
        <f aca="false">IFERROR(IF(9&gt;=ASSUMPTIONS!$C$51,ASSUMPTIONS!$D$51*(1+ASSUMPTIONS!$B$66),0),0)</f>
        <v>5121</v>
      </c>
      <c r="K12" s="94" t="n">
        <f aca="false">IFERROR(IF(10&gt;=ASSUMPTIONS!$C$51,ASSUMPTIONS!$D$51*(1+ASSUMPTIONS!$B$66),0),0)</f>
        <v>5121</v>
      </c>
      <c r="L12" s="94" t="n">
        <f aca="false">IFERROR(IF(11&gt;=ASSUMPTIONS!$C$51,ASSUMPTIONS!$D$51*(1+ASSUMPTIONS!$B$66),0),0)</f>
        <v>5121</v>
      </c>
      <c r="M12" s="94" t="n">
        <f aca="false">IFERROR(IF(12&gt;=ASSUMPTIONS!$C$51,ASSUMPTIONS!$D$51*(1+ASSUMPTIONS!$B$66),0),0)</f>
        <v>5121</v>
      </c>
      <c r="N12" s="95" t="n">
        <f aca="false">SUM(B12:M12)</f>
        <v>35847</v>
      </c>
      <c r="O12" s="94" t="n">
        <f aca="false">IFERROR(IF(13&gt;=ASSUMPTIONS!$C$51,ASSUMPTIONS!$D$51*(1+ASSUMPTIONS!$B$66),0),0)</f>
        <v>5121</v>
      </c>
      <c r="P12" s="94" t="n">
        <f aca="false">IFERROR(IF(14&gt;=ASSUMPTIONS!$C$51,ASSUMPTIONS!$D$51*(1+ASSUMPTIONS!$B$66),0),0)</f>
        <v>5121</v>
      </c>
      <c r="Q12" s="94" t="n">
        <f aca="false">IFERROR(IF(15&gt;=ASSUMPTIONS!$C$51,ASSUMPTIONS!$D$51*(1+ASSUMPTIONS!$B$66),0),0)</f>
        <v>5121</v>
      </c>
      <c r="R12" s="94" t="n">
        <f aca="false">IFERROR(IF(16&gt;=ASSUMPTIONS!$C$51,ASSUMPTIONS!$D$51*(1+ASSUMPTIONS!$B$66),0),0)</f>
        <v>5121</v>
      </c>
      <c r="S12" s="94" t="n">
        <f aca="false">IFERROR(IF(17&gt;=ASSUMPTIONS!$C$51,ASSUMPTIONS!$D$51*(1+ASSUMPTIONS!$B$66),0),0)</f>
        <v>5121</v>
      </c>
      <c r="T12" s="94" t="n">
        <f aca="false">IFERROR(IF(18&gt;=ASSUMPTIONS!$C$51,ASSUMPTIONS!$D$51*(1+ASSUMPTIONS!$B$66),0),0)</f>
        <v>5121</v>
      </c>
      <c r="U12" s="94" t="n">
        <f aca="false">IFERROR(IF(19&gt;=ASSUMPTIONS!$C$51,ASSUMPTIONS!$D$51*(1+ASSUMPTIONS!$B$66),0),0)</f>
        <v>5121</v>
      </c>
      <c r="V12" s="94" t="n">
        <f aca="false">IFERROR(IF(20&gt;=ASSUMPTIONS!$C$51,ASSUMPTIONS!$D$51*(1+ASSUMPTIONS!$B$66),0),0)</f>
        <v>5121</v>
      </c>
      <c r="W12" s="94" t="n">
        <f aca="false">IFERROR(IF(21&gt;=ASSUMPTIONS!$C$51,ASSUMPTIONS!$D$51*(1+ASSUMPTIONS!$B$66),0),0)</f>
        <v>5121</v>
      </c>
      <c r="X12" s="94" t="n">
        <f aca="false">IFERROR(IF(22&gt;=ASSUMPTIONS!$C$51,ASSUMPTIONS!$D$51*(1+ASSUMPTIONS!$B$66),0),0)</f>
        <v>5121</v>
      </c>
      <c r="Y12" s="94" t="n">
        <f aca="false">IFERROR(IF(23&gt;=ASSUMPTIONS!$C$51,ASSUMPTIONS!$D$51*(1+ASSUMPTIONS!$B$66),0),0)</f>
        <v>5121</v>
      </c>
      <c r="Z12" s="94" t="n">
        <f aca="false">IFERROR(IF(24&gt;=ASSUMPTIONS!$C$51,ASSUMPTIONS!$D$51*(1+ASSUMPTIONS!$B$66),0),0)</f>
        <v>5121</v>
      </c>
      <c r="AA12" s="95" t="n">
        <f aca="false">SUM(O12:Z12)</f>
        <v>61452</v>
      </c>
      <c r="AB12" s="94" t="n">
        <f aca="false">IFERROR(IF(25&gt;=ASSUMPTIONS!$C$51,ASSUMPTIONS!$D$51*(1+ASSUMPTIONS!$B$66),0),0)</f>
        <v>5121</v>
      </c>
      <c r="AC12" s="94" t="n">
        <f aca="false">IFERROR(IF(26&gt;=ASSUMPTIONS!$C$51,ASSUMPTIONS!$D$51*(1+ASSUMPTIONS!$B$66),0),0)</f>
        <v>5121</v>
      </c>
      <c r="AD12" s="94" t="n">
        <f aca="false">IFERROR(IF(27&gt;=ASSUMPTIONS!$C$51,ASSUMPTIONS!$D$51*(1+ASSUMPTIONS!$B$66),0),0)</f>
        <v>5121</v>
      </c>
      <c r="AE12" s="94" t="n">
        <f aca="false">IFERROR(IF(28&gt;=ASSUMPTIONS!$C$51,ASSUMPTIONS!$D$51*(1+ASSUMPTIONS!$B$66),0),0)</f>
        <v>5121</v>
      </c>
      <c r="AF12" s="94" t="n">
        <f aca="false">IFERROR(IF(29&gt;=ASSUMPTIONS!$C$51,ASSUMPTIONS!$D$51*(1+ASSUMPTIONS!$B$66),0),0)</f>
        <v>5121</v>
      </c>
      <c r="AG12" s="94" t="n">
        <f aca="false">IFERROR(IF(30&gt;=ASSUMPTIONS!$C$51,ASSUMPTIONS!$D$51*(1+ASSUMPTIONS!$B$66),0),0)</f>
        <v>5121</v>
      </c>
      <c r="AH12" s="94" t="n">
        <f aca="false">IFERROR(IF(31&gt;=ASSUMPTIONS!$C$51,ASSUMPTIONS!$D$51*(1+ASSUMPTIONS!$B$66),0),0)</f>
        <v>5121</v>
      </c>
      <c r="AI12" s="94" t="n">
        <f aca="false">IFERROR(IF(32&gt;=ASSUMPTIONS!$C$51,ASSUMPTIONS!$D$51*(1+ASSUMPTIONS!$B$66),0),0)</f>
        <v>5121</v>
      </c>
      <c r="AJ12" s="94" t="n">
        <f aca="false">IFERROR(IF(33&gt;=ASSUMPTIONS!$C$51,ASSUMPTIONS!$D$51*(1+ASSUMPTIONS!$B$66),0),0)</f>
        <v>5121</v>
      </c>
      <c r="AK12" s="94" t="n">
        <f aca="false">IFERROR(IF(34&gt;=ASSUMPTIONS!$C$51,ASSUMPTIONS!$D$51*(1+ASSUMPTIONS!$B$66),0),0)</f>
        <v>5121</v>
      </c>
      <c r="AL12" s="94" t="n">
        <f aca="false">IFERROR(IF(35&gt;=ASSUMPTIONS!$C$51,ASSUMPTIONS!$D$51*(1+ASSUMPTIONS!$B$66),0),0)</f>
        <v>5121</v>
      </c>
      <c r="AM12" s="94" t="n">
        <f aca="false">IFERROR(IF(36&gt;=ASSUMPTIONS!$C$51,ASSUMPTIONS!$D$51*(1+ASSUMPTIONS!$B$66),0),0)</f>
        <v>5121</v>
      </c>
      <c r="AN12" s="95" t="n">
        <f aca="false">SUM(AB12:AM12)</f>
        <v>61452</v>
      </c>
      <c r="AO12" s="94" t="n">
        <f aca="false">IFERROR(IF(37&gt;=ASSUMPTIONS!$C$51,ASSUMPTIONS!$D$51*(1+ASSUMPTIONS!$B$66),0),0)</f>
        <v>5121</v>
      </c>
      <c r="AP12" s="94" t="n">
        <f aca="false">IFERROR(IF(38&gt;=ASSUMPTIONS!$C$51,ASSUMPTIONS!$D$51*(1+ASSUMPTIONS!$B$66),0),0)</f>
        <v>5121</v>
      </c>
      <c r="AQ12" s="94" t="n">
        <f aca="false">IFERROR(IF(39&gt;=ASSUMPTIONS!$C$51,ASSUMPTIONS!$D$51*(1+ASSUMPTIONS!$B$66),0),0)</f>
        <v>5121</v>
      </c>
      <c r="AR12" s="94" t="n">
        <f aca="false">IFERROR(IF(40&gt;=ASSUMPTIONS!$C$51,ASSUMPTIONS!$D$51*(1+ASSUMPTIONS!$B$66),0),0)</f>
        <v>5121</v>
      </c>
      <c r="AS12" s="94" t="n">
        <f aca="false">IFERROR(IF(41&gt;=ASSUMPTIONS!$C$51,ASSUMPTIONS!$D$51*(1+ASSUMPTIONS!$B$66),0),0)</f>
        <v>5121</v>
      </c>
      <c r="AT12" s="94" t="n">
        <f aca="false">IFERROR(IF(42&gt;=ASSUMPTIONS!$C$51,ASSUMPTIONS!$D$51*(1+ASSUMPTIONS!$B$66),0),0)</f>
        <v>5121</v>
      </c>
      <c r="AU12" s="94" t="n">
        <f aca="false">IFERROR(IF(43&gt;=ASSUMPTIONS!$C$51,ASSUMPTIONS!$D$51*(1+ASSUMPTIONS!$B$66),0),0)</f>
        <v>5121</v>
      </c>
      <c r="AV12" s="94" t="n">
        <f aca="false">IFERROR(IF(44&gt;=ASSUMPTIONS!$C$51,ASSUMPTIONS!$D$51*(1+ASSUMPTIONS!$B$66),0),0)</f>
        <v>5121</v>
      </c>
      <c r="AW12" s="94" t="n">
        <f aca="false">IFERROR(IF(45&gt;=ASSUMPTIONS!$C$51,ASSUMPTIONS!$D$51*(1+ASSUMPTIONS!$B$66),0),0)</f>
        <v>5121</v>
      </c>
      <c r="AX12" s="94" t="n">
        <f aca="false">IFERROR(IF(46&gt;=ASSUMPTIONS!$C$51,ASSUMPTIONS!$D$51*(1+ASSUMPTIONS!$B$66),0),0)</f>
        <v>5121</v>
      </c>
      <c r="AY12" s="94" t="n">
        <f aca="false">IFERROR(IF(47&gt;=ASSUMPTIONS!$C$51,ASSUMPTIONS!$D$51*(1+ASSUMPTIONS!$B$66),0),0)</f>
        <v>5121</v>
      </c>
      <c r="AZ12" s="94" t="n">
        <f aca="false">IFERROR(IF(48&gt;=ASSUMPTIONS!$C$51,ASSUMPTIONS!$D$51*(1+ASSUMPTIONS!$B$66),0),0)</f>
        <v>5121</v>
      </c>
      <c r="BA12" s="71" t="n">
        <f aca="false">SUM(AO12:AZ12)</f>
        <v>61452</v>
      </c>
      <c r="BB12" s="94" t="n">
        <f aca="false">IFERROR(IF(49&gt;=ASSUMPTIONS!$C$51,ASSUMPTIONS!$D$51*(1+ASSUMPTIONS!$B$66),0),0)</f>
        <v>5121</v>
      </c>
      <c r="BC12" s="94" t="n">
        <f aca="false">IFERROR(IF(50&gt;=ASSUMPTIONS!$C$51,ASSUMPTIONS!$D$51*(1+ASSUMPTIONS!$B$66),0),0)</f>
        <v>5121</v>
      </c>
      <c r="BD12" s="94" t="n">
        <f aca="false">IFERROR(IF(51&gt;=ASSUMPTIONS!$C$51,ASSUMPTIONS!$D$51*(1+ASSUMPTIONS!$B$66),0),0)</f>
        <v>5121</v>
      </c>
      <c r="BE12" s="94" t="n">
        <f aca="false">IFERROR(IF(52&gt;=ASSUMPTIONS!$C$51,ASSUMPTIONS!$D$51*(1+ASSUMPTIONS!$B$66),0),0)</f>
        <v>5121</v>
      </c>
      <c r="BF12" s="94" t="n">
        <f aca="false">IFERROR(IF(53&gt;=ASSUMPTIONS!$C$51,ASSUMPTIONS!$D$51*(1+ASSUMPTIONS!$B$66),0),0)</f>
        <v>5121</v>
      </c>
      <c r="BG12" s="94" t="n">
        <f aca="false">IFERROR(IF(54&gt;=ASSUMPTIONS!$C$51,ASSUMPTIONS!$D$51*(1+ASSUMPTIONS!$B$66),0),0)</f>
        <v>5121</v>
      </c>
      <c r="BH12" s="94" t="n">
        <f aca="false">IFERROR(IF(55&gt;=ASSUMPTIONS!$C$51,ASSUMPTIONS!$D$51*(1+ASSUMPTIONS!$B$66),0),0)</f>
        <v>5121</v>
      </c>
      <c r="BI12" s="94" t="n">
        <f aca="false">IFERROR(IF(56&gt;=ASSUMPTIONS!$C$51,ASSUMPTIONS!$D$51*(1+ASSUMPTIONS!$B$66),0),0)</f>
        <v>5121</v>
      </c>
      <c r="BJ12" s="94" t="n">
        <f aca="false">IFERROR(IF(57&gt;=ASSUMPTIONS!$C$51,ASSUMPTIONS!$D$51*(1+ASSUMPTIONS!$B$66),0),0)</f>
        <v>5121</v>
      </c>
      <c r="BK12" s="94" t="n">
        <f aca="false">IFERROR(IF(58&gt;=ASSUMPTIONS!$C$51,ASSUMPTIONS!$D$51*(1+ASSUMPTIONS!$B$66),0),0)</f>
        <v>5121</v>
      </c>
      <c r="BL12" s="94" t="n">
        <f aca="false">IFERROR(IF(59&gt;=ASSUMPTIONS!$C$51,ASSUMPTIONS!$D$51*(1+ASSUMPTIONS!$B$66),0),0)</f>
        <v>5121</v>
      </c>
      <c r="BM12" s="94" t="n">
        <f aca="false">IFERROR(IF(60&gt;=ASSUMPTIONS!$C$51,ASSUMPTIONS!$D$51*(1+ASSUMPTIONS!$B$66),0),0)</f>
        <v>5121</v>
      </c>
      <c r="BN12" s="71" t="n">
        <f aca="false">SUM(BB12:BM12)</f>
        <v>61452</v>
      </c>
    </row>
    <row r="13" customFormat="false" ht="19.5" hidden="false" customHeight="true" outlineLevel="0" collapsed="false">
      <c r="A13" s="96" t="s">
        <v>226</v>
      </c>
      <c r="B13" s="76" t="n">
        <f aca="false">SUM(B8:B12)</f>
        <v>18208</v>
      </c>
      <c r="C13" s="76" t="n">
        <f aca="false">SUM(C8:C12)</f>
        <v>18208</v>
      </c>
      <c r="D13" s="76" t="n">
        <f aca="false">SUM(D8:D12)</f>
        <v>24467</v>
      </c>
      <c r="E13" s="76" t="n">
        <f aca="false">SUM(E8:E12)</f>
        <v>24467</v>
      </c>
      <c r="F13" s="76" t="n">
        <f aca="false">SUM(F8:F12)</f>
        <v>24467</v>
      </c>
      <c r="G13" s="76" t="n">
        <f aca="false">SUM(G8:G12)</f>
        <v>35847</v>
      </c>
      <c r="H13" s="76" t="n">
        <f aca="false">SUM(H8:H12)</f>
        <v>35847</v>
      </c>
      <c r="I13" s="76" t="n">
        <f aca="false">SUM(I8:I12)</f>
        <v>35847</v>
      </c>
      <c r="J13" s="76" t="n">
        <f aca="false">SUM(J8:J12)</f>
        <v>35847</v>
      </c>
      <c r="K13" s="76" t="n">
        <f aca="false">SUM(K8:K12)</f>
        <v>35847</v>
      </c>
      <c r="L13" s="76" t="n">
        <f aca="false">SUM(L8:L12)</f>
        <v>35847</v>
      </c>
      <c r="M13" s="76" t="n">
        <f aca="false">SUM(M8:M12)</f>
        <v>35847</v>
      </c>
      <c r="N13" s="76" t="n">
        <f aca="false">SUM(B13:M13)</f>
        <v>360746</v>
      </c>
      <c r="O13" s="76" t="n">
        <f aca="false">SUM(O8:O12)</f>
        <v>35847</v>
      </c>
      <c r="P13" s="76" t="n">
        <f aca="false">SUM(P8:P12)</f>
        <v>35847</v>
      </c>
      <c r="Q13" s="76" t="n">
        <f aca="false">SUM(Q8:Q12)</f>
        <v>35847</v>
      </c>
      <c r="R13" s="76" t="n">
        <f aca="false">SUM(R8:R12)</f>
        <v>35847</v>
      </c>
      <c r="S13" s="76" t="n">
        <f aca="false">SUM(S8:S12)</f>
        <v>35847</v>
      </c>
      <c r="T13" s="76" t="n">
        <f aca="false">SUM(T8:T12)</f>
        <v>35847</v>
      </c>
      <c r="U13" s="76" t="n">
        <f aca="false">SUM(U8:U12)</f>
        <v>35847</v>
      </c>
      <c r="V13" s="76" t="n">
        <f aca="false">SUM(V8:V12)</f>
        <v>35847</v>
      </c>
      <c r="W13" s="76" t="n">
        <f aca="false">SUM(W8:W12)</f>
        <v>35847</v>
      </c>
      <c r="X13" s="76" t="n">
        <f aca="false">SUM(X8:X12)</f>
        <v>35847</v>
      </c>
      <c r="Y13" s="76" t="n">
        <f aca="false">SUM(Y8:Y12)</f>
        <v>35847</v>
      </c>
      <c r="Z13" s="76" t="n">
        <f aca="false">SUM(Z8:Z12)</f>
        <v>35847</v>
      </c>
      <c r="AA13" s="76" t="n">
        <f aca="false">SUM(O13:Z13)</f>
        <v>430164</v>
      </c>
      <c r="AB13" s="76" t="n">
        <f aca="false">SUM(AB8:AB12)</f>
        <v>35847</v>
      </c>
      <c r="AC13" s="76" t="n">
        <f aca="false">SUM(AC8:AC12)</f>
        <v>35847</v>
      </c>
      <c r="AD13" s="76" t="n">
        <f aca="false">SUM(AD8:AD12)</f>
        <v>35847</v>
      </c>
      <c r="AE13" s="76" t="n">
        <f aca="false">SUM(AE8:AE12)</f>
        <v>35847</v>
      </c>
      <c r="AF13" s="76" t="n">
        <f aca="false">SUM(AF8:AF12)</f>
        <v>35847</v>
      </c>
      <c r="AG13" s="76" t="n">
        <f aca="false">SUM(AG8:AG12)</f>
        <v>35847</v>
      </c>
      <c r="AH13" s="76" t="n">
        <f aca="false">SUM(AH8:AH12)</f>
        <v>35847</v>
      </c>
      <c r="AI13" s="76" t="n">
        <f aca="false">SUM(AI8:AI12)</f>
        <v>35847</v>
      </c>
      <c r="AJ13" s="76" t="n">
        <f aca="false">SUM(AJ8:AJ12)</f>
        <v>35847</v>
      </c>
      <c r="AK13" s="76" t="n">
        <f aca="false">SUM(AK8:AK12)</f>
        <v>35847</v>
      </c>
      <c r="AL13" s="76" t="n">
        <f aca="false">SUM(AL8:AL12)</f>
        <v>35847</v>
      </c>
      <c r="AM13" s="76" t="n">
        <f aca="false">SUM(AM8:AM12)</f>
        <v>35847</v>
      </c>
      <c r="AN13" s="76" t="n">
        <f aca="false">SUM(AB13:AM13)</f>
        <v>430164</v>
      </c>
      <c r="AO13" s="76" t="n">
        <f aca="false">SUM(AO8:AO12)</f>
        <v>35847</v>
      </c>
      <c r="AP13" s="76" t="n">
        <f aca="false">SUM(AP8:AP12)</f>
        <v>35847</v>
      </c>
      <c r="AQ13" s="76" t="n">
        <f aca="false">SUM(AQ8:AQ12)</f>
        <v>35847</v>
      </c>
      <c r="AR13" s="76" t="n">
        <f aca="false">SUM(AR8:AR12)</f>
        <v>35847</v>
      </c>
      <c r="AS13" s="76" t="n">
        <f aca="false">SUM(AS8:AS12)</f>
        <v>35847</v>
      </c>
      <c r="AT13" s="76" t="n">
        <f aca="false">SUM(AT8:AT12)</f>
        <v>35847</v>
      </c>
      <c r="AU13" s="76" t="n">
        <f aca="false">SUM(AU8:AU12)</f>
        <v>35847</v>
      </c>
      <c r="AV13" s="76" t="n">
        <f aca="false">SUM(AV8:AV12)</f>
        <v>35847</v>
      </c>
      <c r="AW13" s="76" t="n">
        <f aca="false">SUM(AW8:AW12)</f>
        <v>35847</v>
      </c>
      <c r="AX13" s="76" t="n">
        <f aca="false">SUM(AX8:AX12)</f>
        <v>35847</v>
      </c>
      <c r="AY13" s="76" t="n">
        <f aca="false">SUM(AY8:AY12)</f>
        <v>35847</v>
      </c>
      <c r="AZ13" s="76" t="n">
        <f aca="false">SUM(AZ8:AZ12)</f>
        <v>35847</v>
      </c>
      <c r="BA13" s="77" t="n">
        <f aca="false">SUM(AO13:AZ13)</f>
        <v>430164</v>
      </c>
      <c r="BB13" s="76" t="n">
        <f aca="false">SUM(BB8:BB12)</f>
        <v>35847</v>
      </c>
      <c r="BC13" s="76" t="n">
        <f aca="false">SUM(BC8:BC12)</f>
        <v>35847</v>
      </c>
      <c r="BD13" s="76" t="n">
        <f aca="false">SUM(BD8:BD12)</f>
        <v>35847</v>
      </c>
      <c r="BE13" s="76" t="n">
        <f aca="false">SUM(BE8:BE12)</f>
        <v>35847</v>
      </c>
      <c r="BF13" s="76" t="n">
        <f aca="false">SUM(BF8:BF12)</f>
        <v>35847</v>
      </c>
      <c r="BG13" s="76" t="n">
        <f aca="false">SUM(BG8:BG12)</f>
        <v>35847</v>
      </c>
      <c r="BH13" s="76" t="n">
        <f aca="false">SUM(BH8:BH12)</f>
        <v>35847</v>
      </c>
      <c r="BI13" s="76" t="n">
        <f aca="false">SUM(BI8:BI12)</f>
        <v>35847</v>
      </c>
      <c r="BJ13" s="76" t="n">
        <f aca="false">SUM(BJ8:BJ12)</f>
        <v>35847</v>
      </c>
      <c r="BK13" s="76" t="n">
        <f aca="false">SUM(BK8:BK12)</f>
        <v>35847</v>
      </c>
      <c r="BL13" s="76" t="n">
        <f aca="false">SUM(BL8:BL12)</f>
        <v>35847</v>
      </c>
      <c r="BM13" s="76" t="n">
        <f aca="false">SUM(BM8:BM12)</f>
        <v>35847</v>
      </c>
      <c r="BN13" s="77" t="n">
        <f aca="false">SUM(BB13:BM13)</f>
        <v>430164</v>
      </c>
    </row>
    <row r="14" customFormat="false" ht="6" hidden="false" customHeight="true" outlineLevel="0" collapsed="false">
      <c r="A14" s="78"/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78"/>
      <c r="AV14" s="78"/>
      <c r="AW14" s="78"/>
      <c r="AX14" s="78"/>
      <c r="AY14" s="78"/>
      <c r="AZ14" s="78"/>
      <c r="BA14" s="79"/>
      <c r="BB14" s="78"/>
      <c r="BC14" s="78"/>
      <c r="BD14" s="78"/>
      <c r="BE14" s="78"/>
      <c r="BF14" s="78"/>
      <c r="BG14" s="78"/>
      <c r="BH14" s="78"/>
      <c r="BI14" s="78"/>
      <c r="BJ14" s="78"/>
      <c r="BK14" s="78"/>
      <c r="BL14" s="78"/>
      <c r="BM14" s="78"/>
      <c r="BN14" s="79"/>
    </row>
    <row r="15" customFormat="false" ht="19.5" hidden="false" customHeight="true" outlineLevel="0" collapsed="false">
      <c r="A15" s="80" t="s">
        <v>227</v>
      </c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0"/>
      <c r="BF15" s="80"/>
      <c r="BG15" s="80"/>
      <c r="BH15" s="80"/>
      <c r="BI15" s="80"/>
      <c r="BJ15" s="80"/>
      <c r="BK15" s="80"/>
      <c r="BL15" s="80"/>
      <c r="BM15" s="80"/>
      <c r="BN15" s="80"/>
    </row>
    <row r="16" customFormat="false" ht="19.5" hidden="false" customHeight="true" outlineLevel="0" collapsed="false">
      <c r="A16" s="97" t="str">
        <f aca="false">IFERROR(ASSUMPTIONS!B52,"(empty)")</f>
        <v>Product</v>
      </c>
      <c r="B16" s="94" t="n">
        <f aca="false">IFERROR(IF(1&gt;=ASSUMPTIONS!$C$52,ASSUMPTIONS!$D$52*(1+ASSUMPTIONS!$B$66),0),0)</f>
        <v>9104</v>
      </c>
      <c r="C16" s="94" t="n">
        <f aca="false">IFERROR(IF(2&gt;=ASSUMPTIONS!$C$52,ASSUMPTIONS!$D$52*(1+ASSUMPTIONS!$B$66),0),0)</f>
        <v>9104</v>
      </c>
      <c r="D16" s="94" t="n">
        <f aca="false">IFERROR(IF(3&gt;=ASSUMPTIONS!$C$52,ASSUMPTIONS!$D$52*(1+ASSUMPTIONS!$B$66),0),0)</f>
        <v>9104</v>
      </c>
      <c r="E16" s="94" t="n">
        <f aca="false">IFERROR(IF(4&gt;=ASSUMPTIONS!$C$52,ASSUMPTIONS!$D$52*(1+ASSUMPTIONS!$B$66),0),0)</f>
        <v>9104</v>
      </c>
      <c r="F16" s="94" t="n">
        <f aca="false">IFERROR(IF(5&gt;=ASSUMPTIONS!$C$52,ASSUMPTIONS!$D$52*(1+ASSUMPTIONS!$B$66),0),0)</f>
        <v>9104</v>
      </c>
      <c r="G16" s="94" t="n">
        <f aca="false">IFERROR(IF(6&gt;=ASSUMPTIONS!$C$52,ASSUMPTIONS!$D$52*(1+ASSUMPTIONS!$B$66),0),0)</f>
        <v>9104</v>
      </c>
      <c r="H16" s="94" t="n">
        <f aca="false">IFERROR(IF(7&gt;=ASSUMPTIONS!$C$52,ASSUMPTIONS!$D$52*(1+ASSUMPTIONS!$B$66),0),0)</f>
        <v>9104</v>
      </c>
      <c r="I16" s="94" t="n">
        <f aca="false">IFERROR(IF(8&gt;=ASSUMPTIONS!$C$52,ASSUMPTIONS!$D$52*(1+ASSUMPTIONS!$B$66),0),0)</f>
        <v>9104</v>
      </c>
      <c r="J16" s="94" t="n">
        <f aca="false">IFERROR(IF(9&gt;=ASSUMPTIONS!$C$52,ASSUMPTIONS!$D$52*(1+ASSUMPTIONS!$B$66),0),0)</f>
        <v>9104</v>
      </c>
      <c r="K16" s="94" t="n">
        <f aca="false">IFERROR(IF(10&gt;=ASSUMPTIONS!$C$52,ASSUMPTIONS!$D$52*(1+ASSUMPTIONS!$B$66),0),0)</f>
        <v>9104</v>
      </c>
      <c r="L16" s="94" t="n">
        <f aca="false">IFERROR(IF(11&gt;=ASSUMPTIONS!$C$52,ASSUMPTIONS!$D$52*(1+ASSUMPTIONS!$B$66),0),0)</f>
        <v>9104</v>
      </c>
      <c r="M16" s="94" t="n">
        <f aca="false">IFERROR(IF(12&gt;=ASSUMPTIONS!$C$52,ASSUMPTIONS!$D$52*(1+ASSUMPTIONS!$B$66),0),0)</f>
        <v>9104</v>
      </c>
      <c r="N16" s="95" t="n">
        <f aca="false">SUM(B16:M16)</f>
        <v>109248</v>
      </c>
      <c r="O16" s="94" t="n">
        <f aca="false">IFERROR(IF(13&gt;=ASSUMPTIONS!$C$52,ASSUMPTIONS!$D$52*(1+ASSUMPTIONS!$B$66),0),0)</f>
        <v>9104</v>
      </c>
      <c r="P16" s="94" t="n">
        <f aca="false">IFERROR(IF(14&gt;=ASSUMPTIONS!$C$52,ASSUMPTIONS!$D$52*(1+ASSUMPTIONS!$B$66),0),0)</f>
        <v>9104</v>
      </c>
      <c r="Q16" s="94" t="n">
        <f aca="false">IFERROR(IF(15&gt;=ASSUMPTIONS!$C$52,ASSUMPTIONS!$D$52*(1+ASSUMPTIONS!$B$66),0),0)</f>
        <v>9104</v>
      </c>
      <c r="R16" s="94" t="n">
        <f aca="false">IFERROR(IF(16&gt;=ASSUMPTIONS!$C$52,ASSUMPTIONS!$D$52*(1+ASSUMPTIONS!$B$66),0),0)</f>
        <v>9104</v>
      </c>
      <c r="S16" s="94" t="n">
        <f aca="false">IFERROR(IF(17&gt;=ASSUMPTIONS!$C$52,ASSUMPTIONS!$D$52*(1+ASSUMPTIONS!$B$66),0),0)</f>
        <v>9104</v>
      </c>
      <c r="T16" s="94" t="n">
        <f aca="false">IFERROR(IF(18&gt;=ASSUMPTIONS!$C$52,ASSUMPTIONS!$D$52*(1+ASSUMPTIONS!$B$66),0),0)</f>
        <v>9104</v>
      </c>
      <c r="U16" s="94" t="n">
        <f aca="false">IFERROR(IF(19&gt;=ASSUMPTIONS!$C$52,ASSUMPTIONS!$D$52*(1+ASSUMPTIONS!$B$66),0),0)</f>
        <v>9104</v>
      </c>
      <c r="V16" s="94" t="n">
        <f aca="false">IFERROR(IF(20&gt;=ASSUMPTIONS!$C$52,ASSUMPTIONS!$D$52*(1+ASSUMPTIONS!$B$66),0),0)</f>
        <v>9104</v>
      </c>
      <c r="W16" s="94" t="n">
        <f aca="false">IFERROR(IF(21&gt;=ASSUMPTIONS!$C$52,ASSUMPTIONS!$D$52*(1+ASSUMPTIONS!$B$66),0),0)</f>
        <v>9104</v>
      </c>
      <c r="X16" s="94" t="n">
        <f aca="false">IFERROR(IF(22&gt;=ASSUMPTIONS!$C$52,ASSUMPTIONS!$D$52*(1+ASSUMPTIONS!$B$66),0),0)</f>
        <v>9104</v>
      </c>
      <c r="Y16" s="94" t="n">
        <f aca="false">IFERROR(IF(23&gt;=ASSUMPTIONS!$C$52,ASSUMPTIONS!$D$52*(1+ASSUMPTIONS!$B$66),0),0)</f>
        <v>9104</v>
      </c>
      <c r="Z16" s="94" t="n">
        <f aca="false">IFERROR(IF(24&gt;=ASSUMPTIONS!$C$52,ASSUMPTIONS!$D$52*(1+ASSUMPTIONS!$B$66),0),0)</f>
        <v>9104</v>
      </c>
      <c r="AA16" s="95" t="n">
        <f aca="false">SUM(O16:Z16)</f>
        <v>109248</v>
      </c>
      <c r="AB16" s="94" t="n">
        <f aca="false">IFERROR(IF(25&gt;=ASSUMPTIONS!$C$52,ASSUMPTIONS!$D$52*(1+ASSUMPTIONS!$B$66),0),0)</f>
        <v>9104</v>
      </c>
      <c r="AC16" s="94" t="n">
        <f aca="false">IFERROR(IF(26&gt;=ASSUMPTIONS!$C$52,ASSUMPTIONS!$D$52*(1+ASSUMPTIONS!$B$66),0),0)</f>
        <v>9104</v>
      </c>
      <c r="AD16" s="94" t="n">
        <f aca="false">IFERROR(IF(27&gt;=ASSUMPTIONS!$C$52,ASSUMPTIONS!$D$52*(1+ASSUMPTIONS!$B$66),0),0)</f>
        <v>9104</v>
      </c>
      <c r="AE16" s="94" t="n">
        <f aca="false">IFERROR(IF(28&gt;=ASSUMPTIONS!$C$52,ASSUMPTIONS!$D$52*(1+ASSUMPTIONS!$B$66),0),0)</f>
        <v>9104</v>
      </c>
      <c r="AF16" s="94" t="n">
        <f aca="false">IFERROR(IF(29&gt;=ASSUMPTIONS!$C$52,ASSUMPTIONS!$D$52*(1+ASSUMPTIONS!$B$66),0),0)</f>
        <v>9104</v>
      </c>
      <c r="AG16" s="94" t="n">
        <f aca="false">IFERROR(IF(30&gt;=ASSUMPTIONS!$C$52,ASSUMPTIONS!$D$52*(1+ASSUMPTIONS!$B$66),0),0)</f>
        <v>9104</v>
      </c>
      <c r="AH16" s="94" t="n">
        <f aca="false">IFERROR(IF(31&gt;=ASSUMPTIONS!$C$52,ASSUMPTIONS!$D$52*(1+ASSUMPTIONS!$B$66),0),0)</f>
        <v>9104</v>
      </c>
      <c r="AI16" s="94" t="n">
        <f aca="false">IFERROR(IF(32&gt;=ASSUMPTIONS!$C$52,ASSUMPTIONS!$D$52*(1+ASSUMPTIONS!$B$66),0),0)</f>
        <v>9104</v>
      </c>
      <c r="AJ16" s="94" t="n">
        <f aca="false">IFERROR(IF(33&gt;=ASSUMPTIONS!$C$52,ASSUMPTIONS!$D$52*(1+ASSUMPTIONS!$B$66),0),0)</f>
        <v>9104</v>
      </c>
      <c r="AK16" s="94" t="n">
        <f aca="false">IFERROR(IF(34&gt;=ASSUMPTIONS!$C$52,ASSUMPTIONS!$D$52*(1+ASSUMPTIONS!$B$66),0),0)</f>
        <v>9104</v>
      </c>
      <c r="AL16" s="94" t="n">
        <f aca="false">IFERROR(IF(35&gt;=ASSUMPTIONS!$C$52,ASSUMPTIONS!$D$52*(1+ASSUMPTIONS!$B$66),0),0)</f>
        <v>9104</v>
      </c>
      <c r="AM16" s="94" t="n">
        <f aca="false">IFERROR(IF(36&gt;=ASSUMPTIONS!$C$52,ASSUMPTIONS!$D$52*(1+ASSUMPTIONS!$B$66),0),0)</f>
        <v>9104</v>
      </c>
      <c r="AN16" s="95" t="n">
        <f aca="false">SUM(AB16:AM16)</f>
        <v>109248</v>
      </c>
      <c r="AO16" s="94" t="n">
        <f aca="false">IFERROR(IF(37&gt;=ASSUMPTIONS!$C$52,ASSUMPTIONS!$D$52*(1+ASSUMPTIONS!$B$66),0),0)</f>
        <v>9104</v>
      </c>
      <c r="AP16" s="94" t="n">
        <f aca="false">IFERROR(IF(38&gt;=ASSUMPTIONS!$C$52,ASSUMPTIONS!$D$52*(1+ASSUMPTIONS!$B$66),0),0)</f>
        <v>9104</v>
      </c>
      <c r="AQ16" s="94" t="n">
        <f aca="false">IFERROR(IF(39&gt;=ASSUMPTIONS!$C$52,ASSUMPTIONS!$D$52*(1+ASSUMPTIONS!$B$66),0),0)</f>
        <v>9104</v>
      </c>
      <c r="AR16" s="94" t="n">
        <f aca="false">IFERROR(IF(40&gt;=ASSUMPTIONS!$C$52,ASSUMPTIONS!$D$52*(1+ASSUMPTIONS!$B$66),0),0)</f>
        <v>9104</v>
      </c>
      <c r="AS16" s="94" t="n">
        <f aca="false">IFERROR(IF(41&gt;=ASSUMPTIONS!$C$52,ASSUMPTIONS!$D$52*(1+ASSUMPTIONS!$B$66),0),0)</f>
        <v>9104</v>
      </c>
      <c r="AT16" s="94" t="n">
        <f aca="false">IFERROR(IF(42&gt;=ASSUMPTIONS!$C$52,ASSUMPTIONS!$D$52*(1+ASSUMPTIONS!$B$66),0),0)</f>
        <v>9104</v>
      </c>
      <c r="AU16" s="94" t="n">
        <f aca="false">IFERROR(IF(43&gt;=ASSUMPTIONS!$C$52,ASSUMPTIONS!$D$52*(1+ASSUMPTIONS!$B$66),0),0)</f>
        <v>9104</v>
      </c>
      <c r="AV16" s="94" t="n">
        <f aca="false">IFERROR(IF(44&gt;=ASSUMPTIONS!$C$52,ASSUMPTIONS!$D$52*(1+ASSUMPTIONS!$B$66),0),0)</f>
        <v>9104</v>
      </c>
      <c r="AW16" s="94" t="n">
        <f aca="false">IFERROR(IF(45&gt;=ASSUMPTIONS!$C$52,ASSUMPTIONS!$D$52*(1+ASSUMPTIONS!$B$66),0),0)</f>
        <v>9104</v>
      </c>
      <c r="AX16" s="94" t="n">
        <f aca="false">IFERROR(IF(46&gt;=ASSUMPTIONS!$C$52,ASSUMPTIONS!$D$52*(1+ASSUMPTIONS!$B$66),0),0)</f>
        <v>9104</v>
      </c>
      <c r="AY16" s="94" t="n">
        <f aca="false">IFERROR(IF(47&gt;=ASSUMPTIONS!$C$52,ASSUMPTIONS!$D$52*(1+ASSUMPTIONS!$B$66),0),0)</f>
        <v>9104</v>
      </c>
      <c r="AZ16" s="94" t="n">
        <f aca="false">IFERROR(IF(48&gt;=ASSUMPTIONS!$C$52,ASSUMPTIONS!$D$52*(1+ASSUMPTIONS!$B$66),0),0)</f>
        <v>9104</v>
      </c>
      <c r="BA16" s="71" t="n">
        <f aca="false">SUM(AO16:AZ16)</f>
        <v>109248</v>
      </c>
      <c r="BB16" s="94" t="n">
        <f aca="false">IFERROR(IF(49&gt;=ASSUMPTIONS!$C$52,ASSUMPTIONS!$D$52*(1+ASSUMPTIONS!$B$66),0),0)</f>
        <v>9104</v>
      </c>
      <c r="BC16" s="94" t="n">
        <f aca="false">IFERROR(IF(50&gt;=ASSUMPTIONS!$C$52,ASSUMPTIONS!$D$52*(1+ASSUMPTIONS!$B$66),0),0)</f>
        <v>9104</v>
      </c>
      <c r="BD16" s="94" t="n">
        <f aca="false">IFERROR(IF(51&gt;=ASSUMPTIONS!$C$52,ASSUMPTIONS!$D$52*(1+ASSUMPTIONS!$B$66),0),0)</f>
        <v>9104</v>
      </c>
      <c r="BE16" s="94" t="n">
        <f aca="false">IFERROR(IF(52&gt;=ASSUMPTIONS!$C$52,ASSUMPTIONS!$D$52*(1+ASSUMPTIONS!$B$66),0),0)</f>
        <v>9104</v>
      </c>
      <c r="BF16" s="94" t="n">
        <f aca="false">IFERROR(IF(53&gt;=ASSUMPTIONS!$C$52,ASSUMPTIONS!$D$52*(1+ASSUMPTIONS!$B$66),0),0)</f>
        <v>9104</v>
      </c>
      <c r="BG16" s="94" t="n">
        <f aca="false">IFERROR(IF(54&gt;=ASSUMPTIONS!$C$52,ASSUMPTIONS!$D$52*(1+ASSUMPTIONS!$B$66),0),0)</f>
        <v>9104</v>
      </c>
      <c r="BH16" s="94" t="n">
        <f aca="false">IFERROR(IF(55&gt;=ASSUMPTIONS!$C$52,ASSUMPTIONS!$D$52*(1+ASSUMPTIONS!$B$66),0),0)</f>
        <v>9104</v>
      </c>
      <c r="BI16" s="94" t="n">
        <f aca="false">IFERROR(IF(56&gt;=ASSUMPTIONS!$C$52,ASSUMPTIONS!$D$52*(1+ASSUMPTIONS!$B$66),0),0)</f>
        <v>9104</v>
      </c>
      <c r="BJ16" s="94" t="n">
        <f aca="false">IFERROR(IF(57&gt;=ASSUMPTIONS!$C$52,ASSUMPTIONS!$D$52*(1+ASSUMPTIONS!$B$66),0),0)</f>
        <v>9104</v>
      </c>
      <c r="BK16" s="94" t="n">
        <f aca="false">IFERROR(IF(58&gt;=ASSUMPTIONS!$C$52,ASSUMPTIONS!$D$52*(1+ASSUMPTIONS!$B$66),0),0)</f>
        <v>9104</v>
      </c>
      <c r="BL16" s="94" t="n">
        <f aca="false">IFERROR(IF(59&gt;=ASSUMPTIONS!$C$52,ASSUMPTIONS!$D$52*(1+ASSUMPTIONS!$B$66),0),0)</f>
        <v>9104</v>
      </c>
      <c r="BM16" s="94" t="n">
        <f aca="false">IFERROR(IF(60&gt;=ASSUMPTIONS!$C$52,ASSUMPTIONS!$D$52*(1+ASSUMPTIONS!$B$66),0),0)</f>
        <v>9104</v>
      </c>
      <c r="BN16" s="71" t="n">
        <f aca="false">SUM(BB16:BM16)</f>
        <v>109248</v>
      </c>
    </row>
    <row r="17" customFormat="false" ht="19.5" hidden="false" customHeight="true" outlineLevel="0" collapsed="false">
      <c r="A17" s="97" t="str">
        <f aca="false">IFERROR(ASSUMPTIONS!B53,"(empty)")</f>
        <v>Product</v>
      </c>
      <c r="B17" s="94" t="n">
        <f aca="false">IFERROR(IF(1&gt;=ASSUMPTIONS!$C$53,ASSUMPTIONS!$D$53*(1+ASSUMPTIONS!$B$66),0),0)</f>
        <v>0</v>
      </c>
      <c r="C17" s="94" t="n">
        <f aca="false">IFERROR(IF(2&gt;=ASSUMPTIONS!$C$53,ASSUMPTIONS!$D$53*(1+ASSUMPTIONS!$B$66),0),0)</f>
        <v>0</v>
      </c>
      <c r="D17" s="94" t="n">
        <f aca="false">IFERROR(IF(3&gt;=ASSUMPTIONS!$C$53,ASSUMPTIONS!$D$53*(1+ASSUMPTIONS!$B$66),0),0)</f>
        <v>6828</v>
      </c>
      <c r="E17" s="94" t="n">
        <f aca="false">IFERROR(IF(4&gt;=ASSUMPTIONS!$C$53,ASSUMPTIONS!$D$53*(1+ASSUMPTIONS!$B$66),0),0)</f>
        <v>6828</v>
      </c>
      <c r="F17" s="94" t="n">
        <f aca="false">IFERROR(IF(5&gt;=ASSUMPTIONS!$C$53,ASSUMPTIONS!$D$53*(1+ASSUMPTIONS!$B$66),0),0)</f>
        <v>6828</v>
      </c>
      <c r="G17" s="94" t="n">
        <f aca="false">IFERROR(IF(6&gt;=ASSUMPTIONS!$C$53,ASSUMPTIONS!$D$53*(1+ASSUMPTIONS!$B$66),0),0)</f>
        <v>6828</v>
      </c>
      <c r="H17" s="94" t="n">
        <f aca="false">IFERROR(IF(7&gt;=ASSUMPTIONS!$C$53,ASSUMPTIONS!$D$53*(1+ASSUMPTIONS!$B$66),0),0)</f>
        <v>6828</v>
      </c>
      <c r="I17" s="94" t="n">
        <f aca="false">IFERROR(IF(8&gt;=ASSUMPTIONS!$C$53,ASSUMPTIONS!$D$53*(1+ASSUMPTIONS!$B$66),0),0)</f>
        <v>6828</v>
      </c>
      <c r="J17" s="94" t="n">
        <f aca="false">IFERROR(IF(9&gt;=ASSUMPTIONS!$C$53,ASSUMPTIONS!$D$53*(1+ASSUMPTIONS!$B$66),0),0)</f>
        <v>6828</v>
      </c>
      <c r="K17" s="94" t="n">
        <f aca="false">IFERROR(IF(10&gt;=ASSUMPTIONS!$C$53,ASSUMPTIONS!$D$53*(1+ASSUMPTIONS!$B$66),0),0)</f>
        <v>6828</v>
      </c>
      <c r="L17" s="94" t="n">
        <f aca="false">IFERROR(IF(11&gt;=ASSUMPTIONS!$C$53,ASSUMPTIONS!$D$53*(1+ASSUMPTIONS!$B$66),0),0)</f>
        <v>6828</v>
      </c>
      <c r="M17" s="94" t="n">
        <f aca="false">IFERROR(IF(12&gt;=ASSUMPTIONS!$C$53,ASSUMPTIONS!$D$53*(1+ASSUMPTIONS!$B$66),0),0)</f>
        <v>6828</v>
      </c>
      <c r="N17" s="95" t="n">
        <f aca="false">SUM(B17:M17)</f>
        <v>68280</v>
      </c>
      <c r="O17" s="94" t="n">
        <f aca="false">IFERROR(IF(13&gt;=ASSUMPTIONS!$C$53,ASSUMPTIONS!$D$53*(1+ASSUMPTIONS!$B$66),0),0)</f>
        <v>6828</v>
      </c>
      <c r="P17" s="94" t="n">
        <f aca="false">IFERROR(IF(14&gt;=ASSUMPTIONS!$C$53,ASSUMPTIONS!$D$53*(1+ASSUMPTIONS!$B$66),0),0)</f>
        <v>6828</v>
      </c>
      <c r="Q17" s="94" t="n">
        <f aca="false">IFERROR(IF(15&gt;=ASSUMPTIONS!$C$53,ASSUMPTIONS!$D$53*(1+ASSUMPTIONS!$B$66),0),0)</f>
        <v>6828</v>
      </c>
      <c r="R17" s="94" t="n">
        <f aca="false">IFERROR(IF(16&gt;=ASSUMPTIONS!$C$53,ASSUMPTIONS!$D$53*(1+ASSUMPTIONS!$B$66),0),0)</f>
        <v>6828</v>
      </c>
      <c r="S17" s="94" t="n">
        <f aca="false">IFERROR(IF(17&gt;=ASSUMPTIONS!$C$53,ASSUMPTIONS!$D$53*(1+ASSUMPTIONS!$B$66),0),0)</f>
        <v>6828</v>
      </c>
      <c r="T17" s="94" t="n">
        <f aca="false">IFERROR(IF(18&gt;=ASSUMPTIONS!$C$53,ASSUMPTIONS!$D$53*(1+ASSUMPTIONS!$B$66),0),0)</f>
        <v>6828</v>
      </c>
      <c r="U17" s="94" t="n">
        <f aca="false">IFERROR(IF(19&gt;=ASSUMPTIONS!$C$53,ASSUMPTIONS!$D$53*(1+ASSUMPTIONS!$B$66),0),0)</f>
        <v>6828</v>
      </c>
      <c r="V17" s="94" t="n">
        <f aca="false">IFERROR(IF(20&gt;=ASSUMPTIONS!$C$53,ASSUMPTIONS!$D$53*(1+ASSUMPTIONS!$B$66),0),0)</f>
        <v>6828</v>
      </c>
      <c r="W17" s="94" t="n">
        <f aca="false">IFERROR(IF(21&gt;=ASSUMPTIONS!$C$53,ASSUMPTIONS!$D$53*(1+ASSUMPTIONS!$B$66),0),0)</f>
        <v>6828</v>
      </c>
      <c r="X17" s="94" t="n">
        <f aca="false">IFERROR(IF(22&gt;=ASSUMPTIONS!$C$53,ASSUMPTIONS!$D$53*(1+ASSUMPTIONS!$B$66),0),0)</f>
        <v>6828</v>
      </c>
      <c r="Y17" s="94" t="n">
        <f aca="false">IFERROR(IF(23&gt;=ASSUMPTIONS!$C$53,ASSUMPTIONS!$D$53*(1+ASSUMPTIONS!$B$66),0),0)</f>
        <v>6828</v>
      </c>
      <c r="Z17" s="94" t="n">
        <f aca="false">IFERROR(IF(24&gt;=ASSUMPTIONS!$C$53,ASSUMPTIONS!$D$53*(1+ASSUMPTIONS!$B$66),0),0)</f>
        <v>6828</v>
      </c>
      <c r="AA17" s="95" t="n">
        <f aca="false">SUM(O17:Z17)</f>
        <v>81936</v>
      </c>
      <c r="AB17" s="94" t="n">
        <f aca="false">IFERROR(IF(25&gt;=ASSUMPTIONS!$C$53,ASSUMPTIONS!$D$53*(1+ASSUMPTIONS!$B$66),0),0)</f>
        <v>6828</v>
      </c>
      <c r="AC17" s="94" t="n">
        <f aca="false">IFERROR(IF(26&gt;=ASSUMPTIONS!$C$53,ASSUMPTIONS!$D$53*(1+ASSUMPTIONS!$B$66),0),0)</f>
        <v>6828</v>
      </c>
      <c r="AD17" s="94" t="n">
        <f aca="false">IFERROR(IF(27&gt;=ASSUMPTIONS!$C$53,ASSUMPTIONS!$D$53*(1+ASSUMPTIONS!$B$66),0),0)</f>
        <v>6828</v>
      </c>
      <c r="AE17" s="94" t="n">
        <f aca="false">IFERROR(IF(28&gt;=ASSUMPTIONS!$C$53,ASSUMPTIONS!$D$53*(1+ASSUMPTIONS!$B$66),0),0)</f>
        <v>6828</v>
      </c>
      <c r="AF17" s="94" t="n">
        <f aca="false">IFERROR(IF(29&gt;=ASSUMPTIONS!$C$53,ASSUMPTIONS!$D$53*(1+ASSUMPTIONS!$B$66),0),0)</f>
        <v>6828</v>
      </c>
      <c r="AG17" s="94" t="n">
        <f aca="false">IFERROR(IF(30&gt;=ASSUMPTIONS!$C$53,ASSUMPTIONS!$D$53*(1+ASSUMPTIONS!$B$66),0),0)</f>
        <v>6828</v>
      </c>
      <c r="AH17" s="94" t="n">
        <f aca="false">IFERROR(IF(31&gt;=ASSUMPTIONS!$C$53,ASSUMPTIONS!$D$53*(1+ASSUMPTIONS!$B$66),0),0)</f>
        <v>6828</v>
      </c>
      <c r="AI17" s="94" t="n">
        <f aca="false">IFERROR(IF(32&gt;=ASSUMPTIONS!$C$53,ASSUMPTIONS!$D$53*(1+ASSUMPTIONS!$B$66),0),0)</f>
        <v>6828</v>
      </c>
      <c r="AJ17" s="94" t="n">
        <f aca="false">IFERROR(IF(33&gt;=ASSUMPTIONS!$C$53,ASSUMPTIONS!$D$53*(1+ASSUMPTIONS!$B$66),0),0)</f>
        <v>6828</v>
      </c>
      <c r="AK17" s="94" t="n">
        <f aca="false">IFERROR(IF(34&gt;=ASSUMPTIONS!$C$53,ASSUMPTIONS!$D$53*(1+ASSUMPTIONS!$B$66),0),0)</f>
        <v>6828</v>
      </c>
      <c r="AL17" s="94" t="n">
        <f aca="false">IFERROR(IF(35&gt;=ASSUMPTIONS!$C$53,ASSUMPTIONS!$D$53*(1+ASSUMPTIONS!$B$66),0),0)</f>
        <v>6828</v>
      </c>
      <c r="AM17" s="94" t="n">
        <f aca="false">IFERROR(IF(36&gt;=ASSUMPTIONS!$C$53,ASSUMPTIONS!$D$53*(1+ASSUMPTIONS!$B$66),0),0)</f>
        <v>6828</v>
      </c>
      <c r="AN17" s="95" t="n">
        <f aca="false">SUM(AB17:AM17)</f>
        <v>81936</v>
      </c>
      <c r="AO17" s="94" t="n">
        <f aca="false">IFERROR(IF(37&gt;=ASSUMPTIONS!$C$53,ASSUMPTIONS!$D$53*(1+ASSUMPTIONS!$B$66),0),0)</f>
        <v>6828</v>
      </c>
      <c r="AP17" s="94" t="n">
        <f aca="false">IFERROR(IF(38&gt;=ASSUMPTIONS!$C$53,ASSUMPTIONS!$D$53*(1+ASSUMPTIONS!$B$66),0),0)</f>
        <v>6828</v>
      </c>
      <c r="AQ17" s="94" t="n">
        <f aca="false">IFERROR(IF(39&gt;=ASSUMPTIONS!$C$53,ASSUMPTIONS!$D$53*(1+ASSUMPTIONS!$B$66),0),0)</f>
        <v>6828</v>
      </c>
      <c r="AR17" s="94" t="n">
        <f aca="false">IFERROR(IF(40&gt;=ASSUMPTIONS!$C$53,ASSUMPTIONS!$D$53*(1+ASSUMPTIONS!$B$66),0),0)</f>
        <v>6828</v>
      </c>
      <c r="AS17" s="94" t="n">
        <f aca="false">IFERROR(IF(41&gt;=ASSUMPTIONS!$C$53,ASSUMPTIONS!$D$53*(1+ASSUMPTIONS!$B$66),0),0)</f>
        <v>6828</v>
      </c>
      <c r="AT17" s="94" t="n">
        <f aca="false">IFERROR(IF(42&gt;=ASSUMPTIONS!$C$53,ASSUMPTIONS!$D$53*(1+ASSUMPTIONS!$B$66),0),0)</f>
        <v>6828</v>
      </c>
      <c r="AU17" s="94" t="n">
        <f aca="false">IFERROR(IF(43&gt;=ASSUMPTIONS!$C$53,ASSUMPTIONS!$D$53*(1+ASSUMPTIONS!$B$66),0),0)</f>
        <v>6828</v>
      </c>
      <c r="AV17" s="94" t="n">
        <f aca="false">IFERROR(IF(44&gt;=ASSUMPTIONS!$C$53,ASSUMPTIONS!$D$53*(1+ASSUMPTIONS!$B$66),0),0)</f>
        <v>6828</v>
      </c>
      <c r="AW17" s="94" t="n">
        <f aca="false">IFERROR(IF(45&gt;=ASSUMPTIONS!$C$53,ASSUMPTIONS!$D$53*(1+ASSUMPTIONS!$B$66),0),0)</f>
        <v>6828</v>
      </c>
      <c r="AX17" s="94" t="n">
        <f aca="false">IFERROR(IF(46&gt;=ASSUMPTIONS!$C$53,ASSUMPTIONS!$D$53*(1+ASSUMPTIONS!$B$66),0),0)</f>
        <v>6828</v>
      </c>
      <c r="AY17" s="94" t="n">
        <f aca="false">IFERROR(IF(47&gt;=ASSUMPTIONS!$C$53,ASSUMPTIONS!$D$53*(1+ASSUMPTIONS!$B$66),0),0)</f>
        <v>6828</v>
      </c>
      <c r="AZ17" s="94" t="n">
        <f aca="false">IFERROR(IF(48&gt;=ASSUMPTIONS!$C$53,ASSUMPTIONS!$D$53*(1+ASSUMPTIONS!$B$66),0),0)</f>
        <v>6828</v>
      </c>
      <c r="BA17" s="71" t="n">
        <f aca="false">SUM(AO17:AZ17)</f>
        <v>81936</v>
      </c>
      <c r="BB17" s="94" t="n">
        <f aca="false">IFERROR(IF(49&gt;=ASSUMPTIONS!$C$53,ASSUMPTIONS!$D$53*(1+ASSUMPTIONS!$B$66),0),0)</f>
        <v>6828</v>
      </c>
      <c r="BC17" s="94" t="n">
        <f aca="false">IFERROR(IF(50&gt;=ASSUMPTIONS!$C$53,ASSUMPTIONS!$D$53*(1+ASSUMPTIONS!$B$66),0),0)</f>
        <v>6828</v>
      </c>
      <c r="BD17" s="94" t="n">
        <f aca="false">IFERROR(IF(51&gt;=ASSUMPTIONS!$C$53,ASSUMPTIONS!$D$53*(1+ASSUMPTIONS!$B$66),0),0)</f>
        <v>6828</v>
      </c>
      <c r="BE17" s="94" t="n">
        <f aca="false">IFERROR(IF(52&gt;=ASSUMPTIONS!$C$53,ASSUMPTIONS!$D$53*(1+ASSUMPTIONS!$B$66),0),0)</f>
        <v>6828</v>
      </c>
      <c r="BF17" s="94" t="n">
        <f aca="false">IFERROR(IF(53&gt;=ASSUMPTIONS!$C$53,ASSUMPTIONS!$D$53*(1+ASSUMPTIONS!$B$66),0),0)</f>
        <v>6828</v>
      </c>
      <c r="BG17" s="94" t="n">
        <f aca="false">IFERROR(IF(54&gt;=ASSUMPTIONS!$C$53,ASSUMPTIONS!$D$53*(1+ASSUMPTIONS!$B$66),0),0)</f>
        <v>6828</v>
      </c>
      <c r="BH17" s="94" t="n">
        <f aca="false">IFERROR(IF(55&gt;=ASSUMPTIONS!$C$53,ASSUMPTIONS!$D$53*(1+ASSUMPTIONS!$B$66),0),0)</f>
        <v>6828</v>
      </c>
      <c r="BI17" s="94" t="n">
        <f aca="false">IFERROR(IF(56&gt;=ASSUMPTIONS!$C$53,ASSUMPTIONS!$D$53*(1+ASSUMPTIONS!$B$66),0),0)</f>
        <v>6828</v>
      </c>
      <c r="BJ17" s="94" t="n">
        <f aca="false">IFERROR(IF(57&gt;=ASSUMPTIONS!$C$53,ASSUMPTIONS!$D$53*(1+ASSUMPTIONS!$B$66),0),0)</f>
        <v>6828</v>
      </c>
      <c r="BK17" s="94" t="n">
        <f aca="false">IFERROR(IF(58&gt;=ASSUMPTIONS!$C$53,ASSUMPTIONS!$D$53*(1+ASSUMPTIONS!$B$66),0),0)</f>
        <v>6828</v>
      </c>
      <c r="BL17" s="94" t="n">
        <f aca="false">IFERROR(IF(59&gt;=ASSUMPTIONS!$C$53,ASSUMPTIONS!$D$53*(1+ASSUMPTIONS!$B$66),0),0)</f>
        <v>6828</v>
      </c>
      <c r="BM17" s="94" t="n">
        <f aca="false">IFERROR(IF(60&gt;=ASSUMPTIONS!$C$53,ASSUMPTIONS!$D$53*(1+ASSUMPTIONS!$B$66),0),0)</f>
        <v>6828</v>
      </c>
      <c r="BN17" s="71" t="n">
        <f aca="false">SUM(BB17:BM17)</f>
        <v>81936</v>
      </c>
    </row>
    <row r="18" customFormat="false" ht="19.5" hidden="false" customHeight="true" outlineLevel="0" collapsed="false">
      <c r="A18" s="97" t="str">
        <f aca="false">IFERROR(ASSUMPTIONS!B54,"(empty)")</f>
        <v>Product</v>
      </c>
      <c r="B18" s="94" t="n">
        <f aca="false">IFERROR(IF(1&gt;=ASSUMPTIONS!$C$54,ASSUMPTIONS!$D$54*(1+ASSUMPTIONS!$B$66),0),0)</f>
        <v>0</v>
      </c>
      <c r="C18" s="94" t="n">
        <f aca="false">IFERROR(IF(2&gt;=ASSUMPTIONS!$C$54,ASSUMPTIONS!$D$54*(1+ASSUMPTIONS!$B$66),0),0)</f>
        <v>0</v>
      </c>
      <c r="D18" s="94" t="n">
        <f aca="false">IFERROR(IF(3&gt;=ASSUMPTIONS!$C$54,ASSUMPTIONS!$D$54*(1+ASSUMPTIONS!$B$66),0),0)</f>
        <v>0</v>
      </c>
      <c r="E18" s="94" t="n">
        <f aca="false">IFERROR(IF(4&gt;=ASSUMPTIONS!$C$54,ASSUMPTIONS!$D$54*(1+ASSUMPTIONS!$B$66),0),0)</f>
        <v>0</v>
      </c>
      <c r="F18" s="94" t="n">
        <f aca="false">IFERROR(IF(5&gt;=ASSUMPTIONS!$C$54,ASSUMPTIONS!$D$54*(1+ASSUMPTIONS!$B$66),0),0)</f>
        <v>0</v>
      </c>
      <c r="G18" s="94" t="n">
        <f aca="false">IFERROR(IF(6&gt;=ASSUMPTIONS!$C$54,ASSUMPTIONS!$D$54*(1+ASSUMPTIONS!$B$66),0),0)</f>
        <v>5690</v>
      </c>
      <c r="H18" s="94" t="n">
        <f aca="false">IFERROR(IF(7&gt;=ASSUMPTIONS!$C$54,ASSUMPTIONS!$D$54*(1+ASSUMPTIONS!$B$66),0),0)</f>
        <v>5690</v>
      </c>
      <c r="I18" s="94" t="n">
        <f aca="false">IFERROR(IF(8&gt;=ASSUMPTIONS!$C$54,ASSUMPTIONS!$D$54*(1+ASSUMPTIONS!$B$66),0),0)</f>
        <v>5690</v>
      </c>
      <c r="J18" s="94" t="n">
        <f aca="false">IFERROR(IF(9&gt;=ASSUMPTIONS!$C$54,ASSUMPTIONS!$D$54*(1+ASSUMPTIONS!$B$66),0),0)</f>
        <v>5690</v>
      </c>
      <c r="K18" s="94" t="n">
        <f aca="false">IFERROR(IF(10&gt;=ASSUMPTIONS!$C$54,ASSUMPTIONS!$D$54*(1+ASSUMPTIONS!$B$66),0),0)</f>
        <v>5690</v>
      </c>
      <c r="L18" s="94" t="n">
        <f aca="false">IFERROR(IF(11&gt;=ASSUMPTIONS!$C$54,ASSUMPTIONS!$D$54*(1+ASSUMPTIONS!$B$66),0),0)</f>
        <v>5690</v>
      </c>
      <c r="M18" s="94" t="n">
        <f aca="false">IFERROR(IF(12&gt;=ASSUMPTIONS!$C$54,ASSUMPTIONS!$D$54*(1+ASSUMPTIONS!$B$66),0),0)</f>
        <v>5690</v>
      </c>
      <c r="N18" s="95" t="n">
        <f aca="false">SUM(B18:M18)</f>
        <v>39830</v>
      </c>
      <c r="O18" s="94" t="n">
        <f aca="false">IFERROR(IF(13&gt;=ASSUMPTIONS!$C$54,ASSUMPTIONS!$D$54*(1+ASSUMPTIONS!$B$66),0),0)</f>
        <v>5690</v>
      </c>
      <c r="P18" s="94" t="n">
        <f aca="false">IFERROR(IF(14&gt;=ASSUMPTIONS!$C$54,ASSUMPTIONS!$D$54*(1+ASSUMPTIONS!$B$66),0),0)</f>
        <v>5690</v>
      </c>
      <c r="Q18" s="94" t="n">
        <f aca="false">IFERROR(IF(15&gt;=ASSUMPTIONS!$C$54,ASSUMPTIONS!$D$54*(1+ASSUMPTIONS!$B$66),0),0)</f>
        <v>5690</v>
      </c>
      <c r="R18" s="94" t="n">
        <f aca="false">IFERROR(IF(16&gt;=ASSUMPTIONS!$C$54,ASSUMPTIONS!$D$54*(1+ASSUMPTIONS!$B$66),0),0)</f>
        <v>5690</v>
      </c>
      <c r="S18" s="94" t="n">
        <f aca="false">IFERROR(IF(17&gt;=ASSUMPTIONS!$C$54,ASSUMPTIONS!$D$54*(1+ASSUMPTIONS!$B$66),0),0)</f>
        <v>5690</v>
      </c>
      <c r="T18" s="94" t="n">
        <f aca="false">IFERROR(IF(18&gt;=ASSUMPTIONS!$C$54,ASSUMPTIONS!$D$54*(1+ASSUMPTIONS!$B$66),0),0)</f>
        <v>5690</v>
      </c>
      <c r="U18" s="94" t="n">
        <f aca="false">IFERROR(IF(19&gt;=ASSUMPTIONS!$C$54,ASSUMPTIONS!$D$54*(1+ASSUMPTIONS!$B$66),0),0)</f>
        <v>5690</v>
      </c>
      <c r="V18" s="94" t="n">
        <f aca="false">IFERROR(IF(20&gt;=ASSUMPTIONS!$C$54,ASSUMPTIONS!$D$54*(1+ASSUMPTIONS!$B$66),0),0)</f>
        <v>5690</v>
      </c>
      <c r="W18" s="94" t="n">
        <f aca="false">IFERROR(IF(21&gt;=ASSUMPTIONS!$C$54,ASSUMPTIONS!$D$54*(1+ASSUMPTIONS!$B$66),0),0)</f>
        <v>5690</v>
      </c>
      <c r="X18" s="94" t="n">
        <f aca="false">IFERROR(IF(22&gt;=ASSUMPTIONS!$C$54,ASSUMPTIONS!$D$54*(1+ASSUMPTIONS!$B$66),0),0)</f>
        <v>5690</v>
      </c>
      <c r="Y18" s="94" t="n">
        <f aca="false">IFERROR(IF(23&gt;=ASSUMPTIONS!$C$54,ASSUMPTIONS!$D$54*(1+ASSUMPTIONS!$B$66),0),0)</f>
        <v>5690</v>
      </c>
      <c r="Z18" s="94" t="n">
        <f aca="false">IFERROR(IF(24&gt;=ASSUMPTIONS!$C$54,ASSUMPTIONS!$D$54*(1+ASSUMPTIONS!$B$66),0),0)</f>
        <v>5690</v>
      </c>
      <c r="AA18" s="95" t="n">
        <f aca="false">SUM(O18:Z18)</f>
        <v>68280</v>
      </c>
      <c r="AB18" s="94" t="n">
        <f aca="false">IFERROR(IF(25&gt;=ASSUMPTIONS!$C$54,ASSUMPTIONS!$D$54*(1+ASSUMPTIONS!$B$66),0),0)</f>
        <v>5690</v>
      </c>
      <c r="AC18" s="94" t="n">
        <f aca="false">IFERROR(IF(26&gt;=ASSUMPTIONS!$C$54,ASSUMPTIONS!$D$54*(1+ASSUMPTIONS!$B$66),0),0)</f>
        <v>5690</v>
      </c>
      <c r="AD18" s="94" t="n">
        <f aca="false">IFERROR(IF(27&gt;=ASSUMPTIONS!$C$54,ASSUMPTIONS!$D$54*(1+ASSUMPTIONS!$B$66),0),0)</f>
        <v>5690</v>
      </c>
      <c r="AE18" s="94" t="n">
        <f aca="false">IFERROR(IF(28&gt;=ASSUMPTIONS!$C$54,ASSUMPTIONS!$D$54*(1+ASSUMPTIONS!$B$66),0),0)</f>
        <v>5690</v>
      </c>
      <c r="AF18" s="94" t="n">
        <f aca="false">IFERROR(IF(29&gt;=ASSUMPTIONS!$C$54,ASSUMPTIONS!$D$54*(1+ASSUMPTIONS!$B$66),0),0)</f>
        <v>5690</v>
      </c>
      <c r="AG18" s="94" t="n">
        <f aca="false">IFERROR(IF(30&gt;=ASSUMPTIONS!$C$54,ASSUMPTIONS!$D$54*(1+ASSUMPTIONS!$B$66),0),0)</f>
        <v>5690</v>
      </c>
      <c r="AH18" s="94" t="n">
        <f aca="false">IFERROR(IF(31&gt;=ASSUMPTIONS!$C$54,ASSUMPTIONS!$D$54*(1+ASSUMPTIONS!$B$66),0),0)</f>
        <v>5690</v>
      </c>
      <c r="AI18" s="94" t="n">
        <f aca="false">IFERROR(IF(32&gt;=ASSUMPTIONS!$C$54,ASSUMPTIONS!$D$54*(1+ASSUMPTIONS!$B$66),0),0)</f>
        <v>5690</v>
      </c>
      <c r="AJ18" s="94" t="n">
        <f aca="false">IFERROR(IF(33&gt;=ASSUMPTIONS!$C$54,ASSUMPTIONS!$D$54*(1+ASSUMPTIONS!$B$66),0),0)</f>
        <v>5690</v>
      </c>
      <c r="AK18" s="94" t="n">
        <f aca="false">IFERROR(IF(34&gt;=ASSUMPTIONS!$C$54,ASSUMPTIONS!$D$54*(1+ASSUMPTIONS!$B$66),0),0)</f>
        <v>5690</v>
      </c>
      <c r="AL18" s="94" t="n">
        <f aca="false">IFERROR(IF(35&gt;=ASSUMPTIONS!$C$54,ASSUMPTIONS!$D$54*(1+ASSUMPTIONS!$B$66),0),0)</f>
        <v>5690</v>
      </c>
      <c r="AM18" s="94" t="n">
        <f aca="false">IFERROR(IF(36&gt;=ASSUMPTIONS!$C$54,ASSUMPTIONS!$D$54*(1+ASSUMPTIONS!$B$66),0),0)</f>
        <v>5690</v>
      </c>
      <c r="AN18" s="95" t="n">
        <f aca="false">SUM(AB18:AM18)</f>
        <v>68280</v>
      </c>
      <c r="AO18" s="94" t="n">
        <f aca="false">IFERROR(IF(37&gt;=ASSUMPTIONS!$C$54,ASSUMPTIONS!$D$54*(1+ASSUMPTIONS!$B$66),0),0)</f>
        <v>5690</v>
      </c>
      <c r="AP18" s="94" t="n">
        <f aca="false">IFERROR(IF(38&gt;=ASSUMPTIONS!$C$54,ASSUMPTIONS!$D$54*(1+ASSUMPTIONS!$B$66),0),0)</f>
        <v>5690</v>
      </c>
      <c r="AQ18" s="94" t="n">
        <f aca="false">IFERROR(IF(39&gt;=ASSUMPTIONS!$C$54,ASSUMPTIONS!$D$54*(1+ASSUMPTIONS!$B$66),0),0)</f>
        <v>5690</v>
      </c>
      <c r="AR18" s="94" t="n">
        <f aca="false">IFERROR(IF(40&gt;=ASSUMPTIONS!$C$54,ASSUMPTIONS!$D$54*(1+ASSUMPTIONS!$B$66),0),0)</f>
        <v>5690</v>
      </c>
      <c r="AS18" s="94" t="n">
        <f aca="false">IFERROR(IF(41&gt;=ASSUMPTIONS!$C$54,ASSUMPTIONS!$D$54*(1+ASSUMPTIONS!$B$66),0),0)</f>
        <v>5690</v>
      </c>
      <c r="AT18" s="94" t="n">
        <f aca="false">IFERROR(IF(42&gt;=ASSUMPTIONS!$C$54,ASSUMPTIONS!$D$54*(1+ASSUMPTIONS!$B$66),0),0)</f>
        <v>5690</v>
      </c>
      <c r="AU18" s="94" t="n">
        <f aca="false">IFERROR(IF(43&gt;=ASSUMPTIONS!$C$54,ASSUMPTIONS!$D$54*(1+ASSUMPTIONS!$B$66),0),0)</f>
        <v>5690</v>
      </c>
      <c r="AV18" s="94" t="n">
        <f aca="false">IFERROR(IF(44&gt;=ASSUMPTIONS!$C$54,ASSUMPTIONS!$D$54*(1+ASSUMPTIONS!$B$66),0),0)</f>
        <v>5690</v>
      </c>
      <c r="AW18" s="94" t="n">
        <f aca="false">IFERROR(IF(45&gt;=ASSUMPTIONS!$C$54,ASSUMPTIONS!$D$54*(1+ASSUMPTIONS!$B$66),0),0)</f>
        <v>5690</v>
      </c>
      <c r="AX18" s="94" t="n">
        <f aca="false">IFERROR(IF(46&gt;=ASSUMPTIONS!$C$54,ASSUMPTIONS!$D$54*(1+ASSUMPTIONS!$B$66),0),0)</f>
        <v>5690</v>
      </c>
      <c r="AY18" s="94" t="n">
        <f aca="false">IFERROR(IF(47&gt;=ASSUMPTIONS!$C$54,ASSUMPTIONS!$D$54*(1+ASSUMPTIONS!$B$66),0),0)</f>
        <v>5690</v>
      </c>
      <c r="AZ18" s="94" t="n">
        <f aca="false">IFERROR(IF(48&gt;=ASSUMPTIONS!$C$54,ASSUMPTIONS!$D$54*(1+ASSUMPTIONS!$B$66),0),0)</f>
        <v>5690</v>
      </c>
      <c r="BA18" s="71" t="n">
        <f aca="false">SUM(AO18:AZ18)</f>
        <v>68280</v>
      </c>
      <c r="BB18" s="94" t="n">
        <f aca="false">IFERROR(IF(49&gt;=ASSUMPTIONS!$C$54,ASSUMPTIONS!$D$54*(1+ASSUMPTIONS!$B$66),0),0)</f>
        <v>5690</v>
      </c>
      <c r="BC18" s="94" t="n">
        <f aca="false">IFERROR(IF(50&gt;=ASSUMPTIONS!$C$54,ASSUMPTIONS!$D$54*(1+ASSUMPTIONS!$B$66),0),0)</f>
        <v>5690</v>
      </c>
      <c r="BD18" s="94" t="n">
        <f aca="false">IFERROR(IF(51&gt;=ASSUMPTIONS!$C$54,ASSUMPTIONS!$D$54*(1+ASSUMPTIONS!$B$66),0),0)</f>
        <v>5690</v>
      </c>
      <c r="BE18" s="94" t="n">
        <f aca="false">IFERROR(IF(52&gt;=ASSUMPTIONS!$C$54,ASSUMPTIONS!$D$54*(1+ASSUMPTIONS!$B$66),0),0)</f>
        <v>5690</v>
      </c>
      <c r="BF18" s="94" t="n">
        <f aca="false">IFERROR(IF(53&gt;=ASSUMPTIONS!$C$54,ASSUMPTIONS!$D$54*(1+ASSUMPTIONS!$B$66),0),0)</f>
        <v>5690</v>
      </c>
      <c r="BG18" s="94" t="n">
        <f aca="false">IFERROR(IF(54&gt;=ASSUMPTIONS!$C$54,ASSUMPTIONS!$D$54*(1+ASSUMPTIONS!$B$66),0),0)</f>
        <v>5690</v>
      </c>
      <c r="BH18" s="94" t="n">
        <f aca="false">IFERROR(IF(55&gt;=ASSUMPTIONS!$C$54,ASSUMPTIONS!$D$54*(1+ASSUMPTIONS!$B$66),0),0)</f>
        <v>5690</v>
      </c>
      <c r="BI18" s="94" t="n">
        <f aca="false">IFERROR(IF(56&gt;=ASSUMPTIONS!$C$54,ASSUMPTIONS!$D$54*(1+ASSUMPTIONS!$B$66),0),0)</f>
        <v>5690</v>
      </c>
      <c r="BJ18" s="94" t="n">
        <f aca="false">IFERROR(IF(57&gt;=ASSUMPTIONS!$C$54,ASSUMPTIONS!$D$54*(1+ASSUMPTIONS!$B$66),0),0)</f>
        <v>5690</v>
      </c>
      <c r="BK18" s="94" t="n">
        <f aca="false">IFERROR(IF(58&gt;=ASSUMPTIONS!$C$54,ASSUMPTIONS!$D$54*(1+ASSUMPTIONS!$B$66),0),0)</f>
        <v>5690</v>
      </c>
      <c r="BL18" s="94" t="n">
        <f aca="false">IFERROR(IF(59&gt;=ASSUMPTIONS!$C$54,ASSUMPTIONS!$D$54*(1+ASSUMPTIONS!$B$66),0),0)</f>
        <v>5690</v>
      </c>
      <c r="BM18" s="94" t="n">
        <f aca="false">IFERROR(IF(60&gt;=ASSUMPTIONS!$C$54,ASSUMPTIONS!$D$54*(1+ASSUMPTIONS!$B$66),0),0)</f>
        <v>5690</v>
      </c>
      <c r="BN18" s="71" t="n">
        <f aca="false">SUM(BB18:BM18)</f>
        <v>68280</v>
      </c>
    </row>
    <row r="19" customFormat="false" ht="19.5" hidden="false" customHeight="true" outlineLevel="0" collapsed="false">
      <c r="A19" s="96" t="s">
        <v>228</v>
      </c>
      <c r="B19" s="76" t="n">
        <f aca="false">SUM(B16:B18)</f>
        <v>9104</v>
      </c>
      <c r="C19" s="76" t="n">
        <f aca="false">SUM(C16:C18)</f>
        <v>9104</v>
      </c>
      <c r="D19" s="76" t="n">
        <f aca="false">SUM(D16:D18)</f>
        <v>15932</v>
      </c>
      <c r="E19" s="76" t="n">
        <f aca="false">SUM(E16:E18)</f>
        <v>15932</v>
      </c>
      <c r="F19" s="76" t="n">
        <f aca="false">SUM(F16:F18)</f>
        <v>15932</v>
      </c>
      <c r="G19" s="76" t="n">
        <f aca="false">SUM(G16:G18)</f>
        <v>21622</v>
      </c>
      <c r="H19" s="76" t="n">
        <f aca="false">SUM(H16:H18)</f>
        <v>21622</v>
      </c>
      <c r="I19" s="76" t="n">
        <f aca="false">SUM(I16:I18)</f>
        <v>21622</v>
      </c>
      <c r="J19" s="76" t="n">
        <f aca="false">SUM(J16:J18)</f>
        <v>21622</v>
      </c>
      <c r="K19" s="76" t="n">
        <f aca="false">SUM(K16:K18)</f>
        <v>21622</v>
      </c>
      <c r="L19" s="76" t="n">
        <f aca="false">SUM(L16:L18)</f>
        <v>21622</v>
      </c>
      <c r="M19" s="76" t="n">
        <f aca="false">SUM(M16:M18)</f>
        <v>21622</v>
      </c>
      <c r="N19" s="76" t="n">
        <f aca="false">SUM(B19:M19)</f>
        <v>217358</v>
      </c>
      <c r="O19" s="76" t="n">
        <f aca="false">SUM(O16:O18)</f>
        <v>21622</v>
      </c>
      <c r="P19" s="76" t="n">
        <f aca="false">SUM(P16:P18)</f>
        <v>21622</v>
      </c>
      <c r="Q19" s="76" t="n">
        <f aca="false">SUM(Q16:Q18)</f>
        <v>21622</v>
      </c>
      <c r="R19" s="76" t="n">
        <f aca="false">SUM(R16:R18)</f>
        <v>21622</v>
      </c>
      <c r="S19" s="76" t="n">
        <f aca="false">SUM(S16:S18)</f>
        <v>21622</v>
      </c>
      <c r="T19" s="76" t="n">
        <f aca="false">SUM(T16:T18)</f>
        <v>21622</v>
      </c>
      <c r="U19" s="76" t="n">
        <f aca="false">SUM(U16:U18)</f>
        <v>21622</v>
      </c>
      <c r="V19" s="76" t="n">
        <f aca="false">SUM(V16:V18)</f>
        <v>21622</v>
      </c>
      <c r="W19" s="76" t="n">
        <f aca="false">SUM(W16:W18)</f>
        <v>21622</v>
      </c>
      <c r="X19" s="76" t="n">
        <f aca="false">SUM(X16:X18)</f>
        <v>21622</v>
      </c>
      <c r="Y19" s="76" t="n">
        <f aca="false">SUM(Y16:Y18)</f>
        <v>21622</v>
      </c>
      <c r="Z19" s="76" t="n">
        <f aca="false">SUM(Z16:Z18)</f>
        <v>21622</v>
      </c>
      <c r="AA19" s="76" t="n">
        <f aca="false">SUM(O19:Z19)</f>
        <v>259464</v>
      </c>
      <c r="AB19" s="76" t="n">
        <f aca="false">SUM(AB16:AB18)</f>
        <v>21622</v>
      </c>
      <c r="AC19" s="76" t="n">
        <f aca="false">SUM(AC16:AC18)</f>
        <v>21622</v>
      </c>
      <c r="AD19" s="76" t="n">
        <f aca="false">SUM(AD16:AD18)</f>
        <v>21622</v>
      </c>
      <c r="AE19" s="76" t="n">
        <f aca="false">SUM(AE16:AE18)</f>
        <v>21622</v>
      </c>
      <c r="AF19" s="76" t="n">
        <f aca="false">SUM(AF16:AF18)</f>
        <v>21622</v>
      </c>
      <c r="AG19" s="76" t="n">
        <f aca="false">SUM(AG16:AG18)</f>
        <v>21622</v>
      </c>
      <c r="AH19" s="76" t="n">
        <f aca="false">SUM(AH16:AH18)</f>
        <v>21622</v>
      </c>
      <c r="AI19" s="76" t="n">
        <f aca="false">SUM(AI16:AI18)</f>
        <v>21622</v>
      </c>
      <c r="AJ19" s="76" t="n">
        <f aca="false">SUM(AJ16:AJ18)</f>
        <v>21622</v>
      </c>
      <c r="AK19" s="76" t="n">
        <f aca="false">SUM(AK16:AK18)</f>
        <v>21622</v>
      </c>
      <c r="AL19" s="76" t="n">
        <f aca="false">SUM(AL16:AL18)</f>
        <v>21622</v>
      </c>
      <c r="AM19" s="76" t="n">
        <f aca="false">SUM(AM16:AM18)</f>
        <v>21622</v>
      </c>
      <c r="AN19" s="76" t="n">
        <f aca="false">SUM(AB19:AM19)</f>
        <v>259464</v>
      </c>
      <c r="AO19" s="76" t="n">
        <f aca="false">SUM(AO16:AO18)</f>
        <v>21622</v>
      </c>
      <c r="AP19" s="76" t="n">
        <f aca="false">SUM(AP16:AP18)</f>
        <v>21622</v>
      </c>
      <c r="AQ19" s="76" t="n">
        <f aca="false">SUM(AQ16:AQ18)</f>
        <v>21622</v>
      </c>
      <c r="AR19" s="76" t="n">
        <f aca="false">SUM(AR16:AR18)</f>
        <v>21622</v>
      </c>
      <c r="AS19" s="76" t="n">
        <f aca="false">SUM(AS16:AS18)</f>
        <v>21622</v>
      </c>
      <c r="AT19" s="76" t="n">
        <f aca="false">SUM(AT16:AT18)</f>
        <v>21622</v>
      </c>
      <c r="AU19" s="76" t="n">
        <f aca="false">SUM(AU16:AU18)</f>
        <v>21622</v>
      </c>
      <c r="AV19" s="76" t="n">
        <f aca="false">SUM(AV16:AV18)</f>
        <v>21622</v>
      </c>
      <c r="AW19" s="76" t="n">
        <f aca="false">SUM(AW16:AW18)</f>
        <v>21622</v>
      </c>
      <c r="AX19" s="76" t="n">
        <f aca="false">SUM(AX16:AX18)</f>
        <v>21622</v>
      </c>
      <c r="AY19" s="76" t="n">
        <f aca="false">SUM(AY16:AY18)</f>
        <v>21622</v>
      </c>
      <c r="AZ19" s="76" t="n">
        <f aca="false">SUM(AZ16:AZ18)</f>
        <v>21622</v>
      </c>
      <c r="BA19" s="77" t="n">
        <f aca="false">SUM(AO19:AZ19)</f>
        <v>259464</v>
      </c>
      <c r="BB19" s="76" t="n">
        <f aca="false">SUM(BB16:BB18)</f>
        <v>21622</v>
      </c>
      <c r="BC19" s="76" t="n">
        <f aca="false">SUM(BC16:BC18)</f>
        <v>21622</v>
      </c>
      <c r="BD19" s="76" t="n">
        <f aca="false">SUM(BD16:BD18)</f>
        <v>21622</v>
      </c>
      <c r="BE19" s="76" t="n">
        <f aca="false">SUM(BE16:BE18)</f>
        <v>21622</v>
      </c>
      <c r="BF19" s="76" t="n">
        <f aca="false">SUM(BF16:BF18)</f>
        <v>21622</v>
      </c>
      <c r="BG19" s="76" t="n">
        <f aca="false">SUM(BG16:BG18)</f>
        <v>21622</v>
      </c>
      <c r="BH19" s="76" t="n">
        <f aca="false">SUM(BH16:BH18)</f>
        <v>21622</v>
      </c>
      <c r="BI19" s="76" t="n">
        <f aca="false">SUM(BI16:BI18)</f>
        <v>21622</v>
      </c>
      <c r="BJ19" s="76" t="n">
        <f aca="false">SUM(BJ16:BJ18)</f>
        <v>21622</v>
      </c>
      <c r="BK19" s="76" t="n">
        <f aca="false">SUM(BK16:BK18)</f>
        <v>21622</v>
      </c>
      <c r="BL19" s="76" t="n">
        <f aca="false">SUM(BL16:BL18)</f>
        <v>21622</v>
      </c>
      <c r="BM19" s="76" t="n">
        <f aca="false">SUM(BM16:BM18)</f>
        <v>21622</v>
      </c>
      <c r="BN19" s="77" t="n">
        <f aca="false">SUM(BB19:BM19)</f>
        <v>259464</v>
      </c>
    </row>
    <row r="20" customFormat="false" ht="6" hidden="false" customHeight="true" outlineLevel="0" collapsed="false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  <c r="AW20" s="78"/>
      <c r="AX20" s="78"/>
      <c r="AY20" s="78"/>
      <c r="AZ20" s="78"/>
      <c r="BA20" s="79"/>
      <c r="BB20" s="78"/>
      <c r="BC20" s="78"/>
      <c r="BD20" s="78"/>
      <c r="BE20" s="78"/>
      <c r="BF20" s="78"/>
      <c r="BG20" s="78"/>
      <c r="BH20" s="78"/>
      <c r="BI20" s="78"/>
      <c r="BJ20" s="78"/>
      <c r="BK20" s="78"/>
      <c r="BL20" s="78"/>
      <c r="BM20" s="78"/>
      <c r="BN20" s="79"/>
    </row>
    <row r="21" customFormat="false" ht="19.5" hidden="false" customHeight="true" outlineLevel="0" collapsed="false">
      <c r="A21" s="80" t="s">
        <v>229</v>
      </c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0"/>
      <c r="BF21" s="80"/>
      <c r="BG21" s="80"/>
      <c r="BH21" s="80"/>
      <c r="BI21" s="80"/>
      <c r="BJ21" s="80"/>
      <c r="BK21" s="80"/>
      <c r="BL21" s="80"/>
      <c r="BM21" s="80"/>
      <c r="BN21" s="80"/>
    </row>
    <row r="22" customFormat="false" ht="19.5" hidden="false" customHeight="true" outlineLevel="0" collapsed="false">
      <c r="A22" s="98" t="str">
        <f aca="false">IFERROR(ASSUMPTIONS!B55,"(empty)")</f>
        <v>Sales</v>
      </c>
      <c r="B22" s="94" t="n">
        <f aca="false">IFERROR(IF(1&gt;=ASSUMPTIONS!$C$55,ASSUMPTIONS!$D$55*(1+ASSUMPTIONS!$B$66),0),0)</f>
        <v>0</v>
      </c>
      <c r="C22" s="94" t="n">
        <f aca="false">IFERROR(IF(2&gt;=ASSUMPTIONS!$C$55,ASSUMPTIONS!$D$55*(1+ASSUMPTIONS!$B$66),0),0)</f>
        <v>0</v>
      </c>
      <c r="D22" s="94" t="n">
        <f aca="false">IFERROR(IF(3&gt;=ASSUMPTIONS!$C$55,ASSUMPTIONS!$D$55*(1+ASSUMPTIONS!$B$66),0),0)</f>
        <v>0</v>
      </c>
      <c r="E22" s="94" t="n">
        <f aca="false">IFERROR(IF(4&gt;=ASSUMPTIONS!$C$55,ASSUMPTIONS!$D$55*(1+ASSUMPTIONS!$B$66),0),0)</f>
        <v>0</v>
      </c>
      <c r="F22" s="94" t="n">
        <f aca="false">IFERROR(IF(5&gt;=ASSUMPTIONS!$C$55,ASSUMPTIONS!$D$55*(1+ASSUMPTIONS!$B$66),0),0)</f>
        <v>0</v>
      </c>
      <c r="G22" s="94" t="n">
        <f aca="false">IFERROR(IF(6&gt;=ASSUMPTIONS!$C$55,ASSUMPTIONS!$D$55*(1+ASSUMPTIONS!$B$66),0),0)</f>
        <v>10242</v>
      </c>
      <c r="H22" s="94" t="n">
        <f aca="false">IFERROR(IF(7&gt;=ASSUMPTIONS!$C$55,ASSUMPTIONS!$D$55*(1+ASSUMPTIONS!$B$66),0),0)</f>
        <v>10242</v>
      </c>
      <c r="I22" s="94" t="n">
        <f aca="false">IFERROR(IF(8&gt;=ASSUMPTIONS!$C$55,ASSUMPTIONS!$D$55*(1+ASSUMPTIONS!$B$66),0),0)</f>
        <v>10242</v>
      </c>
      <c r="J22" s="94" t="n">
        <f aca="false">IFERROR(IF(9&gt;=ASSUMPTIONS!$C$55,ASSUMPTIONS!$D$55*(1+ASSUMPTIONS!$B$66),0),0)</f>
        <v>10242</v>
      </c>
      <c r="K22" s="94" t="n">
        <f aca="false">IFERROR(IF(10&gt;=ASSUMPTIONS!$C$55,ASSUMPTIONS!$D$55*(1+ASSUMPTIONS!$B$66),0),0)</f>
        <v>10242</v>
      </c>
      <c r="L22" s="94" t="n">
        <f aca="false">IFERROR(IF(11&gt;=ASSUMPTIONS!$C$55,ASSUMPTIONS!$D$55*(1+ASSUMPTIONS!$B$66),0),0)</f>
        <v>10242</v>
      </c>
      <c r="M22" s="94" t="n">
        <f aca="false">IFERROR(IF(12&gt;=ASSUMPTIONS!$C$55,ASSUMPTIONS!$D$55*(1+ASSUMPTIONS!$B$66),0),0)</f>
        <v>10242</v>
      </c>
      <c r="N22" s="95" t="n">
        <f aca="false">SUM(B22:M22)</f>
        <v>71694</v>
      </c>
      <c r="O22" s="94" t="n">
        <f aca="false">IFERROR(IF(13&gt;=ASSUMPTIONS!$C$55,ASSUMPTIONS!$D$55*(1+ASSUMPTIONS!$B$66),0),0)</f>
        <v>10242</v>
      </c>
      <c r="P22" s="94" t="n">
        <f aca="false">IFERROR(IF(14&gt;=ASSUMPTIONS!$C$55,ASSUMPTIONS!$D$55*(1+ASSUMPTIONS!$B$66),0),0)</f>
        <v>10242</v>
      </c>
      <c r="Q22" s="94" t="n">
        <f aca="false">IFERROR(IF(15&gt;=ASSUMPTIONS!$C$55,ASSUMPTIONS!$D$55*(1+ASSUMPTIONS!$B$66),0),0)</f>
        <v>10242</v>
      </c>
      <c r="R22" s="94" t="n">
        <f aca="false">IFERROR(IF(16&gt;=ASSUMPTIONS!$C$55,ASSUMPTIONS!$D$55*(1+ASSUMPTIONS!$B$66),0),0)</f>
        <v>10242</v>
      </c>
      <c r="S22" s="94" t="n">
        <f aca="false">IFERROR(IF(17&gt;=ASSUMPTIONS!$C$55,ASSUMPTIONS!$D$55*(1+ASSUMPTIONS!$B$66),0),0)</f>
        <v>10242</v>
      </c>
      <c r="T22" s="94" t="n">
        <f aca="false">IFERROR(IF(18&gt;=ASSUMPTIONS!$C$55,ASSUMPTIONS!$D$55*(1+ASSUMPTIONS!$B$66),0),0)</f>
        <v>10242</v>
      </c>
      <c r="U22" s="94" t="n">
        <f aca="false">IFERROR(IF(19&gt;=ASSUMPTIONS!$C$55,ASSUMPTIONS!$D$55*(1+ASSUMPTIONS!$B$66),0),0)</f>
        <v>10242</v>
      </c>
      <c r="V22" s="94" t="n">
        <f aca="false">IFERROR(IF(20&gt;=ASSUMPTIONS!$C$55,ASSUMPTIONS!$D$55*(1+ASSUMPTIONS!$B$66),0),0)</f>
        <v>10242</v>
      </c>
      <c r="W22" s="94" t="n">
        <f aca="false">IFERROR(IF(21&gt;=ASSUMPTIONS!$C$55,ASSUMPTIONS!$D$55*(1+ASSUMPTIONS!$B$66),0),0)</f>
        <v>10242</v>
      </c>
      <c r="X22" s="94" t="n">
        <f aca="false">IFERROR(IF(22&gt;=ASSUMPTIONS!$C$55,ASSUMPTIONS!$D$55*(1+ASSUMPTIONS!$B$66),0),0)</f>
        <v>10242</v>
      </c>
      <c r="Y22" s="94" t="n">
        <f aca="false">IFERROR(IF(23&gt;=ASSUMPTIONS!$C$55,ASSUMPTIONS!$D$55*(1+ASSUMPTIONS!$B$66),0),0)</f>
        <v>10242</v>
      </c>
      <c r="Z22" s="94" t="n">
        <f aca="false">IFERROR(IF(24&gt;=ASSUMPTIONS!$C$55,ASSUMPTIONS!$D$55*(1+ASSUMPTIONS!$B$66),0),0)</f>
        <v>10242</v>
      </c>
      <c r="AA22" s="95" t="n">
        <f aca="false">SUM(O22:Z22)</f>
        <v>122904</v>
      </c>
      <c r="AB22" s="94" t="n">
        <f aca="false">IFERROR(IF(25&gt;=ASSUMPTIONS!$C$55,ASSUMPTIONS!$D$55*(1+ASSUMPTIONS!$B$66),0),0)</f>
        <v>10242</v>
      </c>
      <c r="AC22" s="94" t="n">
        <f aca="false">IFERROR(IF(26&gt;=ASSUMPTIONS!$C$55,ASSUMPTIONS!$D$55*(1+ASSUMPTIONS!$B$66),0),0)</f>
        <v>10242</v>
      </c>
      <c r="AD22" s="94" t="n">
        <f aca="false">IFERROR(IF(27&gt;=ASSUMPTIONS!$C$55,ASSUMPTIONS!$D$55*(1+ASSUMPTIONS!$B$66),0),0)</f>
        <v>10242</v>
      </c>
      <c r="AE22" s="94" t="n">
        <f aca="false">IFERROR(IF(28&gt;=ASSUMPTIONS!$C$55,ASSUMPTIONS!$D$55*(1+ASSUMPTIONS!$B$66),0),0)</f>
        <v>10242</v>
      </c>
      <c r="AF22" s="94" t="n">
        <f aca="false">IFERROR(IF(29&gt;=ASSUMPTIONS!$C$55,ASSUMPTIONS!$D$55*(1+ASSUMPTIONS!$B$66),0),0)</f>
        <v>10242</v>
      </c>
      <c r="AG22" s="94" t="n">
        <f aca="false">IFERROR(IF(30&gt;=ASSUMPTIONS!$C$55,ASSUMPTIONS!$D$55*(1+ASSUMPTIONS!$B$66),0),0)</f>
        <v>10242</v>
      </c>
      <c r="AH22" s="94" t="n">
        <f aca="false">IFERROR(IF(31&gt;=ASSUMPTIONS!$C$55,ASSUMPTIONS!$D$55*(1+ASSUMPTIONS!$B$66),0),0)</f>
        <v>10242</v>
      </c>
      <c r="AI22" s="94" t="n">
        <f aca="false">IFERROR(IF(32&gt;=ASSUMPTIONS!$C$55,ASSUMPTIONS!$D$55*(1+ASSUMPTIONS!$B$66),0),0)</f>
        <v>10242</v>
      </c>
      <c r="AJ22" s="94" t="n">
        <f aca="false">IFERROR(IF(33&gt;=ASSUMPTIONS!$C$55,ASSUMPTIONS!$D$55*(1+ASSUMPTIONS!$B$66),0),0)</f>
        <v>10242</v>
      </c>
      <c r="AK22" s="94" t="n">
        <f aca="false">IFERROR(IF(34&gt;=ASSUMPTIONS!$C$55,ASSUMPTIONS!$D$55*(1+ASSUMPTIONS!$B$66),0),0)</f>
        <v>10242</v>
      </c>
      <c r="AL22" s="94" t="n">
        <f aca="false">IFERROR(IF(35&gt;=ASSUMPTIONS!$C$55,ASSUMPTIONS!$D$55*(1+ASSUMPTIONS!$B$66),0),0)</f>
        <v>10242</v>
      </c>
      <c r="AM22" s="94" t="n">
        <f aca="false">IFERROR(IF(36&gt;=ASSUMPTIONS!$C$55,ASSUMPTIONS!$D$55*(1+ASSUMPTIONS!$B$66),0),0)</f>
        <v>10242</v>
      </c>
      <c r="AN22" s="95" t="n">
        <f aca="false">SUM(AB22:AM22)</f>
        <v>122904</v>
      </c>
      <c r="AO22" s="94" t="n">
        <f aca="false">IFERROR(IF(37&gt;=ASSUMPTIONS!$C$55,ASSUMPTIONS!$D$55*(1+ASSUMPTIONS!$B$66),0),0)</f>
        <v>10242</v>
      </c>
      <c r="AP22" s="94" t="n">
        <f aca="false">IFERROR(IF(38&gt;=ASSUMPTIONS!$C$55,ASSUMPTIONS!$D$55*(1+ASSUMPTIONS!$B$66),0),0)</f>
        <v>10242</v>
      </c>
      <c r="AQ22" s="94" t="n">
        <f aca="false">IFERROR(IF(39&gt;=ASSUMPTIONS!$C$55,ASSUMPTIONS!$D$55*(1+ASSUMPTIONS!$B$66),0),0)</f>
        <v>10242</v>
      </c>
      <c r="AR22" s="94" t="n">
        <f aca="false">IFERROR(IF(40&gt;=ASSUMPTIONS!$C$55,ASSUMPTIONS!$D$55*(1+ASSUMPTIONS!$B$66),0),0)</f>
        <v>10242</v>
      </c>
      <c r="AS22" s="94" t="n">
        <f aca="false">IFERROR(IF(41&gt;=ASSUMPTIONS!$C$55,ASSUMPTIONS!$D$55*(1+ASSUMPTIONS!$B$66),0),0)</f>
        <v>10242</v>
      </c>
      <c r="AT22" s="94" t="n">
        <f aca="false">IFERROR(IF(42&gt;=ASSUMPTIONS!$C$55,ASSUMPTIONS!$D$55*(1+ASSUMPTIONS!$B$66),0),0)</f>
        <v>10242</v>
      </c>
      <c r="AU22" s="94" t="n">
        <f aca="false">IFERROR(IF(43&gt;=ASSUMPTIONS!$C$55,ASSUMPTIONS!$D$55*(1+ASSUMPTIONS!$B$66),0),0)</f>
        <v>10242</v>
      </c>
      <c r="AV22" s="94" t="n">
        <f aca="false">IFERROR(IF(44&gt;=ASSUMPTIONS!$C$55,ASSUMPTIONS!$D$55*(1+ASSUMPTIONS!$B$66),0),0)</f>
        <v>10242</v>
      </c>
      <c r="AW22" s="94" t="n">
        <f aca="false">IFERROR(IF(45&gt;=ASSUMPTIONS!$C$55,ASSUMPTIONS!$D$55*(1+ASSUMPTIONS!$B$66),0),0)</f>
        <v>10242</v>
      </c>
      <c r="AX22" s="94" t="n">
        <f aca="false">IFERROR(IF(46&gt;=ASSUMPTIONS!$C$55,ASSUMPTIONS!$D$55*(1+ASSUMPTIONS!$B$66),0),0)</f>
        <v>10242</v>
      </c>
      <c r="AY22" s="94" t="n">
        <f aca="false">IFERROR(IF(47&gt;=ASSUMPTIONS!$C$55,ASSUMPTIONS!$D$55*(1+ASSUMPTIONS!$B$66),0),0)</f>
        <v>10242</v>
      </c>
      <c r="AZ22" s="94" t="n">
        <f aca="false">IFERROR(IF(48&gt;=ASSUMPTIONS!$C$55,ASSUMPTIONS!$D$55*(1+ASSUMPTIONS!$B$66),0),0)</f>
        <v>10242</v>
      </c>
      <c r="BA22" s="71" t="n">
        <f aca="false">SUM(AO22:AZ22)</f>
        <v>122904</v>
      </c>
      <c r="BB22" s="94" t="n">
        <f aca="false">IFERROR(IF(49&gt;=ASSUMPTIONS!$C$55,ASSUMPTIONS!$D$55*(1+ASSUMPTIONS!$B$66),0),0)</f>
        <v>10242</v>
      </c>
      <c r="BC22" s="94" t="n">
        <f aca="false">IFERROR(IF(50&gt;=ASSUMPTIONS!$C$55,ASSUMPTIONS!$D$55*(1+ASSUMPTIONS!$B$66),0),0)</f>
        <v>10242</v>
      </c>
      <c r="BD22" s="94" t="n">
        <f aca="false">IFERROR(IF(51&gt;=ASSUMPTIONS!$C$55,ASSUMPTIONS!$D$55*(1+ASSUMPTIONS!$B$66),0),0)</f>
        <v>10242</v>
      </c>
      <c r="BE22" s="94" t="n">
        <f aca="false">IFERROR(IF(52&gt;=ASSUMPTIONS!$C$55,ASSUMPTIONS!$D$55*(1+ASSUMPTIONS!$B$66),0),0)</f>
        <v>10242</v>
      </c>
      <c r="BF22" s="94" t="n">
        <f aca="false">IFERROR(IF(53&gt;=ASSUMPTIONS!$C$55,ASSUMPTIONS!$D$55*(1+ASSUMPTIONS!$B$66),0),0)</f>
        <v>10242</v>
      </c>
      <c r="BG22" s="94" t="n">
        <f aca="false">IFERROR(IF(54&gt;=ASSUMPTIONS!$C$55,ASSUMPTIONS!$D$55*(1+ASSUMPTIONS!$B$66),0),0)</f>
        <v>10242</v>
      </c>
      <c r="BH22" s="94" t="n">
        <f aca="false">IFERROR(IF(55&gt;=ASSUMPTIONS!$C$55,ASSUMPTIONS!$D$55*(1+ASSUMPTIONS!$B$66),0),0)</f>
        <v>10242</v>
      </c>
      <c r="BI22" s="94" t="n">
        <f aca="false">IFERROR(IF(56&gt;=ASSUMPTIONS!$C$55,ASSUMPTIONS!$D$55*(1+ASSUMPTIONS!$B$66),0),0)</f>
        <v>10242</v>
      </c>
      <c r="BJ22" s="94" t="n">
        <f aca="false">IFERROR(IF(57&gt;=ASSUMPTIONS!$C$55,ASSUMPTIONS!$D$55*(1+ASSUMPTIONS!$B$66),0),0)</f>
        <v>10242</v>
      </c>
      <c r="BK22" s="94" t="n">
        <f aca="false">IFERROR(IF(58&gt;=ASSUMPTIONS!$C$55,ASSUMPTIONS!$D$55*(1+ASSUMPTIONS!$B$66),0),0)</f>
        <v>10242</v>
      </c>
      <c r="BL22" s="94" t="n">
        <f aca="false">IFERROR(IF(59&gt;=ASSUMPTIONS!$C$55,ASSUMPTIONS!$D$55*(1+ASSUMPTIONS!$B$66),0),0)</f>
        <v>10242</v>
      </c>
      <c r="BM22" s="94" t="n">
        <f aca="false">IFERROR(IF(60&gt;=ASSUMPTIONS!$C$55,ASSUMPTIONS!$D$55*(1+ASSUMPTIONS!$B$66),0),0)</f>
        <v>10242</v>
      </c>
      <c r="BN22" s="71" t="n">
        <f aca="false">SUM(BB22:BM22)</f>
        <v>122904</v>
      </c>
    </row>
    <row r="23" customFormat="false" ht="19.5" hidden="false" customHeight="true" outlineLevel="0" collapsed="false">
      <c r="A23" s="98" t="str">
        <f aca="false">IFERROR(ASSUMPTIONS!B56,"(empty)")</f>
        <v>Sales</v>
      </c>
      <c r="B23" s="94" t="n">
        <f aca="false">IFERROR(IF(1&gt;=ASSUMPTIONS!$C$56,ASSUMPTIONS!$D$56*(1+ASSUMPTIONS!$B$66),0),0)</f>
        <v>0</v>
      </c>
      <c r="C23" s="94" t="n">
        <f aca="false">IFERROR(IF(2&gt;=ASSUMPTIONS!$C$56,ASSUMPTIONS!$D$56*(1+ASSUMPTIONS!$B$66),0),0)</f>
        <v>0</v>
      </c>
      <c r="D23" s="94" t="n">
        <f aca="false">IFERROR(IF(3&gt;=ASSUMPTIONS!$C$56,ASSUMPTIONS!$D$56*(1+ASSUMPTIONS!$B$66),0),0)</f>
        <v>0</v>
      </c>
      <c r="E23" s="94" t="n">
        <f aca="false">IFERROR(IF(4&gt;=ASSUMPTIONS!$C$56,ASSUMPTIONS!$D$56*(1+ASSUMPTIONS!$B$66),0),0)</f>
        <v>0</v>
      </c>
      <c r="F23" s="94" t="n">
        <f aca="false">IFERROR(IF(5&gt;=ASSUMPTIONS!$C$56,ASSUMPTIONS!$D$56*(1+ASSUMPTIONS!$B$66),0),0)</f>
        <v>0</v>
      </c>
      <c r="G23" s="94" t="n">
        <f aca="false">IFERROR(IF(6&gt;=ASSUMPTIONS!$C$56,ASSUMPTIONS!$D$56*(1+ASSUMPTIONS!$B$66),0),0)</f>
        <v>0</v>
      </c>
      <c r="H23" s="94" t="n">
        <f aca="false">IFERROR(IF(7&gt;=ASSUMPTIONS!$C$56,ASSUMPTIONS!$D$56*(1+ASSUMPTIONS!$B$66),0),0)</f>
        <v>0</v>
      </c>
      <c r="I23" s="94" t="n">
        <f aca="false">IFERROR(IF(8&gt;=ASSUMPTIONS!$C$56,ASSUMPTIONS!$D$56*(1+ASSUMPTIONS!$B$66),0),0)</f>
        <v>0</v>
      </c>
      <c r="J23" s="94" t="n">
        <f aca="false">IFERROR(IF(9&gt;=ASSUMPTIONS!$C$56,ASSUMPTIONS!$D$56*(1+ASSUMPTIONS!$B$66),0),0)</f>
        <v>5690</v>
      </c>
      <c r="K23" s="94" t="n">
        <f aca="false">IFERROR(IF(10&gt;=ASSUMPTIONS!$C$56,ASSUMPTIONS!$D$56*(1+ASSUMPTIONS!$B$66),0),0)</f>
        <v>5690</v>
      </c>
      <c r="L23" s="94" t="n">
        <f aca="false">IFERROR(IF(11&gt;=ASSUMPTIONS!$C$56,ASSUMPTIONS!$D$56*(1+ASSUMPTIONS!$B$66),0),0)</f>
        <v>5690</v>
      </c>
      <c r="M23" s="94" t="n">
        <f aca="false">IFERROR(IF(12&gt;=ASSUMPTIONS!$C$56,ASSUMPTIONS!$D$56*(1+ASSUMPTIONS!$B$66),0),0)</f>
        <v>5690</v>
      </c>
      <c r="N23" s="95" t="n">
        <f aca="false">SUM(B23:M23)</f>
        <v>22760</v>
      </c>
      <c r="O23" s="94" t="n">
        <f aca="false">IFERROR(IF(13&gt;=ASSUMPTIONS!$C$56,ASSUMPTIONS!$D$56*(1+ASSUMPTIONS!$B$66),0),0)</f>
        <v>5690</v>
      </c>
      <c r="P23" s="94" t="n">
        <f aca="false">IFERROR(IF(14&gt;=ASSUMPTIONS!$C$56,ASSUMPTIONS!$D$56*(1+ASSUMPTIONS!$B$66),0),0)</f>
        <v>5690</v>
      </c>
      <c r="Q23" s="94" t="n">
        <f aca="false">IFERROR(IF(15&gt;=ASSUMPTIONS!$C$56,ASSUMPTIONS!$D$56*(1+ASSUMPTIONS!$B$66),0),0)</f>
        <v>5690</v>
      </c>
      <c r="R23" s="94" t="n">
        <f aca="false">IFERROR(IF(16&gt;=ASSUMPTIONS!$C$56,ASSUMPTIONS!$D$56*(1+ASSUMPTIONS!$B$66),0),0)</f>
        <v>5690</v>
      </c>
      <c r="S23" s="94" t="n">
        <f aca="false">IFERROR(IF(17&gt;=ASSUMPTIONS!$C$56,ASSUMPTIONS!$D$56*(1+ASSUMPTIONS!$B$66),0),0)</f>
        <v>5690</v>
      </c>
      <c r="T23" s="94" t="n">
        <f aca="false">IFERROR(IF(18&gt;=ASSUMPTIONS!$C$56,ASSUMPTIONS!$D$56*(1+ASSUMPTIONS!$B$66),0),0)</f>
        <v>5690</v>
      </c>
      <c r="U23" s="94" t="n">
        <f aca="false">IFERROR(IF(19&gt;=ASSUMPTIONS!$C$56,ASSUMPTIONS!$D$56*(1+ASSUMPTIONS!$B$66),0),0)</f>
        <v>5690</v>
      </c>
      <c r="V23" s="94" t="n">
        <f aca="false">IFERROR(IF(20&gt;=ASSUMPTIONS!$C$56,ASSUMPTIONS!$D$56*(1+ASSUMPTIONS!$B$66),0),0)</f>
        <v>5690</v>
      </c>
      <c r="W23" s="94" t="n">
        <f aca="false">IFERROR(IF(21&gt;=ASSUMPTIONS!$C$56,ASSUMPTIONS!$D$56*(1+ASSUMPTIONS!$B$66),0),0)</f>
        <v>5690</v>
      </c>
      <c r="X23" s="94" t="n">
        <f aca="false">IFERROR(IF(22&gt;=ASSUMPTIONS!$C$56,ASSUMPTIONS!$D$56*(1+ASSUMPTIONS!$B$66),0),0)</f>
        <v>5690</v>
      </c>
      <c r="Y23" s="94" t="n">
        <f aca="false">IFERROR(IF(23&gt;=ASSUMPTIONS!$C$56,ASSUMPTIONS!$D$56*(1+ASSUMPTIONS!$B$66),0),0)</f>
        <v>5690</v>
      </c>
      <c r="Z23" s="94" t="n">
        <f aca="false">IFERROR(IF(24&gt;=ASSUMPTIONS!$C$56,ASSUMPTIONS!$D$56*(1+ASSUMPTIONS!$B$66),0),0)</f>
        <v>5690</v>
      </c>
      <c r="AA23" s="95" t="n">
        <f aca="false">SUM(O23:Z23)</f>
        <v>68280</v>
      </c>
      <c r="AB23" s="94" t="n">
        <f aca="false">IFERROR(IF(25&gt;=ASSUMPTIONS!$C$56,ASSUMPTIONS!$D$56*(1+ASSUMPTIONS!$B$66),0),0)</f>
        <v>5690</v>
      </c>
      <c r="AC23" s="94" t="n">
        <f aca="false">IFERROR(IF(26&gt;=ASSUMPTIONS!$C$56,ASSUMPTIONS!$D$56*(1+ASSUMPTIONS!$B$66),0),0)</f>
        <v>5690</v>
      </c>
      <c r="AD23" s="94" t="n">
        <f aca="false">IFERROR(IF(27&gt;=ASSUMPTIONS!$C$56,ASSUMPTIONS!$D$56*(1+ASSUMPTIONS!$B$66),0),0)</f>
        <v>5690</v>
      </c>
      <c r="AE23" s="94" t="n">
        <f aca="false">IFERROR(IF(28&gt;=ASSUMPTIONS!$C$56,ASSUMPTIONS!$D$56*(1+ASSUMPTIONS!$B$66),0),0)</f>
        <v>5690</v>
      </c>
      <c r="AF23" s="94" t="n">
        <f aca="false">IFERROR(IF(29&gt;=ASSUMPTIONS!$C$56,ASSUMPTIONS!$D$56*(1+ASSUMPTIONS!$B$66),0),0)</f>
        <v>5690</v>
      </c>
      <c r="AG23" s="94" t="n">
        <f aca="false">IFERROR(IF(30&gt;=ASSUMPTIONS!$C$56,ASSUMPTIONS!$D$56*(1+ASSUMPTIONS!$B$66),0),0)</f>
        <v>5690</v>
      </c>
      <c r="AH23" s="94" t="n">
        <f aca="false">IFERROR(IF(31&gt;=ASSUMPTIONS!$C$56,ASSUMPTIONS!$D$56*(1+ASSUMPTIONS!$B$66),0),0)</f>
        <v>5690</v>
      </c>
      <c r="AI23" s="94" t="n">
        <f aca="false">IFERROR(IF(32&gt;=ASSUMPTIONS!$C$56,ASSUMPTIONS!$D$56*(1+ASSUMPTIONS!$B$66),0),0)</f>
        <v>5690</v>
      </c>
      <c r="AJ23" s="94" t="n">
        <f aca="false">IFERROR(IF(33&gt;=ASSUMPTIONS!$C$56,ASSUMPTIONS!$D$56*(1+ASSUMPTIONS!$B$66),0),0)</f>
        <v>5690</v>
      </c>
      <c r="AK23" s="94" t="n">
        <f aca="false">IFERROR(IF(34&gt;=ASSUMPTIONS!$C$56,ASSUMPTIONS!$D$56*(1+ASSUMPTIONS!$B$66),0),0)</f>
        <v>5690</v>
      </c>
      <c r="AL23" s="94" t="n">
        <f aca="false">IFERROR(IF(35&gt;=ASSUMPTIONS!$C$56,ASSUMPTIONS!$D$56*(1+ASSUMPTIONS!$B$66),0),0)</f>
        <v>5690</v>
      </c>
      <c r="AM23" s="94" t="n">
        <f aca="false">IFERROR(IF(36&gt;=ASSUMPTIONS!$C$56,ASSUMPTIONS!$D$56*(1+ASSUMPTIONS!$B$66),0),0)</f>
        <v>5690</v>
      </c>
      <c r="AN23" s="95" t="n">
        <f aca="false">SUM(AB23:AM23)</f>
        <v>68280</v>
      </c>
      <c r="AO23" s="94" t="n">
        <f aca="false">IFERROR(IF(37&gt;=ASSUMPTIONS!$C$56,ASSUMPTIONS!$D$56*(1+ASSUMPTIONS!$B$66),0),0)</f>
        <v>5690</v>
      </c>
      <c r="AP23" s="94" t="n">
        <f aca="false">IFERROR(IF(38&gt;=ASSUMPTIONS!$C$56,ASSUMPTIONS!$D$56*(1+ASSUMPTIONS!$B$66),0),0)</f>
        <v>5690</v>
      </c>
      <c r="AQ23" s="94" t="n">
        <f aca="false">IFERROR(IF(39&gt;=ASSUMPTIONS!$C$56,ASSUMPTIONS!$D$56*(1+ASSUMPTIONS!$B$66),0),0)</f>
        <v>5690</v>
      </c>
      <c r="AR23" s="94" t="n">
        <f aca="false">IFERROR(IF(40&gt;=ASSUMPTIONS!$C$56,ASSUMPTIONS!$D$56*(1+ASSUMPTIONS!$B$66),0),0)</f>
        <v>5690</v>
      </c>
      <c r="AS23" s="94" t="n">
        <f aca="false">IFERROR(IF(41&gt;=ASSUMPTIONS!$C$56,ASSUMPTIONS!$D$56*(1+ASSUMPTIONS!$B$66),0),0)</f>
        <v>5690</v>
      </c>
      <c r="AT23" s="94" t="n">
        <f aca="false">IFERROR(IF(42&gt;=ASSUMPTIONS!$C$56,ASSUMPTIONS!$D$56*(1+ASSUMPTIONS!$B$66),0),0)</f>
        <v>5690</v>
      </c>
      <c r="AU23" s="94" t="n">
        <f aca="false">IFERROR(IF(43&gt;=ASSUMPTIONS!$C$56,ASSUMPTIONS!$D$56*(1+ASSUMPTIONS!$B$66),0),0)</f>
        <v>5690</v>
      </c>
      <c r="AV23" s="94" t="n">
        <f aca="false">IFERROR(IF(44&gt;=ASSUMPTIONS!$C$56,ASSUMPTIONS!$D$56*(1+ASSUMPTIONS!$B$66),0),0)</f>
        <v>5690</v>
      </c>
      <c r="AW23" s="94" t="n">
        <f aca="false">IFERROR(IF(45&gt;=ASSUMPTIONS!$C$56,ASSUMPTIONS!$D$56*(1+ASSUMPTIONS!$B$66),0),0)</f>
        <v>5690</v>
      </c>
      <c r="AX23" s="94" t="n">
        <f aca="false">IFERROR(IF(46&gt;=ASSUMPTIONS!$C$56,ASSUMPTIONS!$D$56*(1+ASSUMPTIONS!$B$66),0),0)</f>
        <v>5690</v>
      </c>
      <c r="AY23" s="94" t="n">
        <f aca="false">IFERROR(IF(47&gt;=ASSUMPTIONS!$C$56,ASSUMPTIONS!$D$56*(1+ASSUMPTIONS!$B$66),0),0)</f>
        <v>5690</v>
      </c>
      <c r="AZ23" s="94" t="n">
        <f aca="false">IFERROR(IF(48&gt;=ASSUMPTIONS!$C$56,ASSUMPTIONS!$D$56*(1+ASSUMPTIONS!$B$66),0),0)</f>
        <v>5690</v>
      </c>
      <c r="BA23" s="71" t="n">
        <f aca="false">SUM(AO23:AZ23)</f>
        <v>68280</v>
      </c>
      <c r="BB23" s="94" t="n">
        <f aca="false">IFERROR(IF(49&gt;=ASSUMPTIONS!$C$56,ASSUMPTIONS!$D$56*(1+ASSUMPTIONS!$B$66),0),0)</f>
        <v>5690</v>
      </c>
      <c r="BC23" s="94" t="n">
        <f aca="false">IFERROR(IF(50&gt;=ASSUMPTIONS!$C$56,ASSUMPTIONS!$D$56*(1+ASSUMPTIONS!$B$66),0),0)</f>
        <v>5690</v>
      </c>
      <c r="BD23" s="94" t="n">
        <f aca="false">IFERROR(IF(51&gt;=ASSUMPTIONS!$C$56,ASSUMPTIONS!$D$56*(1+ASSUMPTIONS!$B$66),0),0)</f>
        <v>5690</v>
      </c>
      <c r="BE23" s="94" t="n">
        <f aca="false">IFERROR(IF(52&gt;=ASSUMPTIONS!$C$56,ASSUMPTIONS!$D$56*(1+ASSUMPTIONS!$B$66),0),0)</f>
        <v>5690</v>
      </c>
      <c r="BF23" s="94" t="n">
        <f aca="false">IFERROR(IF(53&gt;=ASSUMPTIONS!$C$56,ASSUMPTIONS!$D$56*(1+ASSUMPTIONS!$B$66),0),0)</f>
        <v>5690</v>
      </c>
      <c r="BG23" s="94" t="n">
        <f aca="false">IFERROR(IF(54&gt;=ASSUMPTIONS!$C$56,ASSUMPTIONS!$D$56*(1+ASSUMPTIONS!$B$66),0),0)</f>
        <v>5690</v>
      </c>
      <c r="BH23" s="94" t="n">
        <f aca="false">IFERROR(IF(55&gt;=ASSUMPTIONS!$C$56,ASSUMPTIONS!$D$56*(1+ASSUMPTIONS!$B$66),0),0)</f>
        <v>5690</v>
      </c>
      <c r="BI23" s="94" t="n">
        <f aca="false">IFERROR(IF(56&gt;=ASSUMPTIONS!$C$56,ASSUMPTIONS!$D$56*(1+ASSUMPTIONS!$B$66),0),0)</f>
        <v>5690</v>
      </c>
      <c r="BJ23" s="94" t="n">
        <f aca="false">IFERROR(IF(57&gt;=ASSUMPTIONS!$C$56,ASSUMPTIONS!$D$56*(1+ASSUMPTIONS!$B$66),0),0)</f>
        <v>5690</v>
      </c>
      <c r="BK23" s="94" t="n">
        <f aca="false">IFERROR(IF(58&gt;=ASSUMPTIONS!$C$56,ASSUMPTIONS!$D$56*(1+ASSUMPTIONS!$B$66),0),0)</f>
        <v>5690</v>
      </c>
      <c r="BL23" s="94" t="n">
        <f aca="false">IFERROR(IF(59&gt;=ASSUMPTIONS!$C$56,ASSUMPTIONS!$D$56*(1+ASSUMPTIONS!$B$66),0),0)</f>
        <v>5690</v>
      </c>
      <c r="BM23" s="94" t="n">
        <f aca="false">IFERROR(IF(60&gt;=ASSUMPTIONS!$C$56,ASSUMPTIONS!$D$56*(1+ASSUMPTIONS!$B$66),0),0)</f>
        <v>5690</v>
      </c>
      <c r="BN23" s="71" t="n">
        <f aca="false">SUM(BB23:BM23)</f>
        <v>68280</v>
      </c>
    </row>
    <row r="24" customFormat="false" ht="19.5" hidden="false" customHeight="true" outlineLevel="0" collapsed="false">
      <c r="A24" s="98" t="str">
        <f aca="false">IFERROR(ASSUMPTIONS!B57,"(empty)")</f>
        <v>Sales</v>
      </c>
      <c r="B24" s="94" t="n">
        <f aca="false">IFERROR(IF(1&gt;=ASSUMPTIONS!$C$57,ASSUMPTIONS!$D$57*(1+ASSUMPTIONS!$B$66),0),0)</f>
        <v>0</v>
      </c>
      <c r="C24" s="94" t="n">
        <f aca="false">IFERROR(IF(2&gt;=ASSUMPTIONS!$C$57,ASSUMPTIONS!$D$57*(1+ASSUMPTIONS!$B$66),0),0)</f>
        <v>0</v>
      </c>
      <c r="D24" s="94" t="n">
        <f aca="false">IFERROR(IF(3&gt;=ASSUMPTIONS!$C$57,ASSUMPTIONS!$D$57*(1+ASSUMPTIONS!$B$66),0),0)</f>
        <v>0</v>
      </c>
      <c r="E24" s="94" t="n">
        <f aca="false">IFERROR(IF(4&gt;=ASSUMPTIONS!$C$57,ASSUMPTIONS!$D$57*(1+ASSUMPTIONS!$B$66),0),0)</f>
        <v>0</v>
      </c>
      <c r="F24" s="94" t="n">
        <f aca="false">IFERROR(IF(5&gt;=ASSUMPTIONS!$C$57,ASSUMPTIONS!$D$57*(1+ASSUMPTIONS!$B$66),0),0)</f>
        <v>0</v>
      </c>
      <c r="G24" s="94" t="n">
        <f aca="false">IFERROR(IF(6&gt;=ASSUMPTIONS!$C$57,ASSUMPTIONS!$D$57*(1+ASSUMPTIONS!$B$66),0),0)</f>
        <v>0</v>
      </c>
      <c r="H24" s="94" t="n">
        <f aca="false">IFERROR(IF(7&gt;=ASSUMPTIONS!$C$57,ASSUMPTIONS!$D$57*(1+ASSUMPTIONS!$B$66),0),0)</f>
        <v>0</v>
      </c>
      <c r="I24" s="94" t="n">
        <f aca="false">IFERROR(IF(8&gt;=ASSUMPTIONS!$C$57,ASSUMPTIONS!$D$57*(1+ASSUMPTIONS!$B$66),0),0)</f>
        <v>0</v>
      </c>
      <c r="J24" s="94" t="n">
        <f aca="false">IFERROR(IF(9&gt;=ASSUMPTIONS!$C$57,ASSUMPTIONS!$D$57*(1+ASSUMPTIONS!$B$66),0),0)</f>
        <v>0</v>
      </c>
      <c r="K24" s="94" t="n">
        <f aca="false">IFERROR(IF(10&gt;=ASSUMPTIONS!$C$57,ASSUMPTIONS!$D$57*(1+ASSUMPTIONS!$B$66),0),0)</f>
        <v>0</v>
      </c>
      <c r="L24" s="94" t="n">
        <f aca="false">IFERROR(IF(11&gt;=ASSUMPTIONS!$C$57,ASSUMPTIONS!$D$57*(1+ASSUMPTIONS!$B$66),0),0)</f>
        <v>0</v>
      </c>
      <c r="M24" s="94" t="n">
        <f aca="false">IFERROR(IF(12&gt;=ASSUMPTIONS!$C$57,ASSUMPTIONS!$D$57*(1+ASSUMPTIONS!$B$66),0),0)</f>
        <v>5690</v>
      </c>
      <c r="N24" s="95" t="n">
        <f aca="false">SUM(B24:M24)</f>
        <v>5690</v>
      </c>
      <c r="O24" s="94" t="n">
        <f aca="false">IFERROR(IF(13&gt;=ASSUMPTIONS!$C$57,ASSUMPTIONS!$D$57*(1+ASSUMPTIONS!$B$66),0),0)</f>
        <v>5690</v>
      </c>
      <c r="P24" s="94" t="n">
        <f aca="false">IFERROR(IF(14&gt;=ASSUMPTIONS!$C$57,ASSUMPTIONS!$D$57*(1+ASSUMPTIONS!$B$66),0),0)</f>
        <v>5690</v>
      </c>
      <c r="Q24" s="94" t="n">
        <f aca="false">IFERROR(IF(15&gt;=ASSUMPTIONS!$C$57,ASSUMPTIONS!$D$57*(1+ASSUMPTIONS!$B$66),0),0)</f>
        <v>5690</v>
      </c>
      <c r="R24" s="94" t="n">
        <f aca="false">IFERROR(IF(16&gt;=ASSUMPTIONS!$C$57,ASSUMPTIONS!$D$57*(1+ASSUMPTIONS!$B$66),0),0)</f>
        <v>5690</v>
      </c>
      <c r="S24" s="94" t="n">
        <f aca="false">IFERROR(IF(17&gt;=ASSUMPTIONS!$C$57,ASSUMPTIONS!$D$57*(1+ASSUMPTIONS!$B$66),0),0)</f>
        <v>5690</v>
      </c>
      <c r="T24" s="94" t="n">
        <f aca="false">IFERROR(IF(18&gt;=ASSUMPTIONS!$C$57,ASSUMPTIONS!$D$57*(1+ASSUMPTIONS!$B$66),0),0)</f>
        <v>5690</v>
      </c>
      <c r="U24" s="94" t="n">
        <f aca="false">IFERROR(IF(19&gt;=ASSUMPTIONS!$C$57,ASSUMPTIONS!$D$57*(1+ASSUMPTIONS!$B$66),0),0)</f>
        <v>5690</v>
      </c>
      <c r="V24" s="94" t="n">
        <f aca="false">IFERROR(IF(20&gt;=ASSUMPTIONS!$C$57,ASSUMPTIONS!$D$57*(1+ASSUMPTIONS!$B$66),0),0)</f>
        <v>5690</v>
      </c>
      <c r="W24" s="94" t="n">
        <f aca="false">IFERROR(IF(21&gt;=ASSUMPTIONS!$C$57,ASSUMPTIONS!$D$57*(1+ASSUMPTIONS!$B$66),0),0)</f>
        <v>5690</v>
      </c>
      <c r="X24" s="94" t="n">
        <f aca="false">IFERROR(IF(22&gt;=ASSUMPTIONS!$C$57,ASSUMPTIONS!$D$57*(1+ASSUMPTIONS!$B$66),0),0)</f>
        <v>5690</v>
      </c>
      <c r="Y24" s="94" t="n">
        <f aca="false">IFERROR(IF(23&gt;=ASSUMPTIONS!$C$57,ASSUMPTIONS!$D$57*(1+ASSUMPTIONS!$B$66),0),0)</f>
        <v>5690</v>
      </c>
      <c r="Z24" s="94" t="n">
        <f aca="false">IFERROR(IF(24&gt;=ASSUMPTIONS!$C$57,ASSUMPTIONS!$D$57*(1+ASSUMPTIONS!$B$66),0),0)</f>
        <v>5690</v>
      </c>
      <c r="AA24" s="95" t="n">
        <f aca="false">SUM(O24:Z24)</f>
        <v>68280</v>
      </c>
      <c r="AB24" s="94" t="n">
        <f aca="false">IFERROR(IF(25&gt;=ASSUMPTIONS!$C$57,ASSUMPTIONS!$D$57*(1+ASSUMPTIONS!$B$66),0),0)</f>
        <v>5690</v>
      </c>
      <c r="AC24" s="94" t="n">
        <f aca="false">IFERROR(IF(26&gt;=ASSUMPTIONS!$C$57,ASSUMPTIONS!$D$57*(1+ASSUMPTIONS!$B$66),0),0)</f>
        <v>5690</v>
      </c>
      <c r="AD24" s="94" t="n">
        <f aca="false">IFERROR(IF(27&gt;=ASSUMPTIONS!$C$57,ASSUMPTIONS!$D$57*(1+ASSUMPTIONS!$B$66),0),0)</f>
        <v>5690</v>
      </c>
      <c r="AE24" s="94" t="n">
        <f aca="false">IFERROR(IF(28&gt;=ASSUMPTIONS!$C$57,ASSUMPTIONS!$D$57*(1+ASSUMPTIONS!$B$66),0),0)</f>
        <v>5690</v>
      </c>
      <c r="AF24" s="94" t="n">
        <f aca="false">IFERROR(IF(29&gt;=ASSUMPTIONS!$C$57,ASSUMPTIONS!$D$57*(1+ASSUMPTIONS!$B$66),0),0)</f>
        <v>5690</v>
      </c>
      <c r="AG24" s="94" t="n">
        <f aca="false">IFERROR(IF(30&gt;=ASSUMPTIONS!$C$57,ASSUMPTIONS!$D$57*(1+ASSUMPTIONS!$B$66),0),0)</f>
        <v>5690</v>
      </c>
      <c r="AH24" s="94" t="n">
        <f aca="false">IFERROR(IF(31&gt;=ASSUMPTIONS!$C$57,ASSUMPTIONS!$D$57*(1+ASSUMPTIONS!$B$66),0),0)</f>
        <v>5690</v>
      </c>
      <c r="AI24" s="94" t="n">
        <f aca="false">IFERROR(IF(32&gt;=ASSUMPTIONS!$C$57,ASSUMPTIONS!$D$57*(1+ASSUMPTIONS!$B$66),0),0)</f>
        <v>5690</v>
      </c>
      <c r="AJ24" s="94" t="n">
        <f aca="false">IFERROR(IF(33&gt;=ASSUMPTIONS!$C$57,ASSUMPTIONS!$D$57*(1+ASSUMPTIONS!$B$66),0),0)</f>
        <v>5690</v>
      </c>
      <c r="AK24" s="94" t="n">
        <f aca="false">IFERROR(IF(34&gt;=ASSUMPTIONS!$C$57,ASSUMPTIONS!$D$57*(1+ASSUMPTIONS!$B$66),0),0)</f>
        <v>5690</v>
      </c>
      <c r="AL24" s="94" t="n">
        <f aca="false">IFERROR(IF(35&gt;=ASSUMPTIONS!$C$57,ASSUMPTIONS!$D$57*(1+ASSUMPTIONS!$B$66),0),0)</f>
        <v>5690</v>
      </c>
      <c r="AM24" s="94" t="n">
        <f aca="false">IFERROR(IF(36&gt;=ASSUMPTIONS!$C$57,ASSUMPTIONS!$D$57*(1+ASSUMPTIONS!$B$66),0),0)</f>
        <v>5690</v>
      </c>
      <c r="AN24" s="95" t="n">
        <f aca="false">SUM(AB24:AM24)</f>
        <v>68280</v>
      </c>
      <c r="AO24" s="94" t="n">
        <f aca="false">IFERROR(IF(37&gt;=ASSUMPTIONS!$C$57,ASSUMPTIONS!$D$57*(1+ASSUMPTIONS!$B$66),0),0)</f>
        <v>5690</v>
      </c>
      <c r="AP24" s="94" t="n">
        <f aca="false">IFERROR(IF(38&gt;=ASSUMPTIONS!$C$57,ASSUMPTIONS!$D$57*(1+ASSUMPTIONS!$B$66),0),0)</f>
        <v>5690</v>
      </c>
      <c r="AQ24" s="94" t="n">
        <f aca="false">IFERROR(IF(39&gt;=ASSUMPTIONS!$C$57,ASSUMPTIONS!$D$57*(1+ASSUMPTIONS!$B$66),0),0)</f>
        <v>5690</v>
      </c>
      <c r="AR24" s="94" t="n">
        <f aca="false">IFERROR(IF(40&gt;=ASSUMPTIONS!$C$57,ASSUMPTIONS!$D$57*(1+ASSUMPTIONS!$B$66),0),0)</f>
        <v>5690</v>
      </c>
      <c r="AS24" s="94" t="n">
        <f aca="false">IFERROR(IF(41&gt;=ASSUMPTIONS!$C$57,ASSUMPTIONS!$D$57*(1+ASSUMPTIONS!$B$66),0),0)</f>
        <v>5690</v>
      </c>
      <c r="AT24" s="94" t="n">
        <f aca="false">IFERROR(IF(42&gt;=ASSUMPTIONS!$C$57,ASSUMPTIONS!$D$57*(1+ASSUMPTIONS!$B$66),0),0)</f>
        <v>5690</v>
      </c>
      <c r="AU24" s="94" t="n">
        <f aca="false">IFERROR(IF(43&gt;=ASSUMPTIONS!$C$57,ASSUMPTIONS!$D$57*(1+ASSUMPTIONS!$B$66),0),0)</f>
        <v>5690</v>
      </c>
      <c r="AV24" s="94" t="n">
        <f aca="false">IFERROR(IF(44&gt;=ASSUMPTIONS!$C$57,ASSUMPTIONS!$D$57*(1+ASSUMPTIONS!$B$66),0),0)</f>
        <v>5690</v>
      </c>
      <c r="AW24" s="94" t="n">
        <f aca="false">IFERROR(IF(45&gt;=ASSUMPTIONS!$C$57,ASSUMPTIONS!$D$57*(1+ASSUMPTIONS!$B$66),0),0)</f>
        <v>5690</v>
      </c>
      <c r="AX24" s="94" t="n">
        <f aca="false">IFERROR(IF(46&gt;=ASSUMPTIONS!$C$57,ASSUMPTIONS!$D$57*(1+ASSUMPTIONS!$B$66),0),0)</f>
        <v>5690</v>
      </c>
      <c r="AY24" s="94" t="n">
        <f aca="false">IFERROR(IF(47&gt;=ASSUMPTIONS!$C$57,ASSUMPTIONS!$D$57*(1+ASSUMPTIONS!$B$66),0),0)</f>
        <v>5690</v>
      </c>
      <c r="AZ24" s="94" t="n">
        <f aca="false">IFERROR(IF(48&gt;=ASSUMPTIONS!$C$57,ASSUMPTIONS!$D$57*(1+ASSUMPTIONS!$B$66),0),0)</f>
        <v>5690</v>
      </c>
      <c r="BA24" s="71" t="n">
        <f aca="false">SUM(AO24:AZ24)</f>
        <v>68280</v>
      </c>
      <c r="BB24" s="94" t="n">
        <f aca="false">IFERROR(IF(49&gt;=ASSUMPTIONS!$C$57,ASSUMPTIONS!$D$57*(1+ASSUMPTIONS!$B$66),0),0)</f>
        <v>5690</v>
      </c>
      <c r="BC24" s="94" t="n">
        <f aca="false">IFERROR(IF(50&gt;=ASSUMPTIONS!$C$57,ASSUMPTIONS!$D$57*(1+ASSUMPTIONS!$B$66),0),0)</f>
        <v>5690</v>
      </c>
      <c r="BD24" s="94" t="n">
        <f aca="false">IFERROR(IF(51&gt;=ASSUMPTIONS!$C$57,ASSUMPTIONS!$D$57*(1+ASSUMPTIONS!$B$66),0),0)</f>
        <v>5690</v>
      </c>
      <c r="BE24" s="94" t="n">
        <f aca="false">IFERROR(IF(52&gt;=ASSUMPTIONS!$C$57,ASSUMPTIONS!$D$57*(1+ASSUMPTIONS!$B$66),0),0)</f>
        <v>5690</v>
      </c>
      <c r="BF24" s="94" t="n">
        <f aca="false">IFERROR(IF(53&gt;=ASSUMPTIONS!$C$57,ASSUMPTIONS!$D$57*(1+ASSUMPTIONS!$B$66),0),0)</f>
        <v>5690</v>
      </c>
      <c r="BG24" s="94" t="n">
        <f aca="false">IFERROR(IF(54&gt;=ASSUMPTIONS!$C$57,ASSUMPTIONS!$D$57*(1+ASSUMPTIONS!$B$66),0),0)</f>
        <v>5690</v>
      </c>
      <c r="BH24" s="94" t="n">
        <f aca="false">IFERROR(IF(55&gt;=ASSUMPTIONS!$C$57,ASSUMPTIONS!$D$57*(1+ASSUMPTIONS!$B$66),0),0)</f>
        <v>5690</v>
      </c>
      <c r="BI24" s="94" t="n">
        <f aca="false">IFERROR(IF(56&gt;=ASSUMPTIONS!$C$57,ASSUMPTIONS!$D$57*(1+ASSUMPTIONS!$B$66),0),0)</f>
        <v>5690</v>
      </c>
      <c r="BJ24" s="94" t="n">
        <f aca="false">IFERROR(IF(57&gt;=ASSUMPTIONS!$C$57,ASSUMPTIONS!$D$57*(1+ASSUMPTIONS!$B$66),0),0)</f>
        <v>5690</v>
      </c>
      <c r="BK24" s="94" t="n">
        <f aca="false">IFERROR(IF(58&gt;=ASSUMPTIONS!$C$57,ASSUMPTIONS!$D$57*(1+ASSUMPTIONS!$B$66),0),0)</f>
        <v>5690</v>
      </c>
      <c r="BL24" s="94" t="n">
        <f aca="false">IFERROR(IF(59&gt;=ASSUMPTIONS!$C$57,ASSUMPTIONS!$D$57*(1+ASSUMPTIONS!$B$66),0),0)</f>
        <v>5690</v>
      </c>
      <c r="BM24" s="94" t="n">
        <f aca="false">IFERROR(IF(60&gt;=ASSUMPTIONS!$C$57,ASSUMPTIONS!$D$57*(1+ASSUMPTIONS!$B$66),0),0)</f>
        <v>5690</v>
      </c>
      <c r="BN24" s="71" t="n">
        <f aca="false">SUM(BB24:BM24)</f>
        <v>68280</v>
      </c>
    </row>
    <row r="25" customFormat="false" ht="19.5" hidden="false" customHeight="true" outlineLevel="0" collapsed="false">
      <c r="A25" s="98" t="str">
        <f aca="false">IFERROR(ASSUMPTIONS!B58,"(empty)")</f>
        <v>Sales</v>
      </c>
      <c r="B25" s="94" t="n">
        <f aca="false">IFERROR(IF(1&gt;=ASSUMPTIONS!$C$58,ASSUMPTIONS!$D$58*(1+ASSUMPTIONS!$B$66),0),0)</f>
        <v>0</v>
      </c>
      <c r="C25" s="94" t="n">
        <f aca="false">IFERROR(IF(2&gt;=ASSUMPTIONS!$C$58,ASSUMPTIONS!$D$58*(1+ASSUMPTIONS!$B$66),0),0)</f>
        <v>0</v>
      </c>
      <c r="D25" s="94" t="n">
        <f aca="false">IFERROR(IF(3&gt;=ASSUMPTIONS!$C$58,ASSUMPTIONS!$D$58*(1+ASSUMPTIONS!$B$66),0),0)</f>
        <v>0</v>
      </c>
      <c r="E25" s="94" t="n">
        <f aca="false">IFERROR(IF(4&gt;=ASSUMPTIONS!$C$58,ASSUMPTIONS!$D$58*(1+ASSUMPTIONS!$B$66),0),0)</f>
        <v>0</v>
      </c>
      <c r="F25" s="94" t="n">
        <f aca="false">IFERROR(IF(5&gt;=ASSUMPTIONS!$C$58,ASSUMPTIONS!$D$58*(1+ASSUMPTIONS!$B$66),0),0)</f>
        <v>0</v>
      </c>
      <c r="G25" s="94" t="n">
        <f aca="false">IFERROR(IF(6&gt;=ASSUMPTIONS!$C$58,ASSUMPTIONS!$D$58*(1+ASSUMPTIONS!$B$66),0),0)</f>
        <v>0</v>
      </c>
      <c r="H25" s="94" t="n">
        <f aca="false">IFERROR(IF(7&gt;=ASSUMPTIONS!$C$58,ASSUMPTIONS!$D$58*(1+ASSUMPTIONS!$B$66),0),0)</f>
        <v>0</v>
      </c>
      <c r="I25" s="94" t="n">
        <f aca="false">IFERROR(IF(8&gt;=ASSUMPTIONS!$C$58,ASSUMPTIONS!$D$58*(1+ASSUMPTIONS!$B$66),0),0)</f>
        <v>0</v>
      </c>
      <c r="J25" s="94" t="n">
        <f aca="false">IFERROR(IF(9&gt;=ASSUMPTIONS!$C$58,ASSUMPTIONS!$D$58*(1+ASSUMPTIONS!$B$66),0),0)</f>
        <v>3983</v>
      </c>
      <c r="K25" s="94" t="n">
        <f aca="false">IFERROR(IF(10&gt;=ASSUMPTIONS!$C$58,ASSUMPTIONS!$D$58*(1+ASSUMPTIONS!$B$66),0),0)</f>
        <v>3983</v>
      </c>
      <c r="L25" s="94" t="n">
        <f aca="false">IFERROR(IF(11&gt;=ASSUMPTIONS!$C$58,ASSUMPTIONS!$D$58*(1+ASSUMPTIONS!$B$66),0),0)</f>
        <v>3983</v>
      </c>
      <c r="M25" s="94" t="n">
        <f aca="false">IFERROR(IF(12&gt;=ASSUMPTIONS!$C$58,ASSUMPTIONS!$D$58*(1+ASSUMPTIONS!$B$66),0),0)</f>
        <v>3983</v>
      </c>
      <c r="N25" s="95" t="n">
        <f aca="false">SUM(B25:M25)</f>
        <v>15932</v>
      </c>
      <c r="O25" s="94" t="n">
        <f aca="false">IFERROR(IF(13&gt;=ASSUMPTIONS!$C$58,ASSUMPTIONS!$D$58*(1+ASSUMPTIONS!$B$66),0),0)</f>
        <v>3983</v>
      </c>
      <c r="P25" s="94" t="n">
        <f aca="false">IFERROR(IF(14&gt;=ASSUMPTIONS!$C$58,ASSUMPTIONS!$D$58*(1+ASSUMPTIONS!$B$66),0),0)</f>
        <v>3983</v>
      </c>
      <c r="Q25" s="94" t="n">
        <f aca="false">IFERROR(IF(15&gt;=ASSUMPTIONS!$C$58,ASSUMPTIONS!$D$58*(1+ASSUMPTIONS!$B$66),0),0)</f>
        <v>3983</v>
      </c>
      <c r="R25" s="94" t="n">
        <f aca="false">IFERROR(IF(16&gt;=ASSUMPTIONS!$C$58,ASSUMPTIONS!$D$58*(1+ASSUMPTIONS!$B$66),0),0)</f>
        <v>3983</v>
      </c>
      <c r="S25" s="94" t="n">
        <f aca="false">IFERROR(IF(17&gt;=ASSUMPTIONS!$C$58,ASSUMPTIONS!$D$58*(1+ASSUMPTIONS!$B$66),0),0)</f>
        <v>3983</v>
      </c>
      <c r="T25" s="94" t="n">
        <f aca="false">IFERROR(IF(18&gt;=ASSUMPTIONS!$C$58,ASSUMPTIONS!$D$58*(1+ASSUMPTIONS!$B$66),0),0)</f>
        <v>3983</v>
      </c>
      <c r="U25" s="94" t="n">
        <f aca="false">IFERROR(IF(19&gt;=ASSUMPTIONS!$C$58,ASSUMPTIONS!$D$58*(1+ASSUMPTIONS!$B$66),0),0)</f>
        <v>3983</v>
      </c>
      <c r="V25" s="94" t="n">
        <f aca="false">IFERROR(IF(20&gt;=ASSUMPTIONS!$C$58,ASSUMPTIONS!$D$58*(1+ASSUMPTIONS!$B$66),0),0)</f>
        <v>3983</v>
      </c>
      <c r="W25" s="94" t="n">
        <f aca="false">IFERROR(IF(21&gt;=ASSUMPTIONS!$C$58,ASSUMPTIONS!$D$58*(1+ASSUMPTIONS!$B$66),0),0)</f>
        <v>3983</v>
      </c>
      <c r="X25" s="94" t="n">
        <f aca="false">IFERROR(IF(22&gt;=ASSUMPTIONS!$C$58,ASSUMPTIONS!$D$58*(1+ASSUMPTIONS!$B$66),0),0)</f>
        <v>3983</v>
      </c>
      <c r="Y25" s="94" t="n">
        <f aca="false">IFERROR(IF(23&gt;=ASSUMPTIONS!$C$58,ASSUMPTIONS!$D$58*(1+ASSUMPTIONS!$B$66),0),0)</f>
        <v>3983</v>
      </c>
      <c r="Z25" s="94" t="n">
        <f aca="false">IFERROR(IF(24&gt;=ASSUMPTIONS!$C$58,ASSUMPTIONS!$D$58*(1+ASSUMPTIONS!$B$66),0),0)</f>
        <v>3983</v>
      </c>
      <c r="AA25" s="95" t="n">
        <f aca="false">SUM(O25:Z25)</f>
        <v>47796</v>
      </c>
      <c r="AB25" s="94" t="n">
        <f aca="false">IFERROR(IF(25&gt;=ASSUMPTIONS!$C$58,ASSUMPTIONS!$D$58*(1+ASSUMPTIONS!$B$66),0),0)</f>
        <v>3983</v>
      </c>
      <c r="AC25" s="94" t="n">
        <f aca="false">IFERROR(IF(26&gt;=ASSUMPTIONS!$C$58,ASSUMPTIONS!$D$58*(1+ASSUMPTIONS!$B$66),0),0)</f>
        <v>3983</v>
      </c>
      <c r="AD25" s="94" t="n">
        <f aca="false">IFERROR(IF(27&gt;=ASSUMPTIONS!$C$58,ASSUMPTIONS!$D$58*(1+ASSUMPTIONS!$B$66),0),0)</f>
        <v>3983</v>
      </c>
      <c r="AE25" s="94" t="n">
        <f aca="false">IFERROR(IF(28&gt;=ASSUMPTIONS!$C$58,ASSUMPTIONS!$D$58*(1+ASSUMPTIONS!$B$66),0),0)</f>
        <v>3983</v>
      </c>
      <c r="AF25" s="94" t="n">
        <f aca="false">IFERROR(IF(29&gt;=ASSUMPTIONS!$C$58,ASSUMPTIONS!$D$58*(1+ASSUMPTIONS!$B$66),0),0)</f>
        <v>3983</v>
      </c>
      <c r="AG25" s="94" t="n">
        <f aca="false">IFERROR(IF(30&gt;=ASSUMPTIONS!$C$58,ASSUMPTIONS!$D$58*(1+ASSUMPTIONS!$B$66),0),0)</f>
        <v>3983</v>
      </c>
      <c r="AH25" s="94" t="n">
        <f aca="false">IFERROR(IF(31&gt;=ASSUMPTIONS!$C$58,ASSUMPTIONS!$D$58*(1+ASSUMPTIONS!$B$66),0),0)</f>
        <v>3983</v>
      </c>
      <c r="AI25" s="94" t="n">
        <f aca="false">IFERROR(IF(32&gt;=ASSUMPTIONS!$C$58,ASSUMPTIONS!$D$58*(1+ASSUMPTIONS!$B$66),0),0)</f>
        <v>3983</v>
      </c>
      <c r="AJ25" s="94" t="n">
        <f aca="false">IFERROR(IF(33&gt;=ASSUMPTIONS!$C$58,ASSUMPTIONS!$D$58*(1+ASSUMPTIONS!$B$66),0),0)</f>
        <v>3983</v>
      </c>
      <c r="AK25" s="94" t="n">
        <f aca="false">IFERROR(IF(34&gt;=ASSUMPTIONS!$C$58,ASSUMPTIONS!$D$58*(1+ASSUMPTIONS!$B$66),0),0)</f>
        <v>3983</v>
      </c>
      <c r="AL25" s="94" t="n">
        <f aca="false">IFERROR(IF(35&gt;=ASSUMPTIONS!$C$58,ASSUMPTIONS!$D$58*(1+ASSUMPTIONS!$B$66),0),0)</f>
        <v>3983</v>
      </c>
      <c r="AM25" s="94" t="n">
        <f aca="false">IFERROR(IF(36&gt;=ASSUMPTIONS!$C$58,ASSUMPTIONS!$D$58*(1+ASSUMPTIONS!$B$66),0),0)</f>
        <v>3983</v>
      </c>
      <c r="AN25" s="95" t="n">
        <f aca="false">SUM(AB25:AM25)</f>
        <v>47796</v>
      </c>
      <c r="AO25" s="94" t="n">
        <f aca="false">IFERROR(IF(37&gt;=ASSUMPTIONS!$C$58,ASSUMPTIONS!$D$58*(1+ASSUMPTIONS!$B$66),0),0)</f>
        <v>3983</v>
      </c>
      <c r="AP25" s="94" t="n">
        <f aca="false">IFERROR(IF(38&gt;=ASSUMPTIONS!$C$58,ASSUMPTIONS!$D$58*(1+ASSUMPTIONS!$B$66),0),0)</f>
        <v>3983</v>
      </c>
      <c r="AQ25" s="94" t="n">
        <f aca="false">IFERROR(IF(39&gt;=ASSUMPTIONS!$C$58,ASSUMPTIONS!$D$58*(1+ASSUMPTIONS!$B$66),0),0)</f>
        <v>3983</v>
      </c>
      <c r="AR25" s="94" t="n">
        <f aca="false">IFERROR(IF(40&gt;=ASSUMPTIONS!$C$58,ASSUMPTIONS!$D$58*(1+ASSUMPTIONS!$B$66),0),0)</f>
        <v>3983</v>
      </c>
      <c r="AS25" s="94" t="n">
        <f aca="false">IFERROR(IF(41&gt;=ASSUMPTIONS!$C$58,ASSUMPTIONS!$D$58*(1+ASSUMPTIONS!$B$66),0),0)</f>
        <v>3983</v>
      </c>
      <c r="AT25" s="94" t="n">
        <f aca="false">IFERROR(IF(42&gt;=ASSUMPTIONS!$C$58,ASSUMPTIONS!$D$58*(1+ASSUMPTIONS!$B$66),0),0)</f>
        <v>3983</v>
      </c>
      <c r="AU25" s="94" t="n">
        <f aca="false">IFERROR(IF(43&gt;=ASSUMPTIONS!$C$58,ASSUMPTIONS!$D$58*(1+ASSUMPTIONS!$B$66),0),0)</f>
        <v>3983</v>
      </c>
      <c r="AV25" s="94" t="n">
        <f aca="false">IFERROR(IF(44&gt;=ASSUMPTIONS!$C$58,ASSUMPTIONS!$D$58*(1+ASSUMPTIONS!$B$66),0),0)</f>
        <v>3983</v>
      </c>
      <c r="AW25" s="94" t="n">
        <f aca="false">IFERROR(IF(45&gt;=ASSUMPTIONS!$C$58,ASSUMPTIONS!$D$58*(1+ASSUMPTIONS!$B$66),0),0)</f>
        <v>3983</v>
      </c>
      <c r="AX25" s="94" t="n">
        <f aca="false">IFERROR(IF(46&gt;=ASSUMPTIONS!$C$58,ASSUMPTIONS!$D$58*(1+ASSUMPTIONS!$B$66),0),0)</f>
        <v>3983</v>
      </c>
      <c r="AY25" s="94" t="n">
        <f aca="false">IFERROR(IF(47&gt;=ASSUMPTIONS!$C$58,ASSUMPTIONS!$D$58*(1+ASSUMPTIONS!$B$66),0),0)</f>
        <v>3983</v>
      </c>
      <c r="AZ25" s="94" t="n">
        <f aca="false">IFERROR(IF(48&gt;=ASSUMPTIONS!$C$58,ASSUMPTIONS!$D$58*(1+ASSUMPTIONS!$B$66),0),0)</f>
        <v>3983</v>
      </c>
      <c r="BA25" s="71" t="n">
        <f aca="false">SUM(AO25:AZ25)</f>
        <v>47796</v>
      </c>
      <c r="BB25" s="94" t="n">
        <f aca="false">IFERROR(IF(49&gt;=ASSUMPTIONS!$C$58,ASSUMPTIONS!$D$58*(1+ASSUMPTIONS!$B$66),0),0)</f>
        <v>3983</v>
      </c>
      <c r="BC25" s="94" t="n">
        <f aca="false">IFERROR(IF(50&gt;=ASSUMPTIONS!$C$58,ASSUMPTIONS!$D$58*(1+ASSUMPTIONS!$B$66),0),0)</f>
        <v>3983</v>
      </c>
      <c r="BD25" s="94" t="n">
        <f aca="false">IFERROR(IF(51&gt;=ASSUMPTIONS!$C$58,ASSUMPTIONS!$D$58*(1+ASSUMPTIONS!$B$66),0),0)</f>
        <v>3983</v>
      </c>
      <c r="BE25" s="94" t="n">
        <f aca="false">IFERROR(IF(52&gt;=ASSUMPTIONS!$C$58,ASSUMPTIONS!$D$58*(1+ASSUMPTIONS!$B$66),0),0)</f>
        <v>3983</v>
      </c>
      <c r="BF25" s="94" t="n">
        <f aca="false">IFERROR(IF(53&gt;=ASSUMPTIONS!$C$58,ASSUMPTIONS!$D$58*(1+ASSUMPTIONS!$B$66),0),0)</f>
        <v>3983</v>
      </c>
      <c r="BG25" s="94" t="n">
        <f aca="false">IFERROR(IF(54&gt;=ASSUMPTIONS!$C$58,ASSUMPTIONS!$D$58*(1+ASSUMPTIONS!$B$66),0),0)</f>
        <v>3983</v>
      </c>
      <c r="BH25" s="94" t="n">
        <f aca="false">IFERROR(IF(55&gt;=ASSUMPTIONS!$C$58,ASSUMPTIONS!$D$58*(1+ASSUMPTIONS!$B$66),0),0)</f>
        <v>3983</v>
      </c>
      <c r="BI25" s="94" t="n">
        <f aca="false">IFERROR(IF(56&gt;=ASSUMPTIONS!$C$58,ASSUMPTIONS!$D$58*(1+ASSUMPTIONS!$B$66),0),0)</f>
        <v>3983</v>
      </c>
      <c r="BJ25" s="94" t="n">
        <f aca="false">IFERROR(IF(57&gt;=ASSUMPTIONS!$C$58,ASSUMPTIONS!$D$58*(1+ASSUMPTIONS!$B$66),0),0)</f>
        <v>3983</v>
      </c>
      <c r="BK25" s="94" t="n">
        <f aca="false">IFERROR(IF(58&gt;=ASSUMPTIONS!$C$58,ASSUMPTIONS!$D$58*(1+ASSUMPTIONS!$B$66),0),0)</f>
        <v>3983</v>
      </c>
      <c r="BL25" s="94" t="n">
        <f aca="false">IFERROR(IF(59&gt;=ASSUMPTIONS!$C$58,ASSUMPTIONS!$D$58*(1+ASSUMPTIONS!$B$66),0),0)</f>
        <v>3983</v>
      </c>
      <c r="BM25" s="94" t="n">
        <f aca="false">IFERROR(IF(60&gt;=ASSUMPTIONS!$C$58,ASSUMPTIONS!$D$58*(1+ASSUMPTIONS!$B$66),0),0)</f>
        <v>3983</v>
      </c>
      <c r="BN25" s="71" t="n">
        <f aca="false">SUM(BB25:BM25)</f>
        <v>47796</v>
      </c>
    </row>
    <row r="26" customFormat="false" ht="19.5" hidden="false" customHeight="true" outlineLevel="0" collapsed="false">
      <c r="A26" s="96" t="s">
        <v>230</v>
      </c>
      <c r="B26" s="76" t="n">
        <f aca="false">SUM(B22:B25)</f>
        <v>0</v>
      </c>
      <c r="C26" s="76" t="n">
        <f aca="false">SUM(C22:C25)</f>
        <v>0</v>
      </c>
      <c r="D26" s="76" t="n">
        <f aca="false">SUM(D22:D25)</f>
        <v>0</v>
      </c>
      <c r="E26" s="76" t="n">
        <f aca="false">SUM(E22:E25)</f>
        <v>0</v>
      </c>
      <c r="F26" s="76" t="n">
        <f aca="false">SUM(F22:F25)</f>
        <v>0</v>
      </c>
      <c r="G26" s="76" t="n">
        <f aca="false">SUM(G22:G25)</f>
        <v>10242</v>
      </c>
      <c r="H26" s="76" t="n">
        <f aca="false">SUM(H22:H25)</f>
        <v>10242</v>
      </c>
      <c r="I26" s="76" t="n">
        <f aca="false">SUM(I22:I25)</f>
        <v>10242</v>
      </c>
      <c r="J26" s="76" t="n">
        <f aca="false">SUM(J22:J25)</f>
        <v>19915</v>
      </c>
      <c r="K26" s="76" t="n">
        <f aca="false">SUM(K22:K25)</f>
        <v>19915</v>
      </c>
      <c r="L26" s="76" t="n">
        <f aca="false">SUM(L22:L25)</f>
        <v>19915</v>
      </c>
      <c r="M26" s="76" t="n">
        <f aca="false">SUM(M22:M25)</f>
        <v>25605</v>
      </c>
      <c r="N26" s="76" t="n">
        <f aca="false">SUM(B26:M26)</f>
        <v>116076</v>
      </c>
      <c r="O26" s="76" t="n">
        <f aca="false">SUM(O22:O25)</f>
        <v>25605</v>
      </c>
      <c r="P26" s="76" t="n">
        <f aca="false">SUM(P22:P25)</f>
        <v>25605</v>
      </c>
      <c r="Q26" s="76" t="n">
        <f aca="false">SUM(Q22:Q25)</f>
        <v>25605</v>
      </c>
      <c r="R26" s="76" t="n">
        <f aca="false">SUM(R22:R25)</f>
        <v>25605</v>
      </c>
      <c r="S26" s="76" t="n">
        <f aca="false">SUM(S22:S25)</f>
        <v>25605</v>
      </c>
      <c r="T26" s="76" t="n">
        <f aca="false">SUM(T22:T25)</f>
        <v>25605</v>
      </c>
      <c r="U26" s="76" t="n">
        <f aca="false">SUM(U22:U25)</f>
        <v>25605</v>
      </c>
      <c r="V26" s="76" t="n">
        <f aca="false">SUM(V22:V25)</f>
        <v>25605</v>
      </c>
      <c r="W26" s="76" t="n">
        <f aca="false">SUM(W22:W25)</f>
        <v>25605</v>
      </c>
      <c r="X26" s="76" t="n">
        <f aca="false">SUM(X22:X25)</f>
        <v>25605</v>
      </c>
      <c r="Y26" s="76" t="n">
        <f aca="false">SUM(Y22:Y25)</f>
        <v>25605</v>
      </c>
      <c r="Z26" s="76" t="n">
        <f aca="false">SUM(Z22:Z25)</f>
        <v>25605</v>
      </c>
      <c r="AA26" s="76" t="n">
        <f aca="false">SUM(O26:Z26)</f>
        <v>307260</v>
      </c>
      <c r="AB26" s="76" t="n">
        <f aca="false">SUM(AB22:AB25)</f>
        <v>25605</v>
      </c>
      <c r="AC26" s="76" t="n">
        <f aca="false">SUM(AC22:AC25)</f>
        <v>25605</v>
      </c>
      <c r="AD26" s="76" t="n">
        <f aca="false">SUM(AD22:AD25)</f>
        <v>25605</v>
      </c>
      <c r="AE26" s="76" t="n">
        <f aca="false">SUM(AE22:AE25)</f>
        <v>25605</v>
      </c>
      <c r="AF26" s="76" t="n">
        <f aca="false">SUM(AF22:AF25)</f>
        <v>25605</v>
      </c>
      <c r="AG26" s="76" t="n">
        <f aca="false">SUM(AG22:AG25)</f>
        <v>25605</v>
      </c>
      <c r="AH26" s="76" t="n">
        <f aca="false">SUM(AH22:AH25)</f>
        <v>25605</v>
      </c>
      <c r="AI26" s="76" t="n">
        <f aca="false">SUM(AI22:AI25)</f>
        <v>25605</v>
      </c>
      <c r="AJ26" s="76" t="n">
        <f aca="false">SUM(AJ22:AJ25)</f>
        <v>25605</v>
      </c>
      <c r="AK26" s="76" t="n">
        <f aca="false">SUM(AK22:AK25)</f>
        <v>25605</v>
      </c>
      <c r="AL26" s="76" t="n">
        <f aca="false">SUM(AL22:AL25)</f>
        <v>25605</v>
      </c>
      <c r="AM26" s="76" t="n">
        <f aca="false">SUM(AM22:AM25)</f>
        <v>25605</v>
      </c>
      <c r="AN26" s="76" t="n">
        <f aca="false">SUM(AB26:AM26)</f>
        <v>307260</v>
      </c>
      <c r="AO26" s="76" t="n">
        <f aca="false">SUM(AO22:AO25)</f>
        <v>25605</v>
      </c>
      <c r="AP26" s="76" t="n">
        <f aca="false">SUM(AP22:AP25)</f>
        <v>25605</v>
      </c>
      <c r="AQ26" s="76" t="n">
        <f aca="false">SUM(AQ22:AQ25)</f>
        <v>25605</v>
      </c>
      <c r="AR26" s="76" t="n">
        <f aca="false">SUM(AR22:AR25)</f>
        <v>25605</v>
      </c>
      <c r="AS26" s="76" t="n">
        <f aca="false">SUM(AS22:AS25)</f>
        <v>25605</v>
      </c>
      <c r="AT26" s="76" t="n">
        <f aca="false">SUM(AT22:AT25)</f>
        <v>25605</v>
      </c>
      <c r="AU26" s="76" t="n">
        <f aca="false">SUM(AU22:AU25)</f>
        <v>25605</v>
      </c>
      <c r="AV26" s="76" t="n">
        <f aca="false">SUM(AV22:AV25)</f>
        <v>25605</v>
      </c>
      <c r="AW26" s="76" t="n">
        <f aca="false">SUM(AW22:AW25)</f>
        <v>25605</v>
      </c>
      <c r="AX26" s="76" t="n">
        <f aca="false">SUM(AX22:AX25)</f>
        <v>25605</v>
      </c>
      <c r="AY26" s="76" t="n">
        <f aca="false">SUM(AY22:AY25)</f>
        <v>25605</v>
      </c>
      <c r="AZ26" s="76" t="n">
        <f aca="false">SUM(AZ22:AZ25)</f>
        <v>25605</v>
      </c>
      <c r="BA26" s="77" t="n">
        <f aca="false">SUM(AO26:AZ26)</f>
        <v>307260</v>
      </c>
      <c r="BB26" s="76" t="n">
        <f aca="false">SUM(BB22:BB25)</f>
        <v>25605</v>
      </c>
      <c r="BC26" s="76" t="n">
        <f aca="false">SUM(BC22:BC25)</f>
        <v>25605</v>
      </c>
      <c r="BD26" s="76" t="n">
        <f aca="false">SUM(BD22:BD25)</f>
        <v>25605</v>
      </c>
      <c r="BE26" s="76" t="n">
        <f aca="false">SUM(BE22:BE25)</f>
        <v>25605</v>
      </c>
      <c r="BF26" s="76" t="n">
        <f aca="false">SUM(BF22:BF25)</f>
        <v>25605</v>
      </c>
      <c r="BG26" s="76" t="n">
        <f aca="false">SUM(BG22:BG25)</f>
        <v>25605</v>
      </c>
      <c r="BH26" s="76" t="n">
        <f aca="false">SUM(BH22:BH25)</f>
        <v>25605</v>
      </c>
      <c r="BI26" s="76" t="n">
        <f aca="false">SUM(BI22:BI25)</f>
        <v>25605</v>
      </c>
      <c r="BJ26" s="76" t="n">
        <f aca="false">SUM(BJ22:BJ25)</f>
        <v>25605</v>
      </c>
      <c r="BK26" s="76" t="n">
        <f aca="false">SUM(BK22:BK25)</f>
        <v>25605</v>
      </c>
      <c r="BL26" s="76" t="n">
        <f aca="false">SUM(BL22:BL25)</f>
        <v>25605</v>
      </c>
      <c r="BM26" s="76" t="n">
        <f aca="false">SUM(BM22:BM25)</f>
        <v>25605</v>
      </c>
      <c r="BN26" s="77" t="n">
        <f aca="false">SUM(BB26:BM26)</f>
        <v>307260</v>
      </c>
    </row>
    <row r="27" customFormat="false" ht="6" hidden="false" customHeight="true" outlineLevel="0" collapsed="false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9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8"/>
      <c r="BM27" s="78"/>
      <c r="BN27" s="79"/>
    </row>
    <row r="28" customFormat="false" ht="19.5" hidden="false" customHeight="true" outlineLevel="0" collapsed="false">
      <c r="A28" s="80" t="s">
        <v>231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0"/>
      <c r="BF28" s="80"/>
      <c r="BG28" s="80"/>
      <c r="BH28" s="80"/>
      <c r="BI28" s="80"/>
      <c r="BJ28" s="80"/>
      <c r="BK28" s="80"/>
      <c r="BL28" s="80"/>
      <c r="BM28" s="80"/>
      <c r="BN28" s="80"/>
    </row>
    <row r="29" customFormat="false" ht="19.5" hidden="false" customHeight="true" outlineLevel="0" collapsed="false">
      <c r="A29" s="98" t="str">
        <f aca="false">IFERROR(ASSUMPTIONS!B59,"(empty)")</f>
        <v>Marketing</v>
      </c>
      <c r="B29" s="94" t="n">
        <f aca="false">IFERROR(IF(1&gt;=ASSUMPTIONS!$C$59,ASSUMPTIONS!$D$59*(1+ASSUMPTIONS!$B$66),0),0)</f>
        <v>0</v>
      </c>
      <c r="C29" s="94" t="n">
        <f aca="false">IFERROR(IF(2&gt;=ASSUMPTIONS!$C$59,ASSUMPTIONS!$D$59*(1+ASSUMPTIONS!$B$66),0),0)</f>
        <v>0</v>
      </c>
      <c r="D29" s="94" t="n">
        <f aca="false">IFERROR(IF(3&gt;=ASSUMPTIONS!$C$59,ASSUMPTIONS!$D$59*(1+ASSUMPTIONS!$B$66),0),0)</f>
        <v>0</v>
      </c>
      <c r="E29" s="94" t="n">
        <f aca="false">IFERROR(IF(4&gt;=ASSUMPTIONS!$C$59,ASSUMPTIONS!$D$59*(1+ASSUMPTIONS!$B$66),0),0)</f>
        <v>0</v>
      </c>
      <c r="F29" s="94" t="n">
        <f aca="false">IFERROR(IF(5&gt;=ASSUMPTIONS!$C$59,ASSUMPTIONS!$D$59*(1+ASSUMPTIONS!$B$66),0),0)</f>
        <v>0</v>
      </c>
      <c r="G29" s="94" t="n">
        <f aca="false">IFERROR(IF(6&gt;=ASSUMPTIONS!$C$59,ASSUMPTIONS!$D$59*(1+ASSUMPTIONS!$B$66),0),0)</f>
        <v>9104</v>
      </c>
      <c r="H29" s="94" t="n">
        <f aca="false">IFERROR(IF(7&gt;=ASSUMPTIONS!$C$59,ASSUMPTIONS!$D$59*(1+ASSUMPTIONS!$B$66),0),0)</f>
        <v>9104</v>
      </c>
      <c r="I29" s="94" t="n">
        <f aca="false">IFERROR(IF(8&gt;=ASSUMPTIONS!$C$59,ASSUMPTIONS!$D$59*(1+ASSUMPTIONS!$B$66),0),0)</f>
        <v>9104</v>
      </c>
      <c r="J29" s="94" t="n">
        <f aca="false">IFERROR(IF(9&gt;=ASSUMPTIONS!$C$59,ASSUMPTIONS!$D$59*(1+ASSUMPTIONS!$B$66),0),0)</f>
        <v>9104</v>
      </c>
      <c r="K29" s="94" t="n">
        <f aca="false">IFERROR(IF(10&gt;=ASSUMPTIONS!$C$59,ASSUMPTIONS!$D$59*(1+ASSUMPTIONS!$B$66),0),0)</f>
        <v>9104</v>
      </c>
      <c r="L29" s="94" t="n">
        <f aca="false">IFERROR(IF(11&gt;=ASSUMPTIONS!$C$59,ASSUMPTIONS!$D$59*(1+ASSUMPTIONS!$B$66),0),0)</f>
        <v>9104</v>
      </c>
      <c r="M29" s="94" t="n">
        <f aca="false">IFERROR(IF(12&gt;=ASSUMPTIONS!$C$59,ASSUMPTIONS!$D$59*(1+ASSUMPTIONS!$B$66),0),0)</f>
        <v>9104</v>
      </c>
      <c r="N29" s="95" t="n">
        <f aca="false">SUM(B29:M29)</f>
        <v>63728</v>
      </c>
      <c r="O29" s="94" t="n">
        <f aca="false">IFERROR(IF(13&gt;=ASSUMPTIONS!$C$59,ASSUMPTIONS!$D$59*(1+ASSUMPTIONS!$B$66),0),0)</f>
        <v>9104</v>
      </c>
      <c r="P29" s="94" t="n">
        <f aca="false">IFERROR(IF(14&gt;=ASSUMPTIONS!$C$59,ASSUMPTIONS!$D$59*(1+ASSUMPTIONS!$B$66),0),0)</f>
        <v>9104</v>
      </c>
      <c r="Q29" s="94" t="n">
        <f aca="false">IFERROR(IF(15&gt;=ASSUMPTIONS!$C$59,ASSUMPTIONS!$D$59*(1+ASSUMPTIONS!$B$66),0),0)</f>
        <v>9104</v>
      </c>
      <c r="R29" s="94" t="n">
        <f aca="false">IFERROR(IF(16&gt;=ASSUMPTIONS!$C$59,ASSUMPTIONS!$D$59*(1+ASSUMPTIONS!$B$66),0),0)</f>
        <v>9104</v>
      </c>
      <c r="S29" s="94" t="n">
        <f aca="false">IFERROR(IF(17&gt;=ASSUMPTIONS!$C$59,ASSUMPTIONS!$D$59*(1+ASSUMPTIONS!$B$66),0),0)</f>
        <v>9104</v>
      </c>
      <c r="T29" s="94" t="n">
        <f aca="false">IFERROR(IF(18&gt;=ASSUMPTIONS!$C$59,ASSUMPTIONS!$D$59*(1+ASSUMPTIONS!$B$66),0),0)</f>
        <v>9104</v>
      </c>
      <c r="U29" s="94" t="n">
        <f aca="false">IFERROR(IF(19&gt;=ASSUMPTIONS!$C$59,ASSUMPTIONS!$D$59*(1+ASSUMPTIONS!$B$66),0),0)</f>
        <v>9104</v>
      </c>
      <c r="V29" s="94" t="n">
        <f aca="false">IFERROR(IF(20&gt;=ASSUMPTIONS!$C$59,ASSUMPTIONS!$D$59*(1+ASSUMPTIONS!$B$66),0),0)</f>
        <v>9104</v>
      </c>
      <c r="W29" s="94" t="n">
        <f aca="false">IFERROR(IF(21&gt;=ASSUMPTIONS!$C$59,ASSUMPTIONS!$D$59*(1+ASSUMPTIONS!$B$66),0),0)</f>
        <v>9104</v>
      </c>
      <c r="X29" s="94" t="n">
        <f aca="false">IFERROR(IF(22&gt;=ASSUMPTIONS!$C$59,ASSUMPTIONS!$D$59*(1+ASSUMPTIONS!$B$66),0),0)</f>
        <v>9104</v>
      </c>
      <c r="Y29" s="94" t="n">
        <f aca="false">IFERROR(IF(23&gt;=ASSUMPTIONS!$C$59,ASSUMPTIONS!$D$59*(1+ASSUMPTIONS!$B$66),0),0)</f>
        <v>9104</v>
      </c>
      <c r="Z29" s="94" t="n">
        <f aca="false">IFERROR(IF(24&gt;=ASSUMPTIONS!$C$59,ASSUMPTIONS!$D$59*(1+ASSUMPTIONS!$B$66),0),0)</f>
        <v>9104</v>
      </c>
      <c r="AA29" s="95" t="n">
        <f aca="false">SUM(O29:Z29)</f>
        <v>109248</v>
      </c>
      <c r="AB29" s="94" t="n">
        <f aca="false">IFERROR(IF(25&gt;=ASSUMPTIONS!$C$59,ASSUMPTIONS!$D$59*(1+ASSUMPTIONS!$B$66),0),0)</f>
        <v>9104</v>
      </c>
      <c r="AC29" s="94" t="n">
        <f aca="false">IFERROR(IF(26&gt;=ASSUMPTIONS!$C$59,ASSUMPTIONS!$D$59*(1+ASSUMPTIONS!$B$66),0),0)</f>
        <v>9104</v>
      </c>
      <c r="AD29" s="94" t="n">
        <f aca="false">IFERROR(IF(27&gt;=ASSUMPTIONS!$C$59,ASSUMPTIONS!$D$59*(1+ASSUMPTIONS!$B$66),0),0)</f>
        <v>9104</v>
      </c>
      <c r="AE29" s="94" t="n">
        <f aca="false">IFERROR(IF(28&gt;=ASSUMPTIONS!$C$59,ASSUMPTIONS!$D$59*(1+ASSUMPTIONS!$B$66),0),0)</f>
        <v>9104</v>
      </c>
      <c r="AF29" s="94" t="n">
        <f aca="false">IFERROR(IF(29&gt;=ASSUMPTIONS!$C$59,ASSUMPTIONS!$D$59*(1+ASSUMPTIONS!$B$66),0),0)</f>
        <v>9104</v>
      </c>
      <c r="AG29" s="94" t="n">
        <f aca="false">IFERROR(IF(30&gt;=ASSUMPTIONS!$C$59,ASSUMPTIONS!$D$59*(1+ASSUMPTIONS!$B$66),0),0)</f>
        <v>9104</v>
      </c>
      <c r="AH29" s="94" t="n">
        <f aca="false">IFERROR(IF(31&gt;=ASSUMPTIONS!$C$59,ASSUMPTIONS!$D$59*(1+ASSUMPTIONS!$B$66),0),0)</f>
        <v>9104</v>
      </c>
      <c r="AI29" s="94" t="n">
        <f aca="false">IFERROR(IF(32&gt;=ASSUMPTIONS!$C$59,ASSUMPTIONS!$D$59*(1+ASSUMPTIONS!$B$66),0),0)</f>
        <v>9104</v>
      </c>
      <c r="AJ29" s="94" t="n">
        <f aca="false">IFERROR(IF(33&gt;=ASSUMPTIONS!$C$59,ASSUMPTIONS!$D$59*(1+ASSUMPTIONS!$B$66),0),0)</f>
        <v>9104</v>
      </c>
      <c r="AK29" s="94" t="n">
        <f aca="false">IFERROR(IF(34&gt;=ASSUMPTIONS!$C$59,ASSUMPTIONS!$D$59*(1+ASSUMPTIONS!$B$66),0),0)</f>
        <v>9104</v>
      </c>
      <c r="AL29" s="94" t="n">
        <f aca="false">IFERROR(IF(35&gt;=ASSUMPTIONS!$C$59,ASSUMPTIONS!$D$59*(1+ASSUMPTIONS!$B$66),0),0)</f>
        <v>9104</v>
      </c>
      <c r="AM29" s="94" t="n">
        <f aca="false">IFERROR(IF(36&gt;=ASSUMPTIONS!$C$59,ASSUMPTIONS!$D$59*(1+ASSUMPTIONS!$B$66),0),0)</f>
        <v>9104</v>
      </c>
      <c r="AN29" s="95" t="n">
        <f aca="false">SUM(AB29:AM29)</f>
        <v>109248</v>
      </c>
      <c r="AO29" s="94" t="n">
        <f aca="false">IFERROR(IF(37&gt;=ASSUMPTIONS!$C$59,ASSUMPTIONS!$D$59*(1+ASSUMPTIONS!$B$66),0),0)</f>
        <v>9104</v>
      </c>
      <c r="AP29" s="94" t="n">
        <f aca="false">IFERROR(IF(38&gt;=ASSUMPTIONS!$C$59,ASSUMPTIONS!$D$59*(1+ASSUMPTIONS!$B$66),0),0)</f>
        <v>9104</v>
      </c>
      <c r="AQ29" s="94" t="n">
        <f aca="false">IFERROR(IF(39&gt;=ASSUMPTIONS!$C$59,ASSUMPTIONS!$D$59*(1+ASSUMPTIONS!$B$66),0),0)</f>
        <v>9104</v>
      </c>
      <c r="AR29" s="94" t="n">
        <f aca="false">IFERROR(IF(40&gt;=ASSUMPTIONS!$C$59,ASSUMPTIONS!$D$59*(1+ASSUMPTIONS!$B$66),0),0)</f>
        <v>9104</v>
      </c>
      <c r="AS29" s="94" t="n">
        <f aca="false">IFERROR(IF(41&gt;=ASSUMPTIONS!$C$59,ASSUMPTIONS!$D$59*(1+ASSUMPTIONS!$B$66),0),0)</f>
        <v>9104</v>
      </c>
      <c r="AT29" s="94" t="n">
        <f aca="false">IFERROR(IF(42&gt;=ASSUMPTIONS!$C$59,ASSUMPTIONS!$D$59*(1+ASSUMPTIONS!$B$66),0),0)</f>
        <v>9104</v>
      </c>
      <c r="AU29" s="94" t="n">
        <f aca="false">IFERROR(IF(43&gt;=ASSUMPTIONS!$C$59,ASSUMPTIONS!$D$59*(1+ASSUMPTIONS!$B$66),0),0)</f>
        <v>9104</v>
      </c>
      <c r="AV29" s="94" t="n">
        <f aca="false">IFERROR(IF(44&gt;=ASSUMPTIONS!$C$59,ASSUMPTIONS!$D$59*(1+ASSUMPTIONS!$B$66),0),0)</f>
        <v>9104</v>
      </c>
      <c r="AW29" s="94" t="n">
        <f aca="false">IFERROR(IF(45&gt;=ASSUMPTIONS!$C$59,ASSUMPTIONS!$D$59*(1+ASSUMPTIONS!$B$66),0),0)</f>
        <v>9104</v>
      </c>
      <c r="AX29" s="94" t="n">
        <f aca="false">IFERROR(IF(46&gt;=ASSUMPTIONS!$C$59,ASSUMPTIONS!$D$59*(1+ASSUMPTIONS!$B$66),0),0)</f>
        <v>9104</v>
      </c>
      <c r="AY29" s="94" t="n">
        <f aca="false">IFERROR(IF(47&gt;=ASSUMPTIONS!$C$59,ASSUMPTIONS!$D$59*(1+ASSUMPTIONS!$B$66),0),0)</f>
        <v>9104</v>
      </c>
      <c r="AZ29" s="94" t="n">
        <f aca="false">IFERROR(IF(48&gt;=ASSUMPTIONS!$C$59,ASSUMPTIONS!$D$59*(1+ASSUMPTIONS!$B$66),0),0)</f>
        <v>9104</v>
      </c>
      <c r="BA29" s="71" t="n">
        <f aca="false">SUM(AO29:AZ29)</f>
        <v>109248</v>
      </c>
      <c r="BB29" s="94" t="n">
        <f aca="false">IFERROR(IF(49&gt;=ASSUMPTIONS!$C$59,ASSUMPTIONS!$D$59*(1+ASSUMPTIONS!$B$66),0),0)</f>
        <v>9104</v>
      </c>
      <c r="BC29" s="94" t="n">
        <f aca="false">IFERROR(IF(50&gt;=ASSUMPTIONS!$C$59,ASSUMPTIONS!$D$59*(1+ASSUMPTIONS!$B$66),0),0)</f>
        <v>9104</v>
      </c>
      <c r="BD29" s="94" t="n">
        <f aca="false">IFERROR(IF(51&gt;=ASSUMPTIONS!$C$59,ASSUMPTIONS!$D$59*(1+ASSUMPTIONS!$B$66),0),0)</f>
        <v>9104</v>
      </c>
      <c r="BE29" s="94" t="n">
        <f aca="false">IFERROR(IF(52&gt;=ASSUMPTIONS!$C$59,ASSUMPTIONS!$D$59*(1+ASSUMPTIONS!$B$66),0),0)</f>
        <v>9104</v>
      </c>
      <c r="BF29" s="94" t="n">
        <f aca="false">IFERROR(IF(53&gt;=ASSUMPTIONS!$C$59,ASSUMPTIONS!$D$59*(1+ASSUMPTIONS!$B$66),0),0)</f>
        <v>9104</v>
      </c>
      <c r="BG29" s="94" t="n">
        <f aca="false">IFERROR(IF(54&gt;=ASSUMPTIONS!$C$59,ASSUMPTIONS!$D$59*(1+ASSUMPTIONS!$B$66),0),0)</f>
        <v>9104</v>
      </c>
      <c r="BH29" s="94" t="n">
        <f aca="false">IFERROR(IF(55&gt;=ASSUMPTIONS!$C$59,ASSUMPTIONS!$D$59*(1+ASSUMPTIONS!$B$66),0),0)</f>
        <v>9104</v>
      </c>
      <c r="BI29" s="94" t="n">
        <f aca="false">IFERROR(IF(56&gt;=ASSUMPTIONS!$C$59,ASSUMPTIONS!$D$59*(1+ASSUMPTIONS!$B$66),0),0)</f>
        <v>9104</v>
      </c>
      <c r="BJ29" s="94" t="n">
        <f aca="false">IFERROR(IF(57&gt;=ASSUMPTIONS!$C$59,ASSUMPTIONS!$D$59*(1+ASSUMPTIONS!$B$66),0),0)</f>
        <v>9104</v>
      </c>
      <c r="BK29" s="94" t="n">
        <f aca="false">IFERROR(IF(58&gt;=ASSUMPTIONS!$C$59,ASSUMPTIONS!$D$59*(1+ASSUMPTIONS!$B$66),0),0)</f>
        <v>9104</v>
      </c>
      <c r="BL29" s="94" t="n">
        <f aca="false">IFERROR(IF(59&gt;=ASSUMPTIONS!$C$59,ASSUMPTIONS!$D$59*(1+ASSUMPTIONS!$B$66),0),0)</f>
        <v>9104</v>
      </c>
      <c r="BM29" s="94" t="n">
        <f aca="false">IFERROR(IF(60&gt;=ASSUMPTIONS!$C$59,ASSUMPTIONS!$D$59*(1+ASSUMPTIONS!$B$66),0),0)</f>
        <v>9104</v>
      </c>
      <c r="BN29" s="71" t="n">
        <f aca="false">SUM(BB29:BM29)</f>
        <v>109248</v>
      </c>
    </row>
    <row r="30" customFormat="false" ht="19.5" hidden="false" customHeight="true" outlineLevel="0" collapsed="false">
      <c r="A30" s="98" t="str">
        <f aca="false">IFERROR(ASSUMPTIONS!B60,"(empty)")</f>
        <v>Marketing</v>
      </c>
      <c r="B30" s="94" t="n">
        <f aca="false">IFERROR(IF(1&gt;=ASSUMPTIONS!$C$60,ASSUMPTIONS!$D$60*(1+ASSUMPTIONS!$B$66),0),0)</f>
        <v>0</v>
      </c>
      <c r="C30" s="94" t="n">
        <f aca="false">IFERROR(IF(2&gt;=ASSUMPTIONS!$C$60,ASSUMPTIONS!$D$60*(1+ASSUMPTIONS!$B$66),0),0)</f>
        <v>0</v>
      </c>
      <c r="D30" s="94" t="n">
        <f aca="false">IFERROR(IF(3&gt;=ASSUMPTIONS!$C$60,ASSUMPTIONS!$D$60*(1+ASSUMPTIONS!$B$66),0),0)</f>
        <v>0</v>
      </c>
      <c r="E30" s="94" t="n">
        <f aca="false">IFERROR(IF(4&gt;=ASSUMPTIONS!$C$60,ASSUMPTIONS!$D$60*(1+ASSUMPTIONS!$B$66),0),0)</f>
        <v>0</v>
      </c>
      <c r="F30" s="94" t="n">
        <f aca="false">IFERROR(IF(5&gt;=ASSUMPTIONS!$C$60,ASSUMPTIONS!$D$60*(1+ASSUMPTIONS!$B$66),0),0)</f>
        <v>0</v>
      </c>
      <c r="G30" s="94" t="n">
        <f aca="false">IFERROR(IF(6&gt;=ASSUMPTIONS!$C$60,ASSUMPTIONS!$D$60*(1+ASSUMPTIONS!$B$66),0),0)</f>
        <v>0</v>
      </c>
      <c r="H30" s="94" t="n">
        <f aca="false">IFERROR(IF(7&gt;=ASSUMPTIONS!$C$60,ASSUMPTIONS!$D$60*(1+ASSUMPTIONS!$B$66),0),0)</f>
        <v>0</v>
      </c>
      <c r="I30" s="94" t="n">
        <f aca="false">IFERROR(IF(8&gt;=ASSUMPTIONS!$C$60,ASSUMPTIONS!$D$60*(1+ASSUMPTIONS!$B$66),0),0)</f>
        <v>0</v>
      </c>
      <c r="J30" s="94" t="n">
        <f aca="false">IFERROR(IF(9&gt;=ASSUMPTIONS!$C$60,ASSUMPTIONS!$D$60*(1+ASSUMPTIONS!$B$66),0),0)</f>
        <v>5121</v>
      </c>
      <c r="K30" s="94" t="n">
        <f aca="false">IFERROR(IF(10&gt;=ASSUMPTIONS!$C$60,ASSUMPTIONS!$D$60*(1+ASSUMPTIONS!$B$66),0),0)</f>
        <v>5121</v>
      </c>
      <c r="L30" s="94" t="n">
        <f aca="false">IFERROR(IF(11&gt;=ASSUMPTIONS!$C$60,ASSUMPTIONS!$D$60*(1+ASSUMPTIONS!$B$66),0),0)</f>
        <v>5121</v>
      </c>
      <c r="M30" s="94" t="n">
        <f aca="false">IFERROR(IF(12&gt;=ASSUMPTIONS!$C$60,ASSUMPTIONS!$D$60*(1+ASSUMPTIONS!$B$66),0),0)</f>
        <v>5121</v>
      </c>
      <c r="N30" s="95" t="n">
        <f aca="false">SUM(B30:M30)</f>
        <v>20484</v>
      </c>
      <c r="O30" s="94" t="n">
        <f aca="false">IFERROR(IF(13&gt;=ASSUMPTIONS!$C$60,ASSUMPTIONS!$D$60*(1+ASSUMPTIONS!$B$66),0),0)</f>
        <v>5121</v>
      </c>
      <c r="P30" s="94" t="n">
        <f aca="false">IFERROR(IF(14&gt;=ASSUMPTIONS!$C$60,ASSUMPTIONS!$D$60*(1+ASSUMPTIONS!$B$66),0),0)</f>
        <v>5121</v>
      </c>
      <c r="Q30" s="94" t="n">
        <f aca="false">IFERROR(IF(15&gt;=ASSUMPTIONS!$C$60,ASSUMPTIONS!$D$60*(1+ASSUMPTIONS!$B$66),0),0)</f>
        <v>5121</v>
      </c>
      <c r="R30" s="94" t="n">
        <f aca="false">IFERROR(IF(16&gt;=ASSUMPTIONS!$C$60,ASSUMPTIONS!$D$60*(1+ASSUMPTIONS!$B$66),0),0)</f>
        <v>5121</v>
      </c>
      <c r="S30" s="94" t="n">
        <f aca="false">IFERROR(IF(17&gt;=ASSUMPTIONS!$C$60,ASSUMPTIONS!$D$60*(1+ASSUMPTIONS!$B$66),0),0)</f>
        <v>5121</v>
      </c>
      <c r="T30" s="94" t="n">
        <f aca="false">IFERROR(IF(18&gt;=ASSUMPTIONS!$C$60,ASSUMPTIONS!$D$60*(1+ASSUMPTIONS!$B$66),0),0)</f>
        <v>5121</v>
      </c>
      <c r="U30" s="94" t="n">
        <f aca="false">IFERROR(IF(19&gt;=ASSUMPTIONS!$C$60,ASSUMPTIONS!$D$60*(1+ASSUMPTIONS!$B$66),0),0)</f>
        <v>5121</v>
      </c>
      <c r="V30" s="94" t="n">
        <f aca="false">IFERROR(IF(20&gt;=ASSUMPTIONS!$C$60,ASSUMPTIONS!$D$60*(1+ASSUMPTIONS!$B$66),0),0)</f>
        <v>5121</v>
      </c>
      <c r="W30" s="94" t="n">
        <f aca="false">IFERROR(IF(21&gt;=ASSUMPTIONS!$C$60,ASSUMPTIONS!$D$60*(1+ASSUMPTIONS!$B$66),0),0)</f>
        <v>5121</v>
      </c>
      <c r="X30" s="94" t="n">
        <f aca="false">IFERROR(IF(22&gt;=ASSUMPTIONS!$C$60,ASSUMPTIONS!$D$60*(1+ASSUMPTIONS!$B$66),0),0)</f>
        <v>5121</v>
      </c>
      <c r="Y30" s="94" t="n">
        <f aca="false">IFERROR(IF(23&gt;=ASSUMPTIONS!$C$60,ASSUMPTIONS!$D$60*(1+ASSUMPTIONS!$B$66),0),0)</f>
        <v>5121</v>
      </c>
      <c r="Z30" s="94" t="n">
        <f aca="false">IFERROR(IF(24&gt;=ASSUMPTIONS!$C$60,ASSUMPTIONS!$D$60*(1+ASSUMPTIONS!$B$66),0),0)</f>
        <v>5121</v>
      </c>
      <c r="AA30" s="95" t="n">
        <f aca="false">SUM(O30:Z30)</f>
        <v>61452</v>
      </c>
      <c r="AB30" s="94" t="n">
        <f aca="false">IFERROR(IF(25&gt;=ASSUMPTIONS!$C$60,ASSUMPTIONS!$D$60*(1+ASSUMPTIONS!$B$66),0),0)</f>
        <v>5121</v>
      </c>
      <c r="AC30" s="94" t="n">
        <f aca="false">IFERROR(IF(26&gt;=ASSUMPTIONS!$C$60,ASSUMPTIONS!$D$60*(1+ASSUMPTIONS!$B$66),0),0)</f>
        <v>5121</v>
      </c>
      <c r="AD30" s="94" t="n">
        <f aca="false">IFERROR(IF(27&gt;=ASSUMPTIONS!$C$60,ASSUMPTIONS!$D$60*(1+ASSUMPTIONS!$B$66),0),0)</f>
        <v>5121</v>
      </c>
      <c r="AE30" s="94" t="n">
        <f aca="false">IFERROR(IF(28&gt;=ASSUMPTIONS!$C$60,ASSUMPTIONS!$D$60*(1+ASSUMPTIONS!$B$66),0),0)</f>
        <v>5121</v>
      </c>
      <c r="AF30" s="94" t="n">
        <f aca="false">IFERROR(IF(29&gt;=ASSUMPTIONS!$C$60,ASSUMPTIONS!$D$60*(1+ASSUMPTIONS!$B$66),0),0)</f>
        <v>5121</v>
      </c>
      <c r="AG30" s="94" t="n">
        <f aca="false">IFERROR(IF(30&gt;=ASSUMPTIONS!$C$60,ASSUMPTIONS!$D$60*(1+ASSUMPTIONS!$B$66),0),0)</f>
        <v>5121</v>
      </c>
      <c r="AH30" s="94" t="n">
        <f aca="false">IFERROR(IF(31&gt;=ASSUMPTIONS!$C$60,ASSUMPTIONS!$D$60*(1+ASSUMPTIONS!$B$66),0),0)</f>
        <v>5121</v>
      </c>
      <c r="AI30" s="94" t="n">
        <f aca="false">IFERROR(IF(32&gt;=ASSUMPTIONS!$C$60,ASSUMPTIONS!$D$60*(1+ASSUMPTIONS!$B$66),0),0)</f>
        <v>5121</v>
      </c>
      <c r="AJ30" s="94" t="n">
        <f aca="false">IFERROR(IF(33&gt;=ASSUMPTIONS!$C$60,ASSUMPTIONS!$D$60*(1+ASSUMPTIONS!$B$66),0),0)</f>
        <v>5121</v>
      </c>
      <c r="AK30" s="94" t="n">
        <f aca="false">IFERROR(IF(34&gt;=ASSUMPTIONS!$C$60,ASSUMPTIONS!$D$60*(1+ASSUMPTIONS!$B$66),0),0)</f>
        <v>5121</v>
      </c>
      <c r="AL30" s="94" t="n">
        <f aca="false">IFERROR(IF(35&gt;=ASSUMPTIONS!$C$60,ASSUMPTIONS!$D$60*(1+ASSUMPTIONS!$B$66),0),0)</f>
        <v>5121</v>
      </c>
      <c r="AM30" s="94" t="n">
        <f aca="false">IFERROR(IF(36&gt;=ASSUMPTIONS!$C$60,ASSUMPTIONS!$D$60*(1+ASSUMPTIONS!$B$66),0),0)</f>
        <v>5121</v>
      </c>
      <c r="AN30" s="95" t="n">
        <f aca="false">SUM(AB30:AM30)</f>
        <v>61452</v>
      </c>
      <c r="AO30" s="94" t="n">
        <f aca="false">IFERROR(IF(37&gt;=ASSUMPTIONS!$C$60,ASSUMPTIONS!$D$60*(1+ASSUMPTIONS!$B$66),0),0)</f>
        <v>5121</v>
      </c>
      <c r="AP30" s="94" t="n">
        <f aca="false">IFERROR(IF(38&gt;=ASSUMPTIONS!$C$60,ASSUMPTIONS!$D$60*(1+ASSUMPTIONS!$B$66),0),0)</f>
        <v>5121</v>
      </c>
      <c r="AQ30" s="94" t="n">
        <f aca="false">IFERROR(IF(39&gt;=ASSUMPTIONS!$C$60,ASSUMPTIONS!$D$60*(1+ASSUMPTIONS!$B$66),0),0)</f>
        <v>5121</v>
      </c>
      <c r="AR30" s="94" t="n">
        <f aca="false">IFERROR(IF(40&gt;=ASSUMPTIONS!$C$60,ASSUMPTIONS!$D$60*(1+ASSUMPTIONS!$B$66),0),0)</f>
        <v>5121</v>
      </c>
      <c r="AS30" s="94" t="n">
        <f aca="false">IFERROR(IF(41&gt;=ASSUMPTIONS!$C$60,ASSUMPTIONS!$D$60*(1+ASSUMPTIONS!$B$66),0),0)</f>
        <v>5121</v>
      </c>
      <c r="AT30" s="94" t="n">
        <f aca="false">IFERROR(IF(42&gt;=ASSUMPTIONS!$C$60,ASSUMPTIONS!$D$60*(1+ASSUMPTIONS!$B$66),0),0)</f>
        <v>5121</v>
      </c>
      <c r="AU30" s="94" t="n">
        <f aca="false">IFERROR(IF(43&gt;=ASSUMPTIONS!$C$60,ASSUMPTIONS!$D$60*(1+ASSUMPTIONS!$B$66),0),0)</f>
        <v>5121</v>
      </c>
      <c r="AV30" s="94" t="n">
        <f aca="false">IFERROR(IF(44&gt;=ASSUMPTIONS!$C$60,ASSUMPTIONS!$D$60*(1+ASSUMPTIONS!$B$66),0),0)</f>
        <v>5121</v>
      </c>
      <c r="AW30" s="94" t="n">
        <f aca="false">IFERROR(IF(45&gt;=ASSUMPTIONS!$C$60,ASSUMPTIONS!$D$60*(1+ASSUMPTIONS!$B$66),0),0)</f>
        <v>5121</v>
      </c>
      <c r="AX30" s="94" t="n">
        <f aca="false">IFERROR(IF(46&gt;=ASSUMPTIONS!$C$60,ASSUMPTIONS!$D$60*(1+ASSUMPTIONS!$B$66),0),0)</f>
        <v>5121</v>
      </c>
      <c r="AY30" s="94" t="n">
        <f aca="false">IFERROR(IF(47&gt;=ASSUMPTIONS!$C$60,ASSUMPTIONS!$D$60*(1+ASSUMPTIONS!$B$66),0),0)</f>
        <v>5121</v>
      </c>
      <c r="AZ30" s="94" t="n">
        <f aca="false">IFERROR(IF(48&gt;=ASSUMPTIONS!$C$60,ASSUMPTIONS!$D$60*(1+ASSUMPTIONS!$B$66),0),0)</f>
        <v>5121</v>
      </c>
      <c r="BA30" s="71" t="n">
        <f aca="false">SUM(AO30:AZ30)</f>
        <v>61452</v>
      </c>
      <c r="BB30" s="94" t="n">
        <f aca="false">IFERROR(IF(49&gt;=ASSUMPTIONS!$C$60,ASSUMPTIONS!$D$60*(1+ASSUMPTIONS!$B$66),0),0)</f>
        <v>5121</v>
      </c>
      <c r="BC30" s="94" t="n">
        <f aca="false">IFERROR(IF(50&gt;=ASSUMPTIONS!$C$60,ASSUMPTIONS!$D$60*(1+ASSUMPTIONS!$B$66),0),0)</f>
        <v>5121</v>
      </c>
      <c r="BD30" s="94" t="n">
        <f aca="false">IFERROR(IF(51&gt;=ASSUMPTIONS!$C$60,ASSUMPTIONS!$D$60*(1+ASSUMPTIONS!$B$66),0),0)</f>
        <v>5121</v>
      </c>
      <c r="BE30" s="94" t="n">
        <f aca="false">IFERROR(IF(52&gt;=ASSUMPTIONS!$C$60,ASSUMPTIONS!$D$60*(1+ASSUMPTIONS!$B$66),0),0)</f>
        <v>5121</v>
      </c>
      <c r="BF30" s="94" t="n">
        <f aca="false">IFERROR(IF(53&gt;=ASSUMPTIONS!$C$60,ASSUMPTIONS!$D$60*(1+ASSUMPTIONS!$B$66),0),0)</f>
        <v>5121</v>
      </c>
      <c r="BG30" s="94" t="n">
        <f aca="false">IFERROR(IF(54&gt;=ASSUMPTIONS!$C$60,ASSUMPTIONS!$D$60*(1+ASSUMPTIONS!$B$66),0),0)</f>
        <v>5121</v>
      </c>
      <c r="BH30" s="94" t="n">
        <f aca="false">IFERROR(IF(55&gt;=ASSUMPTIONS!$C$60,ASSUMPTIONS!$D$60*(1+ASSUMPTIONS!$B$66),0),0)</f>
        <v>5121</v>
      </c>
      <c r="BI30" s="94" t="n">
        <f aca="false">IFERROR(IF(56&gt;=ASSUMPTIONS!$C$60,ASSUMPTIONS!$D$60*(1+ASSUMPTIONS!$B$66),0),0)</f>
        <v>5121</v>
      </c>
      <c r="BJ30" s="94" t="n">
        <f aca="false">IFERROR(IF(57&gt;=ASSUMPTIONS!$C$60,ASSUMPTIONS!$D$60*(1+ASSUMPTIONS!$B$66),0),0)</f>
        <v>5121</v>
      </c>
      <c r="BK30" s="94" t="n">
        <f aca="false">IFERROR(IF(58&gt;=ASSUMPTIONS!$C$60,ASSUMPTIONS!$D$60*(1+ASSUMPTIONS!$B$66),0),0)</f>
        <v>5121</v>
      </c>
      <c r="BL30" s="94" t="n">
        <f aca="false">IFERROR(IF(59&gt;=ASSUMPTIONS!$C$60,ASSUMPTIONS!$D$60*(1+ASSUMPTIONS!$B$66),0),0)</f>
        <v>5121</v>
      </c>
      <c r="BM30" s="94" t="n">
        <f aca="false">IFERROR(IF(60&gt;=ASSUMPTIONS!$C$60,ASSUMPTIONS!$D$60*(1+ASSUMPTIONS!$B$66),0),0)</f>
        <v>5121</v>
      </c>
      <c r="BN30" s="71" t="n">
        <f aca="false">SUM(BB30:BM30)</f>
        <v>61452</v>
      </c>
    </row>
    <row r="31" customFormat="false" ht="19.5" hidden="false" customHeight="true" outlineLevel="0" collapsed="false">
      <c r="A31" s="98" t="str">
        <f aca="false">IFERROR(ASSUMPTIONS!B61,"(empty)")</f>
        <v>Marketing</v>
      </c>
      <c r="B31" s="94" t="n">
        <f aca="false">IFERROR(IF(1&gt;=ASSUMPTIONS!$C$61,ASSUMPTIONS!$D$61*(1+ASSUMPTIONS!$B$66),0),0)</f>
        <v>0</v>
      </c>
      <c r="C31" s="94" t="n">
        <f aca="false">IFERROR(IF(2&gt;=ASSUMPTIONS!$C$61,ASSUMPTIONS!$D$61*(1+ASSUMPTIONS!$B$66),0),0)</f>
        <v>0</v>
      </c>
      <c r="D31" s="94" t="n">
        <f aca="false">IFERROR(IF(3&gt;=ASSUMPTIONS!$C$61,ASSUMPTIONS!$D$61*(1+ASSUMPTIONS!$B$66),0),0)</f>
        <v>0</v>
      </c>
      <c r="E31" s="94" t="n">
        <f aca="false">IFERROR(IF(4&gt;=ASSUMPTIONS!$C$61,ASSUMPTIONS!$D$61*(1+ASSUMPTIONS!$B$66),0),0)</f>
        <v>0</v>
      </c>
      <c r="F31" s="94" t="n">
        <f aca="false">IFERROR(IF(5&gt;=ASSUMPTIONS!$C$61,ASSUMPTIONS!$D$61*(1+ASSUMPTIONS!$B$66),0),0)</f>
        <v>0</v>
      </c>
      <c r="G31" s="94" t="n">
        <f aca="false">IFERROR(IF(6&gt;=ASSUMPTIONS!$C$61,ASSUMPTIONS!$D$61*(1+ASSUMPTIONS!$B$66),0),0)</f>
        <v>0</v>
      </c>
      <c r="H31" s="94" t="n">
        <f aca="false">IFERROR(IF(7&gt;=ASSUMPTIONS!$C$61,ASSUMPTIONS!$D$61*(1+ASSUMPTIONS!$B$66),0),0)</f>
        <v>0</v>
      </c>
      <c r="I31" s="94" t="n">
        <f aca="false">IFERROR(IF(8&gt;=ASSUMPTIONS!$C$61,ASSUMPTIONS!$D$61*(1+ASSUMPTIONS!$B$66),0),0)</f>
        <v>0</v>
      </c>
      <c r="J31" s="94" t="n">
        <f aca="false">IFERROR(IF(9&gt;=ASSUMPTIONS!$C$61,ASSUMPTIONS!$D$61*(1+ASSUMPTIONS!$B$66),0),0)</f>
        <v>0</v>
      </c>
      <c r="K31" s="94" t="n">
        <f aca="false">IFERROR(IF(10&gt;=ASSUMPTIONS!$C$61,ASSUMPTIONS!$D$61*(1+ASSUMPTIONS!$B$66),0),0)</f>
        <v>0</v>
      </c>
      <c r="L31" s="94" t="n">
        <f aca="false">IFERROR(IF(11&gt;=ASSUMPTIONS!$C$61,ASSUMPTIONS!$D$61*(1+ASSUMPTIONS!$B$66),0),0)</f>
        <v>0</v>
      </c>
      <c r="M31" s="94" t="n">
        <f aca="false">IFERROR(IF(12&gt;=ASSUMPTIONS!$C$61,ASSUMPTIONS!$D$61*(1+ASSUMPTIONS!$B$66),0),0)</f>
        <v>6259</v>
      </c>
      <c r="N31" s="95" t="n">
        <f aca="false">SUM(B31:M31)</f>
        <v>6259</v>
      </c>
      <c r="O31" s="94" t="n">
        <f aca="false">IFERROR(IF(13&gt;=ASSUMPTIONS!$C$61,ASSUMPTIONS!$D$61*(1+ASSUMPTIONS!$B$66),0),0)</f>
        <v>6259</v>
      </c>
      <c r="P31" s="94" t="n">
        <f aca="false">IFERROR(IF(14&gt;=ASSUMPTIONS!$C$61,ASSUMPTIONS!$D$61*(1+ASSUMPTIONS!$B$66),0),0)</f>
        <v>6259</v>
      </c>
      <c r="Q31" s="94" t="n">
        <f aca="false">IFERROR(IF(15&gt;=ASSUMPTIONS!$C$61,ASSUMPTIONS!$D$61*(1+ASSUMPTIONS!$B$66),0),0)</f>
        <v>6259</v>
      </c>
      <c r="R31" s="94" t="n">
        <f aca="false">IFERROR(IF(16&gt;=ASSUMPTIONS!$C$61,ASSUMPTIONS!$D$61*(1+ASSUMPTIONS!$B$66),0),0)</f>
        <v>6259</v>
      </c>
      <c r="S31" s="94" t="n">
        <f aca="false">IFERROR(IF(17&gt;=ASSUMPTIONS!$C$61,ASSUMPTIONS!$D$61*(1+ASSUMPTIONS!$B$66),0),0)</f>
        <v>6259</v>
      </c>
      <c r="T31" s="94" t="n">
        <f aca="false">IFERROR(IF(18&gt;=ASSUMPTIONS!$C$61,ASSUMPTIONS!$D$61*(1+ASSUMPTIONS!$B$66),0),0)</f>
        <v>6259</v>
      </c>
      <c r="U31" s="94" t="n">
        <f aca="false">IFERROR(IF(19&gt;=ASSUMPTIONS!$C$61,ASSUMPTIONS!$D$61*(1+ASSUMPTIONS!$B$66),0),0)</f>
        <v>6259</v>
      </c>
      <c r="V31" s="94" t="n">
        <f aca="false">IFERROR(IF(20&gt;=ASSUMPTIONS!$C$61,ASSUMPTIONS!$D$61*(1+ASSUMPTIONS!$B$66),0),0)</f>
        <v>6259</v>
      </c>
      <c r="W31" s="94" t="n">
        <f aca="false">IFERROR(IF(21&gt;=ASSUMPTIONS!$C$61,ASSUMPTIONS!$D$61*(1+ASSUMPTIONS!$B$66),0),0)</f>
        <v>6259</v>
      </c>
      <c r="X31" s="94" t="n">
        <f aca="false">IFERROR(IF(22&gt;=ASSUMPTIONS!$C$61,ASSUMPTIONS!$D$61*(1+ASSUMPTIONS!$B$66),0),0)</f>
        <v>6259</v>
      </c>
      <c r="Y31" s="94" t="n">
        <f aca="false">IFERROR(IF(23&gt;=ASSUMPTIONS!$C$61,ASSUMPTIONS!$D$61*(1+ASSUMPTIONS!$B$66),0),0)</f>
        <v>6259</v>
      </c>
      <c r="Z31" s="94" t="n">
        <f aca="false">IFERROR(IF(24&gt;=ASSUMPTIONS!$C$61,ASSUMPTIONS!$D$61*(1+ASSUMPTIONS!$B$66),0),0)</f>
        <v>6259</v>
      </c>
      <c r="AA31" s="95" t="n">
        <f aca="false">SUM(O31:Z31)</f>
        <v>75108</v>
      </c>
      <c r="AB31" s="94" t="n">
        <f aca="false">IFERROR(IF(25&gt;=ASSUMPTIONS!$C$61,ASSUMPTIONS!$D$61*(1+ASSUMPTIONS!$B$66),0),0)</f>
        <v>6259</v>
      </c>
      <c r="AC31" s="94" t="n">
        <f aca="false">IFERROR(IF(26&gt;=ASSUMPTIONS!$C$61,ASSUMPTIONS!$D$61*(1+ASSUMPTIONS!$B$66),0),0)</f>
        <v>6259</v>
      </c>
      <c r="AD31" s="94" t="n">
        <f aca="false">IFERROR(IF(27&gt;=ASSUMPTIONS!$C$61,ASSUMPTIONS!$D$61*(1+ASSUMPTIONS!$B$66),0),0)</f>
        <v>6259</v>
      </c>
      <c r="AE31" s="94" t="n">
        <f aca="false">IFERROR(IF(28&gt;=ASSUMPTIONS!$C$61,ASSUMPTIONS!$D$61*(1+ASSUMPTIONS!$B$66),0),0)</f>
        <v>6259</v>
      </c>
      <c r="AF31" s="94" t="n">
        <f aca="false">IFERROR(IF(29&gt;=ASSUMPTIONS!$C$61,ASSUMPTIONS!$D$61*(1+ASSUMPTIONS!$B$66),0),0)</f>
        <v>6259</v>
      </c>
      <c r="AG31" s="94" t="n">
        <f aca="false">IFERROR(IF(30&gt;=ASSUMPTIONS!$C$61,ASSUMPTIONS!$D$61*(1+ASSUMPTIONS!$B$66),0),0)</f>
        <v>6259</v>
      </c>
      <c r="AH31" s="94" t="n">
        <f aca="false">IFERROR(IF(31&gt;=ASSUMPTIONS!$C$61,ASSUMPTIONS!$D$61*(1+ASSUMPTIONS!$B$66),0),0)</f>
        <v>6259</v>
      </c>
      <c r="AI31" s="94" t="n">
        <f aca="false">IFERROR(IF(32&gt;=ASSUMPTIONS!$C$61,ASSUMPTIONS!$D$61*(1+ASSUMPTIONS!$B$66),0),0)</f>
        <v>6259</v>
      </c>
      <c r="AJ31" s="94" t="n">
        <f aca="false">IFERROR(IF(33&gt;=ASSUMPTIONS!$C$61,ASSUMPTIONS!$D$61*(1+ASSUMPTIONS!$B$66),0),0)</f>
        <v>6259</v>
      </c>
      <c r="AK31" s="94" t="n">
        <f aca="false">IFERROR(IF(34&gt;=ASSUMPTIONS!$C$61,ASSUMPTIONS!$D$61*(1+ASSUMPTIONS!$B$66),0),0)</f>
        <v>6259</v>
      </c>
      <c r="AL31" s="94" t="n">
        <f aca="false">IFERROR(IF(35&gt;=ASSUMPTIONS!$C$61,ASSUMPTIONS!$D$61*(1+ASSUMPTIONS!$B$66),0),0)</f>
        <v>6259</v>
      </c>
      <c r="AM31" s="94" t="n">
        <f aca="false">IFERROR(IF(36&gt;=ASSUMPTIONS!$C$61,ASSUMPTIONS!$D$61*(1+ASSUMPTIONS!$B$66),0),0)</f>
        <v>6259</v>
      </c>
      <c r="AN31" s="95" t="n">
        <f aca="false">SUM(AB31:AM31)</f>
        <v>75108</v>
      </c>
      <c r="AO31" s="94" t="n">
        <f aca="false">IFERROR(IF(37&gt;=ASSUMPTIONS!$C$61,ASSUMPTIONS!$D$61*(1+ASSUMPTIONS!$B$66),0),0)</f>
        <v>6259</v>
      </c>
      <c r="AP31" s="94" t="n">
        <f aca="false">IFERROR(IF(38&gt;=ASSUMPTIONS!$C$61,ASSUMPTIONS!$D$61*(1+ASSUMPTIONS!$B$66),0),0)</f>
        <v>6259</v>
      </c>
      <c r="AQ31" s="94" t="n">
        <f aca="false">IFERROR(IF(39&gt;=ASSUMPTIONS!$C$61,ASSUMPTIONS!$D$61*(1+ASSUMPTIONS!$B$66),0),0)</f>
        <v>6259</v>
      </c>
      <c r="AR31" s="94" t="n">
        <f aca="false">IFERROR(IF(40&gt;=ASSUMPTIONS!$C$61,ASSUMPTIONS!$D$61*(1+ASSUMPTIONS!$B$66),0),0)</f>
        <v>6259</v>
      </c>
      <c r="AS31" s="94" t="n">
        <f aca="false">IFERROR(IF(41&gt;=ASSUMPTIONS!$C$61,ASSUMPTIONS!$D$61*(1+ASSUMPTIONS!$B$66),0),0)</f>
        <v>6259</v>
      </c>
      <c r="AT31" s="94" t="n">
        <f aca="false">IFERROR(IF(42&gt;=ASSUMPTIONS!$C$61,ASSUMPTIONS!$D$61*(1+ASSUMPTIONS!$B$66),0),0)</f>
        <v>6259</v>
      </c>
      <c r="AU31" s="94" t="n">
        <f aca="false">IFERROR(IF(43&gt;=ASSUMPTIONS!$C$61,ASSUMPTIONS!$D$61*(1+ASSUMPTIONS!$B$66),0),0)</f>
        <v>6259</v>
      </c>
      <c r="AV31" s="94" t="n">
        <f aca="false">IFERROR(IF(44&gt;=ASSUMPTIONS!$C$61,ASSUMPTIONS!$D$61*(1+ASSUMPTIONS!$B$66),0),0)</f>
        <v>6259</v>
      </c>
      <c r="AW31" s="94" t="n">
        <f aca="false">IFERROR(IF(45&gt;=ASSUMPTIONS!$C$61,ASSUMPTIONS!$D$61*(1+ASSUMPTIONS!$B$66),0),0)</f>
        <v>6259</v>
      </c>
      <c r="AX31" s="94" t="n">
        <f aca="false">IFERROR(IF(46&gt;=ASSUMPTIONS!$C$61,ASSUMPTIONS!$D$61*(1+ASSUMPTIONS!$B$66),0),0)</f>
        <v>6259</v>
      </c>
      <c r="AY31" s="94" t="n">
        <f aca="false">IFERROR(IF(47&gt;=ASSUMPTIONS!$C$61,ASSUMPTIONS!$D$61*(1+ASSUMPTIONS!$B$66),0),0)</f>
        <v>6259</v>
      </c>
      <c r="AZ31" s="94" t="n">
        <f aca="false">IFERROR(IF(48&gt;=ASSUMPTIONS!$C$61,ASSUMPTIONS!$D$61*(1+ASSUMPTIONS!$B$66),0),0)</f>
        <v>6259</v>
      </c>
      <c r="BA31" s="71" t="n">
        <f aca="false">SUM(AO31:AZ31)</f>
        <v>75108</v>
      </c>
      <c r="BB31" s="94" t="n">
        <f aca="false">IFERROR(IF(49&gt;=ASSUMPTIONS!$C$61,ASSUMPTIONS!$D$61*(1+ASSUMPTIONS!$B$66),0),0)</f>
        <v>6259</v>
      </c>
      <c r="BC31" s="94" t="n">
        <f aca="false">IFERROR(IF(50&gt;=ASSUMPTIONS!$C$61,ASSUMPTIONS!$D$61*(1+ASSUMPTIONS!$B$66),0),0)</f>
        <v>6259</v>
      </c>
      <c r="BD31" s="94" t="n">
        <f aca="false">IFERROR(IF(51&gt;=ASSUMPTIONS!$C$61,ASSUMPTIONS!$D$61*(1+ASSUMPTIONS!$B$66),0),0)</f>
        <v>6259</v>
      </c>
      <c r="BE31" s="94" t="n">
        <f aca="false">IFERROR(IF(52&gt;=ASSUMPTIONS!$C$61,ASSUMPTIONS!$D$61*(1+ASSUMPTIONS!$B$66),0),0)</f>
        <v>6259</v>
      </c>
      <c r="BF31" s="94" t="n">
        <f aca="false">IFERROR(IF(53&gt;=ASSUMPTIONS!$C$61,ASSUMPTIONS!$D$61*(1+ASSUMPTIONS!$B$66),0),0)</f>
        <v>6259</v>
      </c>
      <c r="BG31" s="94" t="n">
        <f aca="false">IFERROR(IF(54&gt;=ASSUMPTIONS!$C$61,ASSUMPTIONS!$D$61*(1+ASSUMPTIONS!$B$66),0),0)</f>
        <v>6259</v>
      </c>
      <c r="BH31" s="94" t="n">
        <f aca="false">IFERROR(IF(55&gt;=ASSUMPTIONS!$C$61,ASSUMPTIONS!$D$61*(1+ASSUMPTIONS!$B$66),0),0)</f>
        <v>6259</v>
      </c>
      <c r="BI31" s="94" t="n">
        <f aca="false">IFERROR(IF(56&gt;=ASSUMPTIONS!$C$61,ASSUMPTIONS!$D$61*(1+ASSUMPTIONS!$B$66),0),0)</f>
        <v>6259</v>
      </c>
      <c r="BJ31" s="94" t="n">
        <f aca="false">IFERROR(IF(57&gt;=ASSUMPTIONS!$C$61,ASSUMPTIONS!$D$61*(1+ASSUMPTIONS!$B$66),0),0)</f>
        <v>6259</v>
      </c>
      <c r="BK31" s="94" t="n">
        <f aca="false">IFERROR(IF(58&gt;=ASSUMPTIONS!$C$61,ASSUMPTIONS!$D$61*(1+ASSUMPTIONS!$B$66),0),0)</f>
        <v>6259</v>
      </c>
      <c r="BL31" s="94" t="n">
        <f aca="false">IFERROR(IF(59&gt;=ASSUMPTIONS!$C$61,ASSUMPTIONS!$D$61*(1+ASSUMPTIONS!$B$66),0),0)</f>
        <v>6259</v>
      </c>
      <c r="BM31" s="94" t="n">
        <f aca="false">IFERROR(IF(60&gt;=ASSUMPTIONS!$C$61,ASSUMPTIONS!$D$61*(1+ASSUMPTIONS!$B$66),0),0)</f>
        <v>6259</v>
      </c>
      <c r="BN31" s="71" t="n">
        <f aca="false">SUM(BB31:BM31)</f>
        <v>75108</v>
      </c>
    </row>
    <row r="32" customFormat="false" ht="19.5" hidden="false" customHeight="true" outlineLevel="0" collapsed="false">
      <c r="A32" s="96" t="s">
        <v>232</v>
      </c>
      <c r="B32" s="76" t="n">
        <f aca="false">SUM(B29:B31)</f>
        <v>0</v>
      </c>
      <c r="C32" s="76" t="n">
        <f aca="false">SUM(C29:C31)</f>
        <v>0</v>
      </c>
      <c r="D32" s="76" t="n">
        <f aca="false">SUM(D29:D31)</f>
        <v>0</v>
      </c>
      <c r="E32" s="76" t="n">
        <f aca="false">SUM(E29:E31)</f>
        <v>0</v>
      </c>
      <c r="F32" s="76" t="n">
        <f aca="false">SUM(F29:F31)</f>
        <v>0</v>
      </c>
      <c r="G32" s="76" t="n">
        <f aca="false">SUM(G29:G31)</f>
        <v>9104</v>
      </c>
      <c r="H32" s="76" t="n">
        <f aca="false">SUM(H29:H31)</f>
        <v>9104</v>
      </c>
      <c r="I32" s="76" t="n">
        <f aca="false">SUM(I29:I31)</f>
        <v>9104</v>
      </c>
      <c r="J32" s="76" t="n">
        <f aca="false">SUM(J29:J31)</f>
        <v>14225</v>
      </c>
      <c r="K32" s="76" t="n">
        <f aca="false">SUM(K29:K31)</f>
        <v>14225</v>
      </c>
      <c r="L32" s="76" t="n">
        <f aca="false">SUM(L29:L31)</f>
        <v>14225</v>
      </c>
      <c r="M32" s="76" t="n">
        <f aca="false">SUM(M29:M31)</f>
        <v>20484</v>
      </c>
      <c r="N32" s="76" t="n">
        <f aca="false">SUM(B32:M32)</f>
        <v>90471</v>
      </c>
      <c r="O32" s="76" t="n">
        <f aca="false">SUM(O29:O31)</f>
        <v>20484</v>
      </c>
      <c r="P32" s="76" t="n">
        <f aca="false">SUM(P29:P31)</f>
        <v>20484</v>
      </c>
      <c r="Q32" s="76" t="n">
        <f aca="false">SUM(Q29:Q31)</f>
        <v>20484</v>
      </c>
      <c r="R32" s="76" t="n">
        <f aca="false">SUM(R29:R31)</f>
        <v>20484</v>
      </c>
      <c r="S32" s="76" t="n">
        <f aca="false">SUM(S29:S31)</f>
        <v>20484</v>
      </c>
      <c r="T32" s="76" t="n">
        <f aca="false">SUM(T29:T31)</f>
        <v>20484</v>
      </c>
      <c r="U32" s="76" t="n">
        <f aca="false">SUM(U29:U31)</f>
        <v>20484</v>
      </c>
      <c r="V32" s="76" t="n">
        <f aca="false">SUM(V29:V31)</f>
        <v>20484</v>
      </c>
      <c r="W32" s="76" t="n">
        <f aca="false">SUM(W29:W31)</f>
        <v>20484</v>
      </c>
      <c r="X32" s="76" t="n">
        <f aca="false">SUM(X29:X31)</f>
        <v>20484</v>
      </c>
      <c r="Y32" s="76" t="n">
        <f aca="false">SUM(Y29:Y31)</f>
        <v>20484</v>
      </c>
      <c r="Z32" s="76" t="n">
        <f aca="false">SUM(Z29:Z31)</f>
        <v>20484</v>
      </c>
      <c r="AA32" s="76" t="n">
        <f aca="false">SUM(O32:Z32)</f>
        <v>245808</v>
      </c>
      <c r="AB32" s="76" t="n">
        <f aca="false">SUM(AB29:AB31)</f>
        <v>20484</v>
      </c>
      <c r="AC32" s="76" t="n">
        <f aca="false">SUM(AC29:AC31)</f>
        <v>20484</v>
      </c>
      <c r="AD32" s="76" t="n">
        <f aca="false">SUM(AD29:AD31)</f>
        <v>20484</v>
      </c>
      <c r="AE32" s="76" t="n">
        <f aca="false">SUM(AE29:AE31)</f>
        <v>20484</v>
      </c>
      <c r="AF32" s="76" t="n">
        <f aca="false">SUM(AF29:AF31)</f>
        <v>20484</v>
      </c>
      <c r="AG32" s="76" t="n">
        <f aca="false">SUM(AG29:AG31)</f>
        <v>20484</v>
      </c>
      <c r="AH32" s="76" t="n">
        <f aca="false">SUM(AH29:AH31)</f>
        <v>20484</v>
      </c>
      <c r="AI32" s="76" t="n">
        <f aca="false">SUM(AI29:AI31)</f>
        <v>20484</v>
      </c>
      <c r="AJ32" s="76" t="n">
        <f aca="false">SUM(AJ29:AJ31)</f>
        <v>20484</v>
      </c>
      <c r="AK32" s="76" t="n">
        <f aca="false">SUM(AK29:AK31)</f>
        <v>20484</v>
      </c>
      <c r="AL32" s="76" t="n">
        <f aca="false">SUM(AL29:AL31)</f>
        <v>20484</v>
      </c>
      <c r="AM32" s="76" t="n">
        <f aca="false">SUM(AM29:AM31)</f>
        <v>20484</v>
      </c>
      <c r="AN32" s="76" t="n">
        <f aca="false">SUM(AB32:AM32)</f>
        <v>245808</v>
      </c>
      <c r="AO32" s="76" t="n">
        <f aca="false">SUM(AO29:AO31)</f>
        <v>20484</v>
      </c>
      <c r="AP32" s="76" t="n">
        <f aca="false">SUM(AP29:AP31)</f>
        <v>20484</v>
      </c>
      <c r="AQ32" s="76" t="n">
        <f aca="false">SUM(AQ29:AQ31)</f>
        <v>20484</v>
      </c>
      <c r="AR32" s="76" t="n">
        <f aca="false">SUM(AR29:AR31)</f>
        <v>20484</v>
      </c>
      <c r="AS32" s="76" t="n">
        <f aca="false">SUM(AS29:AS31)</f>
        <v>20484</v>
      </c>
      <c r="AT32" s="76" t="n">
        <f aca="false">SUM(AT29:AT31)</f>
        <v>20484</v>
      </c>
      <c r="AU32" s="76" t="n">
        <f aca="false">SUM(AU29:AU31)</f>
        <v>20484</v>
      </c>
      <c r="AV32" s="76" t="n">
        <f aca="false">SUM(AV29:AV31)</f>
        <v>20484</v>
      </c>
      <c r="AW32" s="76" t="n">
        <f aca="false">SUM(AW29:AW31)</f>
        <v>20484</v>
      </c>
      <c r="AX32" s="76" t="n">
        <f aca="false">SUM(AX29:AX31)</f>
        <v>20484</v>
      </c>
      <c r="AY32" s="76" t="n">
        <f aca="false">SUM(AY29:AY31)</f>
        <v>20484</v>
      </c>
      <c r="AZ32" s="76" t="n">
        <f aca="false">SUM(AZ29:AZ31)</f>
        <v>20484</v>
      </c>
      <c r="BA32" s="77" t="n">
        <f aca="false">SUM(AO32:AZ32)</f>
        <v>245808</v>
      </c>
      <c r="BB32" s="76" t="n">
        <f aca="false">SUM(BB29:BB31)</f>
        <v>20484</v>
      </c>
      <c r="BC32" s="76" t="n">
        <f aca="false">SUM(BC29:BC31)</f>
        <v>20484</v>
      </c>
      <c r="BD32" s="76" t="n">
        <f aca="false">SUM(BD29:BD31)</f>
        <v>20484</v>
      </c>
      <c r="BE32" s="76" t="n">
        <f aca="false">SUM(BE29:BE31)</f>
        <v>20484</v>
      </c>
      <c r="BF32" s="76" t="n">
        <f aca="false">SUM(BF29:BF31)</f>
        <v>20484</v>
      </c>
      <c r="BG32" s="76" t="n">
        <f aca="false">SUM(BG29:BG31)</f>
        <v>20484</v>
      </c>
      <c r="BH32" s="76" t="n">
        <f aca="false">SUM(BH29:BH31)</f>
        <v>20484</v>
      </c>
      <c r="BI32" s="76" t="n">
        <f aca="false">SUM(BI29:BI31)</f>
        <v>20484</v>
      </c>
      <c r="BJ32" s="76" t="n">
        <f aca="false">SUM(BJ29:BJ31)</f>
        <v>20484</v>
      </c>
      <c r="BK32" s="76" t="n">
        <f aca="false">SUM(BK29:BK31)</f>
        <v>20484</v>
      </c>
      <c r="BL32" s="76" t="n">
        <f aca="false">SUM(BL29:BL31)</f>
        <v>20484</v>
      </c>
      <c r="BM32" s="76" t="n">
        <f aca="false">SUM(BM29:BM31)</f>
        <v>20484</v>
      </c>
      <c r="BN32" s="77" t="n">
        <f aca="false">SUM(BB32:BM32)</f>
        <v>245808</v>
      </c>
    </row>
    <row r="33" customFormat="false" ht="6" hidden="false" customHeight="true" outlineLevel="0" collapsed="false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8"/>
      <c r="AQ33" s="78"/>
      <c r="AR33" s="78"/>
      <c r="AS33" s="78"/>
      <c r="AT33" s="78"/>
      <c r="AU33" s="78"/>
      <c r="AV33" s="78"/>
      <c r="AW33" s="78"/>
      <c r="AX33" s="78"/>
      <c r="AY33" s="78"/>
      <c r="AZ33" s="78"/>
      <c r="BA33" s="79"/>
      <c r="BB33" s="78"/>
      <c r="BC33" s="78"/>
      <c r="BD33" s="78"/>
      <c r="BE33" s="78"/>
      <c r="BF33" s="78"/>
      <c r="BG33" s="78"/>
      <c r="BH33" s="78"/>
      <c r="BI33" s="78"/>
      <c r="BJ33" s="78"/>
      <c r="BK33" s="78"/>
      <c r="BL33" s="78"/>
      <c r="BM33" s="78"/>
      <c r="BN33" s="79"/>
    </row>
    <row r="34" customFormat="false" ht="19.5" hidden="false" customHeight="true" outlineLevel="0" collapsed="false">
      <c r="A34" s="80" t="s">
        <v>233</v>
      </c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0"/>
      <c r="AQ34" s="80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0"/>
      <c r="BF34" s="80"/>
      <c r="BG34" s="80"/>
      <c r="BH34" s="80"/>
      <c r="BI34" s="80"/>
      <c r="BJ34" s="80"/>
      <c r="BK34" s="80"/>
      <c r="BL34" s="80"/>
      <c r="BM34" s="80"/>
      <c r="BN34" s="80"/>
    </row>
    <row r="35" customFormat="false" ht="19.5" hidden="false" customHeight="true" outlineLevel="0" collapsed="false">
      <c r="A35" s="99" t="str">
        <f aca="false">IFERROR(ASSUMPTIONS!B62,"(empty)")</f>
        <v>CS</v>
      </c>
      <c r="B35" s="94" t="n">
        <f aca="false">IFERROR(IF(1&gt;=ASSUMPTIONS!$C$62,ASSUMPTIONS!$D$62*(1+ASSUMPTIONS!$B$66),0),0)</f>
        <v>0</v>
      </c>
      <c r="C35" s="94" t="n">
        <f aca="false">IFERROR(IF(2&gt;=ASSUMPTIONS!$C$62,ASSUMPTIONS!$D$62*(1+ASSUMPTIONS!$B$66),0),0)</f>
        <v>0</v>
      </c>
      <c r="D35" s="94" t="n">
        <f aca="false">IFERROR(IF(3&gt;=ASSUMPTIONS!$C$62,ASSUMPTIONS!$D$62*(1+ASSUMPTIONS!$B$66),0),0)</f>
        <v>6828</v>
      </c>
      <c r="E35" s="94" t="n">
        <f aca="false">IFERROR(IF(4&gt;=ASSUMPTIONS!$C$62,ASSUMPTIONS!$D$62*(1+ASSUMPTIONS!$B$66),0),0)</f>
        <v>6828</v>
      </c>
      <c r="F35" s="94" t="n">
        <f aca="false">IFERROR(IF(5&gt;=ASSUMPTIONS!$C$62,ASSUMPTIONS!$D$62*(1+ASSUMPTIONS!$B$66),0),0)</f>
        <v>6828</v>
      </c>
      <c r="G35" s="94" t="n">
        <f aca="false">IFERROR(IF(6&gt;=ASSUMPTIONS!$C$62,ASSUMPTIONS!$D$62*(1+ASSUMPTIONS!$B$66),0),0)</f>
        <v>6828</v>
      </c>
      <c r="H35" s="94" t="n">
        <f aca="false">IFERROR(IF(7&gt;=ASSUMPTIONS!$C$62,ASSUMPTIONS!$D$62*(1+ASSUMPTIONS!$B$66),0),0)</f>
        <v>6828</v>
      </c>
      <c r="I35" s="94" t="n">
        <f aca="false">IFERROR(IF(8&gt;=ASSUMPTIONS!$C$62,ASSUMPTIONS!$D$62*(1+ASSUMPTIONS!$B$66),0),0)</f>
        <v>6828</v>
      </c>
      <c r="J35" s="94" t="n">
        <f aca="false">IFERROR(IF(9&gt;=ASSUMPTIONS!$C$62,ASSUMPTIONS!$D$62*(1+ASSUMPTIONS!$B$66),0),0)</f>
        <v>6828</v>
      </c>
      <c r="K35" s="94" t="n">
        <f aca="false">IFERROR(IF(10&gt;=ASSUMPTIONS!$C$62,ASSUMPTIONS!$D$62*(1+ASSUMPTIONS!$B$66),0),0)</f>
        <v>6828</v>
      </c>
      <c r="L35" s="94" t="n">
        <f aca="false">IFERROR(IF(11&gt;=ASSUMPTIONS!$C$62,ASSUMPTIONS!$D$62*(1+ASSUMPTIONS!$B$66),0),0)</f>
        <v>6828</v>
      </c>
      <c r="M35" s="94" t="n">
        <f aca="false">IFERROR(IF(12&gt;=ASSUMPTIONS!$C$62,ASSUMPTIONS!$D$62*(1+ASSUMPTIONS!$B$66),0),0)</f>
        <v>6828</v>
      </c>
      <c r="N35" s="95" t="n">
        <f aca="false">SUM(B35:M35)</f>
        <v>68280</v>
      </c>
      <c r="O35" s="94" t="n">
        <f aca="false">IFERROR(IF(13&gt;=ASSUMPTIONS!$C$62,ASSUMPTIONS!$D$62*(1+ASSUMPTIONS!$B$66),0),0)</f>
        <v>6828</v>
      </c>
      <c r="P35" s="94" t="n">
        <f aca="false">IFERROR(IF(14&gt;=ASSUMPTIONS!$C$62,ASSUMPTIONS!$D$62*(1+ASSUMPTIONS!$B$66),0),0)</f>
        <v>6828</v>
      </c>
      <c r="Q35" s="94" t="n">
        <f aca="false">IFERROR(IF(15&gt;=ASSUMPTIONS!$C$62,ASSUMPTIONS!$D$62*(1+ASSUMPTIONS!$B$66),0),0)</f>
        <v>6828</v>
      </c>
      <c r="R35" s="94" t="n">
        <f aca="false">IFERROR(IF(16&gt;=ASSUMPTIONS!$C$62,ASSUMPTIONS!$D$62*(1+ASSUMPTIONS!$B$66),0),0)</f>
        <v>6828</v>
      </c>
      <c r="S35" s="94" t="n">
        <f aca="false">IFERROR(IF(17&gt;=ASSUMPTIONS!$C$62,ASSUMPTIONS!$D$62*(1+ASSUMPTIONS!$B$66),0),0)</f>
        <v>6828</v>
      </c>
      <c r="T35" s="94" t="n">
        <f aca="false">IFERROR(IF(18&gt;=ASSUMPTIONS!$C$62,ASSUMPTIONS!$D$62*(1+ASSUMPTIONS!$B$66),0),0)</f>
        <v>6828</v>
      </c>
      <c r="U35" s="94" t="n">
        <f aca="false">IFERROR(IF(19&gt;=ASSUMPTIONS!$C$62,ASSUMPTIONS!$D$62*(1+ASSUMPTIONS!$B$66),0),0)</f>
        <v>6828</v>
      </c>
      <c r="V35" s="94" t="n">
        <f aca="false">IFERROR(IF(20&gt;=ASSUMPTIONS!$C$62,ASSUMPTIONS!$D$62*(1+ASSUMPTIONS!$B$66),0),0)</f>
        <v>6828</v>
      </c>
      <c r="W35" s="94" t="n">
        <f aca="false">IFERROR(IF(21&gt;=ASSUMPTIONS!$C$62,ASSUMPTIONS!$D$62*(1+ASSUMPTIONS!$B$66),0),0)</f>
        <v>6828</v>
      </c>
      <c r="X35" s="94" t="n">
        <f aca="false">IFERROR(IF(22&gt;=ASSUMPTIONS!$C$62,ASSUMPTIONS!$D$62*(1+ASSUMPTIONS!$B$66),0),0)</f>
        <v>6828</v>
      </c>
      <c r="Y35" s="94" t="n">
        <f aca="false">IFERROR(IF(23&gt;=ASSUMPTIONS!$C$62,ASSUMPTIONS!$D$62*(1+ASSUMPTIONS!$B$66),0),0)</f>
        <v>6828</v>
      </c>
      <c r="Z35" s="94" t="n">
        <f aca="false">IFERROR(IF(24&gt;=ASSUMPTIONS!$C$62,ASSUMPTIONS!$D$62*(1+ASSUMPTIONS!$B$66),0),0)</f>
        <v>6828</v>
      </c>
      <c r="AA35" s="95" t="n">
        <f aca="false">SUM(O35:Z35)</f>
        <v>81936</v>
      </c>
      <c r="AB35" s="94" t="n">
        <f aca="false">IFERROR(IF(25&gt;=ASSUMPTIONS!$C$62,ASSUMPTIONS!$D$62*(1+ASSUMPTIONS!$B$66),0),0)</f>
        <v>6828</v>
      </c>
      <c r="AC35" s="94" t="n">
        <f aca="false">IFERROR(IF(26&gt;=ASSUMPTIONS!$C$62,ASSUMPTIONS!$D$62*(1+ASSUMPTIONS!$B$66),0),0)</f>
        <v>6828</v>
      </c>
      <c r="AD35" s="94" t="n">
        <f aca="false">IFERROR(IF(27&gt;=ASSUMPTIONS!$C$62,ASSUMPTIONS!$D$62*(1+ASSUMPTIONS!$B$66),0),0)</f>
        <v>6828</v>
      </c>
      <c r="AE35" s="94" t="n">
        <f aca="false">IFERROR(IF(28&gt;=ASSUMPTIONS!$C$62,ASSUMPTIONS!$D$62*(1+ASSUMPTIONS!$B$66),0),0)</f>
        <v>6828</v>
      </c>
      <c r="AF35" s="94" t="n">
        <f aca="false">IFERROR(IF(29&gt;=ASSUMPTIONS!$C$62,ASSUMPTIONS!$D$62*(1+ASSUMPTIONS!$B$66),0),0)</f>
        <v>6828</v>
      </c>
      <c r="AG35" s="94" t="n">
        <f aca="false">IFERROR(IF(30&gt;=ASSUMPTIONS!$C$62,ASSUMPTIONS!$D$62*(1+ASSUMPTIONS!$B$66),0),0)</f>
        <v>6828</v>
      </c>
      <c r="AH35" s="94" t="n">
        <f aca="false">IFERROR(IF(31&gt;=ASSUMPTIONS!$C$62,ASSUMPTIONS!$D$62*(1+ASSUMPTIONS!$B$66),0),0)</f>
        <v>6828</v>
      </c>
      <c r="AI35" s="94" t="n">
        <f aca="false">IFERROR(IF(32&gt;=ASSUMPTIONS!$C$62,ASSUMPTIONS!$D$62*(1+ASSUMPTIONS!$B$66),0),0)</f>
        <v>6828</v>
      </c>
      <c r="AJ35" s="94" t="n">
        <f aca="false">IFERROR(IF(33&gt;=ASSUMPTIONS!$C$62,ASSUMPTIONS!$D$62*(1+ASSUMPTIONS!$B$66),0),0)</f>
        <v>6828</v>
      </c>
      <c r="AK35" s="94" t="n">
        <f aca="false">IFERROR(IF(34&gt;=ASSUMPTIONS!$C$62,ASSUMPTIONS!$D$62*(1+ASSUMPTIONS!$B$66),0),0)</f>
        <v>6828</v>
      </c>
      <c r="AL35" s="94" t="n">
        <f aca="false">IFERROR(IF(35&gt;=ASSUMPTIONS!$C$62,ASSUMPTIONS!$D$62*(1+ASSUMPTIONS!$B$66),0),0)</f>
        <v>6828</v>
      </c>
      <c r="AM35" s="94" t="n">
        <f aca="false">IFERROR(IF(36&gt;=ASSUMPTIONS!$C$62,ASSUMPTIONS!$D$62*(1+ASSUMPTIONS!$B$66),0),0)</f>
        <v>6828</v>
      </c>
      <c r="AN35" s="95" t="n">
        <f aca="false">SUM(AB35:AM35)</f>
        <v>81936</v>
      </c>
      <c r="AO35" s="94" t="n">
        <f aca="false">IFERROR(IF(37&gt;=ASSUMPTIONS!$C$62,ASSUMPTIONS!$D$62*(1+ASSUMPTIONS!$B$66),0),0)</f>
        <v>6828</v>
      </c>
      <c r="AP35" s="94" t="n">
        <f aca="false">IFERROR(IF(38&gt;=ASSUMPTIONS!$C$62,ASSUMPTIONS!$D$62*(1+ASSUMPTIONS!$B$66),0),0)</f>
        <v>6828</v>
      </c>
      <c r="AQ35" s="94" t="n">
        <f aca="false">IFERROR(IF(39&gt;=ASSUMPTIONS!$C$62,ASSUMPTIONS!$D$62*(1+ASSUMPTIONS!$B$66),0),0)</f>
        <v>6828</v>
      </c>
      <c r="AR35" s="94" t="n">
        <f aca="false">IFERROR(IF(40&gt;=ASSUMPTIONS!$C$62,ASSUMPTIONS!$D$62*(1+ASSUMPTIONS!$B$66),0),0)</f>
        <v>6828</v>
      </c>
      <c r="AS35" s="94" t="n">
        <f aca="false">IFERROR(IF(41&gt;=ASSUMPTIONS!$C$62,ASSUMPTIONS!$D$62*(1+ASSUMPTIONS!$B$66),0),0)</f>
        <v>6828</v>
      </c>
      <c r="AT35" s="94" t="n">
        <f aca="false">IFERROR(IF(42&gt;=ASSUMPTIONS!$C$62,ASSUMPTIONS!$D$62*(1+ASSUMPTIONS!$B$66),0),0)</f>
        <v>6828</v>
      </c>
      <c r="AU35" s="94" t="n">
        <f aca="false">IFERROR(IF(43&gt;=ASSUMPTIONS!$C$62,ASSUMPTIONS!$D$62*(1+ASSUMPTIONS!$B$66),0),0)</f>
        <v>6828</v>
      </c>
      <c r="AV35" s="94" t="n">
        <f aca="false">IFERROR(IF(44&gt;=ASSUMPTIONS!$C$62,ASSUMPTIONS!$D$62*(1+ASSUMPTIONS!$B$66),0),0)</f>
        <v>6828</v>
      </c>
      <c r="AW35" s="94" t="n">
        <f aca="false">IFERROR(IF(45&gt;=ASSUMPTIONS!$C$62,ASSUMPTIONS!$D$62*(1+ASSUMPTIONS!$B$66),0),0)</f>
        <v>6828</v>
      </c>
      <c r="AX35" s="94" t="n">
        <f aca="false">IFERROR(IF(46&gt;=ASSUMPTIONS!$C$62,ASSUMPTIONS!$D$62*(1+ASSUMPTIONS!$B$66),0),0)</f>
        <v>6828</v>
      </c>
      <c r="AY35" s="94" t="n">
        <f aca="false">IFERROR(IF(47&gt;=ASSUMPTIONS!$C$62,ASSUMPTIONS!$D$62*(1+ASSUMPTIONS!$B$66),0),0)</f>
        <v>6828</v>
      </c>
      <c r="AZ35" s="94" t="n">
        <f aca="false">IFERROR(IF(48&gt;=ASSUMPTIONS!$C$62,ASSUMPTIONS!$D$62*(1+ASSUMPTIONS!$B$66),0),0)</f>
        <v>6828</v>
      </c>
      <c r="BA35" s="71" t="n">
        <f aca="false">SUM(AO35:AZ35)</f>
        <v>81936</v>
      </c>
      <c r="BB35" s="94" t="n">
        <f aca="false">IFERROR(IF(49&gt;=ASSUMPTIONS!$C$62,ASSUMPTIONS!$D$62*(1+ASSUMPTIONS!$B$66),0),0)</f>
        <v>6828</v>
      </c>
      <c r="BC35" s="94" t="n">
        <f aca="false">IFERROR(IF(50&gt;=ASSUMPTIONS!$C$62,ASSUMPTIONS!$D$62*(1+ASSUMPTIONS!$B$66),0),0)</f>
        <v>6828</v>
      </c>
      <c r="BD35" s="94" t="n">
        <f aca="false">IFERROR(IF(51&gt;=ASSUMPTIONS!$C$62,ASSUMPTIONS!$D$62*(1+ASSUMPTIONS!$B$66),0),0)</f>
        <v>6828</v>
      </c>
      <c r="BE35" s="94" t="n">
        <f aca="false">IFERROR(IF(52&gt;=ASSUMPTIONS!$C$62,ASSUMPTIONS!$D$62*(1+ASSUMPTIONS!$B$66),0),0)</f>
        <v>6828</v>
      </c>
      <c r="BF35" s="94" t="n">
        <f aca="false">IFERROR(IF(53&gt;=ASSUMPTIONS!$C$62,ASSUMPTIONS!$D$62*(1+ASSUMPTIONS!$B$66),0),0)</f>
        <v>6828</v>
      </c>
      <c r="BG35" s="94" t="n">
        <f aca="false">IFERROR(IF(54&gt;=ASSUMPTIONS!$C$62,ASSUMPTIONS!$D$62*(1+ASSUMPTIONS!$B$66),0),0)</f>
        <v>6828</v>
      </c>
      <c r="BH35" s="94" t="n">
        <f aca="false">IFERROR(IF(55&gt;=ASSUMPTIONS!$C$62,ASSUMPTIONS!$D$62*(1+ASSUMPTIONS!$B$66),0),0)</f>
        <v>6828</v>
      </c>
      <c r="BI35" s="94" t="n">
        <f aca="false">IFERROR(IF(56&gt;=ASSUMPTIONS!$C$62,ASSUMPTIONS!$D$62*(1+ASSUMPTIONS!$B$66),0),0)</f>
        <v>6828</v>
      </c>
      <c r="BJ35" s="94" t="n">
        <f aca="false">IFERROR(IF(57&gt;=ASSUMPTIONS!$C$62,ASSUMPTIONS!$D$62*(1+ASSUMPTIONS!$B$66),0),0)</f>
        <v>6828</v>
      </c>
      <c r="BK35" s="94" t="n">
        <f aca="false">IFERROR(IF(58&gt;=ASSUMPTIONS!$C$62,ASSUMPTIONS!$D$62*(1+ASSUMPTIONS!$B$66),0),0)</f>
        <v>6828</v>
      </c>
      <c r="BL35" s="94" t="n">
        <f aca="false">IFERROR(IF(59&gt;=ASSUMPTIONS!$C$62,ASSUMPTIONS!$D$62*(1+ASSUMPTIONS!$B$66),0),0)</f>
        <v>6828</v>
      </c>
      <c r="BM35" s="94" t="n">
        <f aca="false">IFERROR(IF(60&gt;=ASSUMPTIONS!$C$62,ASSUMPTIONS!$D$62*(1+ASSUMPTIONS!$B$66),0),0)</f>
        <v>6828</v>
      </c>
      <c r="BN35" s="71" t="n">
        <f aca="false">SUM(BB35:BM35)</f>
        <v>81936</v>
      </c>
    </row>
    <row r="36" customFormat="false" ht="19.5" hidden="false" customHeight="true" outlineLevel="0" collapsed="false">
      <c r="A36" s="99" t="str">
        <f aca="false">IFERROR(ASSUMPTIONS!B63,"(empty)")</f>
        <v>CS</v>
      </c>
      <c r="B36" s="94" t="n">
        <f aca="false">IFERROR(IF(1&gt;=ASSUMPTIONS!$C$63,ASSUMPTIONS!$D$63*(1+ASSUMPTIONS!$B$66),0),0)</f>
        <v>0</v>
      </c>
      <c r="C36" s="94" t="n">
        <f aca="false">IFERROR(IF(2&gt;=ASSUMPTIONS!$C$63,ASSUMPTIONS!$D$63*(1+ASSUMPTIONS!$B$66),0),0)</f>
        <v>0</v>
      </c>
      <c r="D36" s="94" t="n">
        <f aca="false">IFERROR(IF(3&gt;=ASSUMPTIONS!$C$63,ASSUMPTIONS!$D$63*(1+ASSUMPTIONS!$B$66),0),0)</f>
        <v>0</v>
      </c>
      <c r="E36" s="94" t="n">
        <f aca="false">IFERROR(IF(4&gt;=ASSUMPTIONS!$C$63,ASSUMPTIONS!$D$63*(1+ASSUMPTIONS!$B$66),0),0)</f>
        <v>0</v>
      </c>
      <c r="F36" s="94" t="n">
        <f aca="false">IFERROR(IF(5&gt;=ASSUMPTIONS!$C$63,ASSUMPTIONS!$D$63*(1+ASSUMPTIONS!$B$66),0),0)</f>
        <v>0</v>
      </c>
      <c r="G36" s="94" t="n">
        <f aca="false">IFERROR(IF(6&gt;=ASSUMPTIONS!$C$63,ASSUMPTIONS!$D$63*(1+ASSUMPTIONS!$B$66),0),0)</f>
        <v>0</v>
      </c>
      <c r="H36" s="94" t="n">
        <f aca="false">IFERROR(IF(7&gt;=ASSUMPTIONS!$C$63,ASSUMPTIONS!$D$63*(1+ASSUMPTIONS!$B$66),0),0)</f>
        <v>0</v>
      </c>
      <c r="I36" s="94" t="n">
        <f aca="false">IFERROR(IF(8&gt;=ASSUMPTIONS!$C$63,ASSUMPTIONS!$D$63*(1+ASSUMPTIONS!$B$66),0),0)</f>
        <v>0</v>
      </c>
      <c r="J36" s="94" t="n">
        <f aca="false">IFERROR(IF(9&gt;=ASSUMPTIONS!$C$63,ASSUMPTIONS!$D$63*(1+ASSUMPTIONS!$B$66),0),0)</f>
        <v>5121</v>
      </c>
      <c r="K36" s="94" t="n">
        <f aca="false">IFERROR(IF(10&gt;=ASSUMPTIONS!$C$63,ASSUMPTIONS!$D$63*(1+ASSUMPTIONS!$B$66),0),0)</f>
        <v>5121</v>
      </c>
      <c r="L36" s="94" t="n">
        <f aca="false">IFERROR(IF(11&gt;=ASSUMPTIONS!$C$63,ASSUMPTIONS!$D$63*(1+ASSUMPTIONS!$B$66),0),0)</f>
        <v>5121</v>
      </c>
      <c r="M36" s="94" t="n">
        <f aca="false">IFERROR(IF(12&gt;=ASSUMPTIONS!$C$63,ASSUMPTIONS!$D$63*(1+ASSUMPTIONS!$B$66),0),0)</f>
        <v>5121</v>
      </c>
      <c r="N36" s="95" t="n">
        <f aca="false">SUM(B36:M36)</f>
        <v>20484</v>
      </c>
      <c r="O36" s="94" t="n">
        <f aca="false">IFERROR(IF(13&gt;=ASSUMPTIONS!$C$63,ASSUMPTIONS!$D$63*(1+ASSUMPTIONS!$B$66),0),0)</f>
        <v>5121</v>
      </c>
      <c r="P36" s="94" t="n">
        <f aca="false">IFERROR(IF(14&gt;=ASSUMPTIONS!$C$63,ASSUMPTIONS!$D$63*(1+ASSUMPTIONS!$B$66),0),0)</f>
        <v>5121</v>
      </c>
      <c r="Q36" s="94" t="n">
        <f aca="false">IFERROR(IF(15&gt;=ASSUMPTIONS!$C$63,ASSUMPTIONS!$D$63*(1+ASSUMPTIONS!$B$66),0),0)</f>
        <v>5121</v>
      </c>
      <c r="R36" s="94" t="n">
        <f aca="false">IFERROR(IF(16&gt;=ASSUMPTIONS!$C$63,ASSUMPTIONS!$D$63*(1+ASSUMPTIONS!$B$66),0),0)</f>
        <v>5121</v>
      </c>
      <c r="S36" s="94" t="n">
        <f aca="false">IFERROR(IF(17&gt;=ASSUMPTIONS!$C$63,ASSUMPTIONS!$D$63*(1+ASSUMPTIONS!$B$66),0),0)</f>
        <v>5121</v>
      </c>
      <c r="T36" s="94" t="n">
        <f aca="false">IFERROR(IF(18&gt;=ASSUMPTIONS!$C$63,ASSUMPTIONS!$D$63*(1+ASSUMPTIONS!$B$66),0),0)</f>
        <v>5121</v>
      </c>
      <c r="U36" s="94" t="n">
        <f aca="false">IFERROR(IF(19&gt;=ASSUMPTIONS!$C$63,ASSUMPTIONS!$D$63*(1+ASSUMPTIONS!$B$66),0),0)</f>
        <v>5121</v>
      </c>
      <c r="V36" s="94" t="n">
        <f aca="false">IFERROR(IF(20&gt;=ASSUMPTIONS!$C$63,ASSUMPTIONS!$D$63*(1+ASSUMPTIONS!$B$66),0),0)</f>
        <v>5121</v>
      </c>
      <c r="W36" s="94" t="n">
        <f aca="false">IFERROR(IF(21&gt;=ASSUMPTIONS!$C$63,ASSUMPTIONS!$D$63*(1+ASSUMPTIONS!$B$66),0),0)</f>
        <v>5121</v>
      </c>
      <c r="X36" s="94" t="n">
        <f aca="false">IFERROR(IF(22&gt;=ASSUMPTIONS!$C$63,ASSUMPTIONS!$D$63*(1+ASSUMPTIONS!$B$66),0),0)</f>
        <v>5121</v>
      </c>
      <c r="Y36" s="94" t="n">
        <f aca="false">IFERROR(IF(23&gt;=ASSUMPTIONS!$C$63,ASSUMPTIONS!$D$63*(1+ASSUMPTIONS!$B$66),0),0)</f>
        <v>5121</v>
      </c>
      <c r="Z36" s="94" t="n">
        <f aca="false">IFERROR(IF(24&gt;=ASSUMPTIONS!$C$63,ASSUMPTIONS!$D$63*(1+ASSUMPTIONS!$B$66),0),0)</f>
        <v>5121</v>
      </c>
      <c r="AA36" s="95" t="n">
        <f aca="false">SUM(O36:Z36)</f>
        <v>61452</v>
      </c>
      <c r="AB36" s="94" t="n">
        <f aca="false">IFERROR(IF(25&gt;=ASSUMPTIONS!$C$63,ASSUMPTIONS!$D$63*(1+ASSUMPTIONS!$B$66),0),0)</f>
        <v>5121</v>
      </c>
      <c r="AC36" s="94" t="n">
        <f aca="false">IFERROR(IF(26&gt;=ASSUMPTIONS!$C$63,ASSUMPTIONS!$D$63*(1+ASSUMPTIONS!$B$66),0),0)</f>
        <v>5121</v>
      </c>
      <c r="AD36" s="94" t="n">
        <f aca="false">IFERROR(IF(27&gt;=ASSUMPTIONS!$C$63,ASSUMPTIONS!$D$63*(1+ASSUMPTIONS!$B$66),0),0)</f>
        <v>5121</v>
      </c>
      <c r="AE36" s="94" t="n">
        <f aca="false">IFERROR(IF(28&gt;=ASSUMPTIONS!$C$63,ASSUMPTIONS!$D$63*(1+ASSUMPTIONS!$B$66),0),0)</f>
        <v>5121</v>
      </c>
      <c r="AF36" s="94" t="n">
        <f aca="false">IFERROR(IF(29&gt;=ASSUMPTIONS!$C$63,ASSUMPTIONS!$D$63*(1+ASSUMPTIONS!$B$66),0),0)</f>
        <v>5121</v>
      </c>
      <c r="AG36" s="94" t="n">
        <f aca="false">IFERROR(IF(30&gt;=ASSUMPTIONS!$C$63,ASSUMPTIONS!$D$63*(1+ASSUMPTIONS!$B$66),0),0)</f>
        <v>5121</v>
      </c>
      <c r="AH36" s="94" t="n">
        <f aca="false">IFERROR(IF(31&gt;=ASSUMPTIONS!$C$63,ASSUMPTIONS!$D$63*(1+ASSUMPTIONS!$B$66),0),0)</f>
        <v>5121</v>
      </c>
      <c r="AI36" s="94" t="n">
        <f aca="false">IFERROR(IF(32&gt;=ASSUMPTIONS!$C$63,ASSUMPTIONS!$D$63*(1+ASSUMPTIONS!$B$66),0),0)</f>
        <v>5121</v>
      </c>
      <c r="AJ36" s="94" t="n">
        <f aca="false">IFERROR(IF(33&gt;=ASSUMPTIONS!$C$63,ASSUMPTIONS!$D$63*(1+ASSUMPTIONS!$B$66),0),0)</f>
        <v>5121</v>
      </c>
      <c r="AK36" s="94" t="n">
        <f aca="false">IFERROR(IF(34&gt;=ASSUMPTIONS!$C$63,ASSUMPTIONS!$D$63*(1+ASSUMPTIONS!$B$66),0),0)</f>
        <v>5121</v>
      </c>
      <c r="AL36" s="94" t="n">
        <f aca="false">IFERROR(IF(35&gt;=ASSUMPTIONS!$C$63,ASSUMPTIONS!$D$63*(1+ASSUMPTIONS!$B$66),0),0)</f>
        <v>5121</v>
      </c>
      <c r="AM36" s="94" t="n">
        <f aca="false">IFERROR(IF(36&gt;=ASSUMPTIONS!$C$63,ASSUMPTIONS!$D$63*(1+ASSUMPTIONS!$B$66),0),0)</f>
        <v>5121</v>
      </c>
      <c r="AN36" s="95" t="n">
        <f aca="false">SUM(AB36:AM36)</f>
        <v>61452</v>
      </c>
      <c r="AO36" s="94" t="n">
        <f aca="false">IFERROR(IF(37&gt;=ASSUMPTIONS!$C$63,ASSUMPTIONS!$D$63*(1+ASSUMPTIONS!$B$66),0),0)</f>
        <v>5121</v>
      </c>
      <c r="AP36" s="94" t="n">
        <f aca="false">IFERROR(IF(38&gt;=ASSUMPTIONS!$C$63,ASSUMPTIONS!$D$63*(1+ASSUMPTIONS!$B$66),0),0)</f>
        <v>5121</v>
      </c>
      <c r="AQ36" s="94" t="n">
        <f aca="false">IFERROR(IF(39&gt;=ASSUMPTIONS!$C$63,ASSUMPTIONS!$D$63*(1+ASSUMPTIONS!$B$66),0),0)</f>
        <v>5121</v>
      </c>
      <c r="AR36" s="94" t="n">
        <f aca="false">IFERROR(IF(40&gt;=ASSUMPTIONS!$C$63,ASSUMPTIONS!$D$63*(1+ASSUMPTIONS!$B$66),0),0)</f>
        <v>5121</v>
      </c>
      <c r="AS36" s="94" t="n">
        <f aca="false">IFERROR(IF(41&gt;=ASSUMPTIONS!$C$63,ASSUMPTIONS!$D$63*(1+ASSUMPTIONS!$B$66),0),0)</f>
        <v>5121</v>
      </c>
      <c r="AT36" s="94" t="n">
        <f aca="false">IFERROR(IF(42&gt;=ASSUMPTIONS!$C$63,ASSUMPTIONS!$D$63*(1+ASSUMPTIONS!$B$66),0),0)</f>
        <v>5121</v>
      </c>
      <c r="AU36" s="94" t="n">
        <f aca="false">IFERROR(IF(43&gt;=ASSUMPTIONS!$C$63,ASSUMPTIONS!$D$63*(1+ASSUMPTIONS!$B$66),0),0)</f>
        <v>5121</v>
      </c>
      <c r="AV36" s="94" t="n">
        <f aca="false">IFERROR(IF(44&gt;=ASSUMPTIONS!$C$63,ASSUMPTIONS!$D$63*(1+ASSUMPTIONS!$B$66),0),0)</f>
        <v>5121</v>
      </c>
      <c r="AW36" s="94" t="n">
        <f aca="false">IFERROR(IF(45&gt;=ASSUMPTIONS!$C$63,ASSUMPTIONS!$D$63*(1+ASSUMPTIONS!$B$66),0),0)</f>
        <v>5121</v>
      </c>
      <c r="AX36" s="94" t="n">
        <f aca="false">IFERROR(IF(46&gt;=ASSUMPTIONS!$C$63,ASSUMPTIONS!$D$63*(1+ASSUMPTIONS!$B$66),0),0)</f>
        <v>5121</v>
      </c>
      <c r="AY36" s="94" t="n">
        <f aca="false">IFERROR(IF(47&gt;=ASSUMPTIONS!$C$63,ASSUMPTIONS!$D$63*(1+ASSUMPTIONS!$B$66),0),0)</f>
        <v>5121</v>
      </c>
      <c r="AZ36" s="94" t="n">
        <f aca="false">IFERROR(IF(48&gt;=ASSUMPTIONS!$C$63,ASSUMPTIONS!$D$63*(1+ASSUMPTIONS!$B$66),0),0)</f>
        <v>5121</v>
      </c>
      <c r="BA36" s="71" t="n">
        <f aca="false">SUM(AO36:AZ36)</f>
        <v>61452</v>
      </c>
      <c r="BB36" s="94" t="n">
        <f aca="false">IFERROR(IF(49&gt;=ASSUMPTIONS!$C$63,ASSUMPTIONS!$D$63*(1+ASSUMPTIONS!$B$66),0),0)</f>
        <v>5121</v>
      </c>
      <c r="BC36" s="94" t="n">
        <f aca="false">IFERROR(IF(50&gt;=ASSUMPTIONS!$C$63,ASSUMPTIONS!$D$63*(1+ASSUMPTIONS!$B$66),0),0)</f>
        <v>5121</v>
      </c>
      <c r="BD36" s="94" t="n">
        <f aca="false">IFERROR(IF(51&gt;=ASSUMPTIONS!$C$63,ASSUMPTIONS!$D$63*(1+ASSUMPTIONS!$B$66),0),0)</f>
        <v>5121</v>
      </c>
      <c r="BE36" s="94" t="n">
        <f aca="false">IFERROR(IF(52&gt;=ASSUMPTIONS!$C$63,ASSUMPTIONS!$D$63*(1+ASSUMPTIONS!$B$66),0),0)</f>
        <v>5121</v>
      </c>
      <c r="BF36" s="94" t="n">
        <f aca="false">IFERROR(IF(53&gt;=ASSUMPTIONS!$C$63,ASSUMPTIONS!$D$63*(1+ASSUMPTIONS!$B$66),0),0)</f>
        <v>5121</v>
      </c>
      <c r="BG36" s="94" t="n">
        <f aca="false">IFERROR(IF(54&gt;=ASSUMPTIONS!$C$63,ASSUMPTIONS!$D$63*(1+ASSUMPTIONS!$B$66),0),0)</f>
        <v>5121</v>
      </c>
      <c r="BH36" s="94" t="n">
        <f aca="false">IFERROR(IF(55&gt;=ASSUMPTIONS!$C$63,ASSUMPTIONS!$D$63*(1+ASSUMPTIONS!$B$66),0),0)</f>
        <v>5121</v>
      </c>
      <c r="BI36" s="94" t="n">
        <f aca="false">IFERROR(IF(56&gt;=ASSUMPTIONS!$C$63,ASSUMPTIONS!$D$63*(1+ASSUMPTIONS!$B$66),0),0)</f>
        <v>5121</v>
      </c>
      <c r="BJ36" s="94" t="n">
        <f aca="false">IFERROR(IF(57&gt;=ASSUMPTIONS!$C$63,ASSUMPTIONS!$D$63*(1+ASSUMPTIONS!$B$66),0),0)</f>
        <v>5121</v>
      </c>
      <c r="BK36" s="94" t="n">
        <f aca="false">IFERROR(IF(58&gt;=ASSUMPTIONS!$C$63,ASSUMPTIONS!$D$63*(1+ASSUMPTIONS!$B$66),0),0)</f>
        <v>5121</v>
      </c>
      <c r="BL36" s="94" t="n">
        <f aca="false">IFERROR(IF(59&gt;=ASSUMPTIONS!$C$63,ASSUMPTIONS!$D$63*(1+ASSUMPTIONS!$B$66),0),0)</f>
        <v>5121</v>
      </c>
      <c r="BM36" s="94" t="n">
        <f aca="false">IFERROR(IF(60&gt;=ASSUMPTIONS!$C$63,ASSUMPTIONS!$D$63*(1+ASSUMPTIONS!$B$66),0),0)</f>
        <v>5121</v>
      </c>
      <c r="BN36" s="71" t="n">
        <f aca="false">SUM(BB36:BM36)</f>
        <v>61452</v>
      </c>
    </row>
    <row r="37" customFormat="false" ht="19.5" hidden="false" customHeight="true" outlineLevel="0" collapsed="false">
      <c r="A37" s="99" t="str">
        <f aca="false">IFERROR(ASSUMPTIONS!B64,"(empty)")</f>
        <v>CS</v>
      </c>
      <c r="B37" s="94" t="n">
        <f aca="false">IFERROR(IF(1&gt;=ASSUMPTIONS!$C$64,ASSUMPTIONS!$D$64*(1+ASSUMPTIONS!$B$66),0),0)</f>
        <v>0</v>
      </c>
      <c r="C37" s="94" t="n">
        <f aca="false">IFERROR(IF(2&gt;=ASSUMPTIONS!$C$64,ASSUMPTIONS!$D$64*(1+ASSUMPTIONS!$B$66),0),0)</f>
        <v>0</v>
      </c>
      <c r="D37" s="94" t="n">
        <f aca="false">IFERROR(IF(3&gt;=ASSUMPTIONS!$C$64,ASSUMPTIONS!$D$64*(1+ASSUMPTIONS!$B$66),0),0)</f>
        <v>0</v>
      </c>
      <c r="E37" s="94" t="n">
        <f aca="false">IFERROR(IF(4&gt;=ASSUMPTIONS!$C$64,ASSUMPTIONS!$D$64*(1+ASSUMPTIONS!$B$66),0),0)</f>
        <v>0</v>
      </c>
      <c r="F37" s="94" t="n">
        <f aca="false">IFERROR(IF(5&gt;=ASSUMPTIONS!$C$64,ASSUMPTIONS!$D$64*(1+ASSUMPTIONS!$B$66),0),0)</f>
        <v>0</v>
      </c>
      <c r="G37" s="94" t="n">
        <f aca="false">IFERROR(IF(6&gt;=ASSUMPTIONS!$C$64,ASSUMPTIONS!$D$64*(1+ASSUMPTIONS!$B$66),0),0)</f>
        <v>0</v>
      </c>
      <c r="H37" s="94" t="n">
        <f aca="false">IFERROR(IF(7&gt;=ASSUMPTIONS!$C$64,ASSUMPTIONS!$D$64*(1+ASSUMPTIONS!$B$66),0),0)</f>
        <v>0</v>
      </c>
      <c r="I37" s="94" t="n">
        <f aca="false">IFERROR(IF(8&gt;=ASSUMPTIONS!$C$64,ASSUMPTIONS!$D$64*(1+ASSUMPTIONS!$B$66),0),0)</f>
        <v>0</v>
      </c>
      <c r="J37" s="94" t="n">
        <f aca="false">IFERROR(IF(9&gt;=ASSUMPTIONS!$C$64,ASSUMPTIONS!$D$64*(1+ASSUMPTIONS!$B$66),0),0)</f>
        <v>0</v>
      </c>
      <c r="K37" s="94" t="n">
        <f aca="false">IFERROR(IF(10&gt;=ASSUMPTIONS!$C$64,ASSUMPTIONS!$D$64*(1+ASSUMPTIONS!$B$66),0),0)</f>
        <v>0</v>
      </c>
      <c r="L37" s="94" t="n">
        <f aca="false">IFERROR(IF(11&gt;=ASSUMPTIONS!$C$64,ASSUMPTIONS!$D$64*(1+ASSUMPTIONS!$B$66),0),0)</f>
        <v>0</v>
      </c>
      <c r="M37" s="94" t="n">
        <f aca="false">IFERROR(IF(12&gt;=ASSUMPTIONS!$C$64,ASSUMPTIONS!$D$64*(1+ASSUMPTIONS!$B$66),0),0)</f>
        <v>3983</v>
      </c>
      <c r="N37" s="95" t="n">
        <f aca="false">SUM(B37:M37)</f>
        <v>3983</v>
      </c>
      <c r="O37" s="94" t="n">
        <f aca="false">IFERROR(IF(13&gt;=ASSUMPTIONS!$C$64,ASSUMPTIONS!$D$64*(1+ASSUMPTIONS!$B$66),0),0)</f>
        <v>3983</v>
      </c>
      <c r="P37" s="94" t="n">
        <f aca="false">IFERROR(IF(14&gt;=ASSUMPTIONS!$C$64,ASSUMPTIONS!$D$64*(1+ASSUMPTIONS!$B$66),0),0)</f>
        <v>3983</v>
      </c>
      <c r="Q37" s="94" t="n">
        <f aca="false">IFERROR(IF(15&gt;=ASSUMPTIONS!$C$64,ASSUMPTIONS!$D$64*(1+ASSUMPTIONS!$B$66),0),0)</f>
        <v>3983</v>
      </c>
      <c r="R37" s="94" t="n">
        <f aca="false">IFERROR(IF(16&gt;=ASSUMPTIONS!$C$64,ASSUMPTIONS!$D$64*(1+ASSUMPTIONS!$B$66),0),0)</f>
        <v>3983</v>
      </c>
      <c r="S37" s="94" t="n">
        <f aca="false">IFERROR(IF(17&gt;=ASSUMPTIONS!$C$64,ASSUMPTIONS!$D$64*(1+ASSUMPTIONS!$B$66),0),0)</f>
        <v>3983</v>
      </c>
      <c r="T37" s="94" t="n">
        <f aca="false">IFERROR(IF(18&gt;=ASSUMPTIONS!$C$64,ASSUMPTIONS!$D$64*(1+ASSUMPTIONS!$B$66),0),0)</f>
        <v>3983</v>
      </c>
      <c r="U37" s="94" t="n">
        <f aca="false">IFERROR(IF(19&gt;=ASSUMPTIONS!$C$64,ASSUMPTIONS!$D$64*(1+ASSUMPTIONS!$B$66),0),0)</f>
        <v>3983</v>
      </c>
      <c r="V37" s="94" t="n">
        <f aca="false">IFERROR(IF(20&gt;=ASSUMPTIONS!$C$64,ASSUMPTIONS!$D$64*(1+ASSUMPTIONS!$B$66),0),0)</f>
        <v>3983</v>
      </c>
      <c r="W37" s="94" t="n">
        <f aca="false">IFERROR(IF(21&gt;=ASSUMPTIONS!$C$64,ASSUMPTIONS!$D$64*(1+ASSUMPTIONS!$B$66),0),0)</f>
        <v>3983</v>
      </c>
      <c r="X37" s="94" t="n">
        <f aca="false">IFERROR(IF(22&gt;=ASSUMPTIONS!$C$64,ASSUMPTIONS!$D$64*(1+ASSUMPTIONS!$B$66),0),0)</f>
        <v>3983</v>
      </c>
      <c r="Y37" s="94" t="n">
        <f aca="false">IFERROR(IF(23&gt;=ASSUMPTIONS!$C$64,ASSUMPTIONS!$D$64*(1+ASSUMPTIONS!$B$66),0),0)</f>
        <v>3983</v>
      </c>
      <c r="Z37" s="94" t="n">
        <f aca="false">IFERROR(IF(24&gt;=ASSUMPTIONS!$C$64,ASSUMPTIONS!$D$64*(1+ASSUMPTIONS!$B$66),0),0)</f>
        <v>3983</v>
      </c>
      <c r="AA37" s="95" t="n">
        <f aca="false">SUM(O37:Z37)</f>
        <v>47796</v>
      </c>
      <c r="AB37" s="94" t="n">
        <f aca="false">IFERROR(IF(25&gt;=ASSUMPTIONS!$C$64,ASSUMPTIONS!$D$64*(1+ASSUMPTIONS!$B$66),0),0)</f>
        <v>3983</v>
      </c>
      <c r="AC37" s="94" t="n">
        <f aca="false">IFERROR(IF(26&gt;=ASSUMPTIONS!$C$64,ASSUMPTIONS!$D$64*(1+ASSUMPTIONS!$B$66),0),0)</f>
        <v>3983</v>
      </c>
      <c r="AD37" s="94" t="n">
        <f aca="false">IFERROR(IF(27&gt;=ASSUMPTIONS!$C$64,ASSUMPTIONS!$D$64*(1+ASSUMPTIONS!$B$66),0),0)</f>
        <v>3983</v>
      </c>
      <c r="AE37" s="94" t="n">
        <f aca="false">IFERROR(IF(28&gt;=ASSUMPTIONS!$C$64,ASSUMPTIONS!$D$64*(1+ASSUMPTIONS!$B$66),0),0)</f>
        <v>3983</v>
      </c>
      <c r="AF37" s="94" t="n">
        <f aca="false">IFERROR(IF(29&gt;=ASSUMPTIONS!$C$64,ASSUMPTIONS!$D$64*(1+ASSUMPTIONS!$B$66),0),0)</f>
        <v>3983</v>
      </c>
      <c r="AG37" s="94" t="n">
        <f aca="false">IFERROR(IF(30&gt;=ASSUMPTIONS!$C$64,ASSUMPTIONS!$D$64*(1+ASSUMPTIONS!$B$66),0),0)</f>
        <v>3983</v>
      </c>
      <c r="AH37" s="94" t="n">
        <f aca="false">IFERROR(IF(31&gt;=ASSUMPTIONS!$C$64,ASSUMPTIONS!$D$64*(1+ASSUMPTIONS!$B$66),0),0)</f>
        <v>3983</v>
      </c>
      <c r="AI37" s="94" t="n">
        <f aca="false">IFERROR(IF(32&gt;=ASSUMPTIONS!$C$64,ASSUMPTIONS!$D$64*(1+ASSUMPTIONS!$B$66),0),0)</f>
        <v>3983</v>
      </c>
      <c r="AJ37" s="94" t="n">
        <f aca="false">IFERROR(IF(33&gt;=ASSUMPTIONS!$C$64,ASSUMPTIONS!$D$64*(1+ASSUMPTIONS!$B$66),0),0)</f>
        <v>3983</v>
      </c>
      <c r="AK37" s="94" t="n">
        <f aca="false">IFERROR(IF(34&gt;=ASSUMPTIONS!$C$64,ASSUMPTIONS!$D$64*(1+ASSUMPTIONS!$B$66),0),0)</f>
        <v>3983</v>
      </c>
      <c r="AL37" s="94" t="n">
        <f aca="false">IFERROR(IF(35&gt;=ASSUMPTIONS!$C$64,ASSUMPTIONS!$D$64*(1+ASSUMPTIONS!$B$66),0),0)</f>
        <v>3983</v>
      </c>
      <c r="AM37" s="94" t="n">
        <f aca="false">IFERROR(IF(36&gt;=ASSUMPTIONS!$C$64,ASSUMPTIONS!$D$64*(1+ASSUMPTIONS!$B$66),0),0)</f>
        <v>3983</v>
      </c>
      <c r="AN37" s="95" t="n">
        <f aca="false">SUM(AB37:AM37)</f>
        <v>47796</v>
      </c>
      <c r="AO37" s="94" t="n">
        <f aca="false">IFERROR(IF(37&gt;=ASSUMPTIONS!$C$64,ASSUMPTIONS!$D$64*(1+ASSUMPTIONS!$B$66),0),0)</f>
        <v>3983</v>
      </c>
      <c r="AP37" s="94" t="n">
        <f aca="false">IFERROR(IF(38&gt;=ASSUMPTIONS!$C$64,ASSUMPTIONS!$D$64*(1+ASSUMPTIONS!$B$66),0),0)</f>
        <v>3983</v>
      </c>
      <c r="AQ37" s="94" t="n">
        <f aca="false">IFERROR(IF(39&gt;=ASSUMPTIONS!$C$64,ASSUMPTIONS!$D$64*(1+ASSUMPTIONS!$B$66),0),0)</f>
        <v>3983</v>
      </c>
      <c r="AR37" s="94" t="n">
        <f aca="false">IFERROR(IF(40&gt;=ASSUMPTIONS!$C$64,ASSUMPTIONS!$D$64*(1+ASSUMPTIONS!$B$66),0),0)</f>
        <v>3983</v>
      </c>
      <c r="AS37" s="94" t="n">
        <f aca="false">IFERROR(IF(41&gt;=ASSUMPTIONS!$C$64,ASSUMPTIONS!$D$64*(1+ASSUMPTIONS!$B$66),0),0)</f>
        <v>3983</v>
      </c>
      <c r="AT37" s="94" t="n">
        <f aca="false">IFERROR(IF(42&gt;=ASSUMPTIONS!$C$64,ASSUMPTIONS!$D$64*(1+ASSUMPTIONS!$B$66),0),0)</f>
        <v>3983</v>
      </c>
      <c r="AU37" s="94" t="n">
        <f aca="false">IFERROR(IF(43&gt;=ASSUMPTIONS!$C$64,ASSUMPTIONS!$D$64*(1+ASSUMPTIONS!$B$66),0),0)</f>
        <v>3983</v>
      </c>
      <c r="AV37" s="94" t="n">
        <f aca="false">IFERROR(IF(44&gt;=ASSUMPTIONS!$C$64,ASSUMPTIONS!$D$64*(1+ASSUMPTIONS!$B$66),0),0)</f>
        <v>3983</v>
      </c>
      <c r="AW37" s="94" t="n">
        <f aca="false">IFERROR(IF(45&gt;=ASSUMPTIONS!$C$64,ASSUMPTIONS!$D$64*(1+ASSUMPTIONS!$B$66),0),0)</f>
        <v>3983</v>
      </c>
      <c r="AX37" s="94" t="n">
        <f aca="false">IFERROR(IF(46&gt;=ASSUMPTIONS!$C$64,ASSUMPTIONS!$D$64*(1+ASSUMPTIONS!$B$66),0),0)</f>
        <v>3983</v>
      </c>
      <c r="AY37" s="94" t="n">
        <f aca="false">IFERROR(IF(47&gt;=ASSUMPTIONS!$C$64,ASSUMPTIONS!$D$64*(1+ASSUMPTIONS!$B$66),0),0)</f>
        <v>3983</v>
      </c>
      <c r="AZ37" s="94" t="n">
        <f aca="false">IFERROR(IF(48&gt;=ASSUMPTIONS!$C$64,ASSUMPTIONS!$D$64*(1+ASSUMPTIONS!$B$66),0),0)</f>
        <v>3983</v>
      </c>
      <c r="BA37" s="71" t="n">
        <f aca="false">SUM(AO37:AZ37)</f>
        <v>47796</v>
      </c>
      <c r="BB37" s="94" t="n">
        <f aca="false">IFERROR(IF(49&gt;=ASSUMPTIONS!$C$64,ASSUMPTIONS!$D$64*(1+ASSUMPTIONS!$B$66),0),0)</f>
        <v>3983</v>
      </c>
      <c r="BC37" s="94" t="n">
        <f aca="false">IFERROR(IF(50&gt;=ASSUMPTIONS!$C$64,ASSUMPTIONS!$D$64*(1+ASSUMPTIONS!$B$66),0),0)</f>
        <v>3983</v>
      </c>
      <c r="BD37" s="94" t="n">
        <f aca="false">IFERROR(IF(51&gt;=ASSUMPTIONS!$C$64,ASSUMPTIONS!$D$64*(1+ASSUMPTIONS!$B$66),0),0)</f>
        <v>3983</v>
      </c>
      <c r="BE37" s="94" t="n">
        <f aca="false">IFERROR(IF(52&gt;=ASSUMPTIONS!$C$64,ASSUMPTIONS!$D$64*(1+ASSUMPTIONS!$B$66),0),0)</f>
        <v>3983</v>
      </c>
      <c r="BF37" s="94" t="n">
        <f aca="false">IFERROR(IF(53&gt;=ASSUMPTIONS!$C$64,ASSUMPTIONS!$D$64*(1+ASSUMPTIONS!$B$66),0),0)</f>
        <v>3983</v>
      </c>
      <c r="BG37" s="94" t="n">
        <f aca="false">IFERROR(IF(54&gt;=ASSUMPTIONS!$C$64,ASSUMPTIONS!$D$64*(1+ASSUMPTIONS!$B$66),0),0)</f>
        <v>3983</v>
      </c>
      <c r="BH37" s="94" t="n">
        <f aca="false">IFERROR(IF(55&gt;=ASSUMPTIONS!$C$64,ASSUMPTIONS!$D$64*(1+ASSUMPTIONS!$B$66),0),0)</f>
        <v>3983</v>
      </c>
      <c r="BI37" s="94" t="n">
        <f aca="false">IFERROR(IF(56&gt;=ASSUMPTIONS!$C$64,ASSUMPTIONS!$D$64*(1+ASSUMPTIONS!$B$66),0),0)</f>
        <v>3983</v>
      </c>
      <c r="BJ37" s="94" t="n">
        <f aca="false">IFERROR(IF(57&gt;=ASSUMPTIONS!$C$64,ASSUMPTIONS!$D$64*(1+ASSUMPTIONS!$B$66),0),0)</f>
        <v>3983</v>
      </c>
      <c r="BK37" s="94" t="n">
        <f aca="false">IFERROR(IF(58&gt;=ASSUMPTIONS!$C$64,ASSUMPTIONS!$D$64*(1+ASSUMPTIONS!$B$66),0),0)</f>
        <v>3983</v>
      </c>
      <c r="BL37" s="94" t="n">
        <f aca="false">IFERROR(IF(59&gt;=ASSUMPTIONS!$C$64,ASSUMPTIONS!$D$64*(1+ASSUMPTIONS!$B$66),0),0)</f>
        <v>3983</v>
      </c>
      <c r="BM37" s="94" t="n">
        <f aca="false">IFERROR(IF(60&gt;=ASSUMPTIONS!$C$64,ASSUMPTIONS!$D$64*(1+ASSUMPTIONS!$B$66),0),0)</f>
        <v>3983</v>
      </c>
      <c r="BN37" s="71" t="n">
        <f aca="false">SUM(BB37:BM37)</f>
        <v>47796</v>
      </c>
    </row>
    <row r="38" customFormat="false" ht="19.5" hidden="false" customHeight="true" outlineLevel="0" collapsed="false">
      <c r="A38" s="96" t="s">
        <v>234</v>
      </c>
      <c r="B38" s="76" t="n">
        <f aca="false">SUM(B35:B37)</f>
        <v>0</v>
      </c>
      <c r="C38" s="76" t="n">
        <f aca="false">SUM(C35:C37)</f>
        <v>0</v>
      </c>
      <c r="D38" s="76" t="n">
        <f aca="false">SUM(D35:D37)</f>
        <v>6828</v>
      </c>
      <c r="E38" s="76" t="n">
        <f aca="false">SUM(E35:E37)</f>
        <v>6828</v>
      </c>
      <c r="F38" s="76" t="n">
        <f aca="false">SUM(F35:F37)</f>
        <v>6828</v>
      </c>
      <c r="G38" s="76" t="n">
        <f aca="false">SUM(G35:G37)</f>
        <v>6828</v>
      </c>
      <c r="H38" s="76" t="n">
        <f aca="false">SUM(H35:H37)</f>
        <v>6828</v>
      </c>
      <c r="I38" s="76" t="n">
        <f aca="false">SUM(I35:I37)</f>
        <v>6828</v>
      </c>
      <c r="J38" s="76" t="n">
        <f aca="false">SUM(J35:J37)</f>
        <v>11949</v>
      </c>
      <c r="K38" s="76" t="n">
        <f aca="false">SUM(K35:K37)</f>
        <v>11949</v>
      </c>
      <c r="L38" s="76" t="n">
        <f aca="false">SUM(L35:L37)</f>
        <v>11949</v>
      </c>
      <c r="M38" s="76" t="n">
        <f aca="false">SUM(M35:M37)</f>
        <v>15932</v>
      </c>
      <c r="N38" s="76" t="n">
        <f aca="false">SUM(B38:M38)</f>
        <v>92747</v>
      </c>
      <c r="O38" s="76" t="n">
        <f aca="false">SUM(O35:O37)</f>
        <v>15932</v>
      </c>
      <c r="P38" s="76" t="n">
        <f aca="false">SUM(P35:P37)</f>
        <v>15932</v>
      </c>
      <c r="Q38" s="76" t="n">
        <f aca="false">SUM(Q35:Q37)</f>
        <v>15932</v>
      </c>
      <c r="R38" s="76" t="n">
        <f aca="false">SUM(R35:R37)</f>
        <v>15932</v>
      </c>
      <c r="S38" s="76" t="n">
        <f aca="false">SUM(S35:S37)</f>
        <v>15932</v>
      </c>
      <c r="T38" s="76" t="n">
        <f aca="false">SUM(T35:T37)</f>
        <v>15932</v>
      </c>
      <c r="U38" s="76" t="n">
        <f aca="false">SUM(U35:U37)</f>
        <v>15932</v>
      </c>
      <c r="V38" s="76" t="n">
        <f aca="false">SUM(V35:V37)</f>
        <v>15932</v>
      </c>
      <c r="W38" s="76" t="n">
        <f aca="false">SUM(W35:W37)</f>
        <v>15932</v>
      </c>
      <c r="X38" s="76" t="n">
        <f aca="false">SUM(X35:X37)</f>
        <v>15932</v>
      </c>
      <c r="Y38" s="76" t="n">
        <f aca="false">SUM(Y35:Y37)</f>
        <v>15932</v>
      </c>
      <c r="Z38" s="76" t="n">
        <f aca="false">SUM(Z35:Z37)</f>
        <v>15932</v>
      </c>
      <c r="AA38" s="76" t="n">
        <f aca="false">SUM(O38:Z38)</f>
        <v>191184</v>
      </c>
      <c r="AB38" s="76" t="n">
        <f aca="false">SUM(AB35:AB37)</f>
        <v>15932</v>
      </c>
      <c r="AC38" s="76" t="n">
        <f aca="false">SUM(AC35:AC37)</f>
        <v>15932</v>
      </c>
      <c r="AD38" s="76" t="n">
        <f aca="false">SUM(AD35:AD37)</f>
        <v>15932</v>
      </c>
      <c r="AE38" s="76" t="n">
        <f aca="false">SUM(AE35:AE37)</f>
        <v>15932</v>
      </c>
      <c r="AF38" s="76" t="n">
        <f aca="false">SUM(AF35:AF37)</f>
        <v>15932</v>
      </c>
      <c r="AG38" s="76" t="n">
        <f aca="false">SUM(AG35:AG37)</f>
        <v>15932</v>
      </c>
      <c r="AH38" s="76" t="n">
        <f aca="false">SUM(AH35:AH37)</f>
        <v>15932</v>
      </c>
      <c r="AI38" s="76" t="n">
        <f aca="false">SUM(AI35:AI37)</f>
        <v>15932</v>
      </c>
      <c r="AJ38" s="76" t="n">
        <f aca="false">SUM(AJ35:AJ37)</f>
        <v>15932</v>
      </c>
      <c r="AK38" s="76" t="n">
        <f aca="false">SUM(AK35:AK37)</f>
        <v>15932</v>
      </c>
      <c r="AL38" s="76" t="n">
        <f aca="false">SUM(AL35:AL37)</f>
        <v>15932</v>
      </c>
      <c r="AM38" s="76" t="n">
        <f aca="false">SUM(AM35:AM37)</f>
        <v>15932</v>
      </c>
      <c r="AN38" s="76" t="n">
        <f aca="false">SUM(AB38:AM38)</f>
        <v>191184</v>
      </c>
      <c r="AO38" s="76" t="n">
        <f aca="false">SUM(AO35:AO37)</f>
        <v>15932</v>
      </c>
      <c r="AP38" s="76" t="n">
        <f aca="false">SUM(AP35:AP37)</f>
        <v>15932</v>
      </c>
      <c r="AQ38" s="76" t="n">
        <f aca="false">SUM(AQ35:AQ37)</f>
        <v>15932</v>
      </c>
      <c r="AR38" s="76" t="n">
        <f aca="false">SUM(AR35:AR37)</f>
        <v>15932</v>
      </c>
      <c r="AS38" s="76" t="n">
        <f aca="false">SUM(AS35:AS37)</f>
        <v>15932</v>
      </c>
      <c r="AT38" s="76" t="n">
        <f aca="false">SUM(AT35:AT37)</f>
        <v>15932</v>
      </c>
      <c r="AU38" s="76" t="n">
        <f aca="false">SUM(AU35:AU37)</f>
        <v>15932</v>
      </c>
      <c r="AV38" s="76" t="n">
        <f aca="false">SUM(AV35:AV37)</f>
        <v>15932</v>
      </c>
      <c r="AW38" s="76" t="n">
        <f aca="false">SUM(AW35:AW37)</f>
        <v>15932</v>
      </c>
      <c r="AX38" s="76" t="n">
        <f aca="false">SUM(AX35:AX37)</f>
        <v>15932</v>
      </c>
      <c r="AY38" s="76" t="n">
        <f aca="false">SUM(AY35:AY37)</f>
        <v>15932</v>
      </c>
      <c r="AZ38" s="76" t="n">
        <f aca="false">SUM(AZ35:AZ37)</f>
        <v>15932</v>
      </c>
      <c r="BA38" s="77" t="n">
        <f aca="false">SUM(AO38:AZ38)</f>
        <v>191184</v>
      </c>
      <c r="BB38" s="76" t="n">
        <f aca="false">SUM(BB35:BB37)</f>
        <v>15932</v>
      </c>
      <c r="BC38" s="76" t="n">
        <f aca="false">SUM(BC35:BC37)</f>
        <v>15932</v>
      </c>
      <c r="BD38" s="76" t="n">
        <f aca="false">SUM(BD35:BD37)</f>
        <v>15932</v>
      </c>
      <c r="BE38" s="76" t="n">
        <f aca="false">SUM(BE35:BE37)</f>
        <v>15932</v>
      </c>
      <c r="BF38" s="76" t="n">
        <f aca="false">SUM(BF35:BF37)</f>
        <v>15932</v>
      </c>
      <c r="BG38" s="76" t="n">
        <f aca="false">SUM(BG35:BG37)</f>
        <v>15932</v>
      </c>
      <c r="BH38" s="76" t="n">
        <f aca="false">SUM(BH35:BH37)</f>
        <v>15932</v>
      </c>
      <c r="BI38" s="76" t="n">
        <f aca="false">SUM(BI35:BI37)</f>
        <v>15932</v>
      </c>
      <c r="BJ38" s="76" t="n">
        <f aca="false">SUM(BJ35:BJ37)</f>
        <v>15932</v>
      </c>
      <c r="BK38" s="76" t="n">
        <f aca="false">SUM(BK35:BK37)</f>
        <v>15932</v>
      </c>
      <c r="BL38" s="76" t="n">
        <f aca="false">SUM(BL35:BL37)</f>
        <v>15932</v>
      </c>
      <c r="BM38" s="76" t="n">
        <f aca="false">SUM(BM35:BM37)</f>
        <v>15932</v>
      </c>
      <c r="BN38" s="77" t="n">
        <f aca="false">SUM(BB38:BM38)</f>
        <v>191184</v>
      </c>
    </row>
    <row r="39" customFormat="false" ht="6" hidden="false" customHeight="true" outlineLevel="0" collapsed="false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9"/>
      <c r="BB39" s="78"/>
      <c r="BC39" s="78"/>
      <c r="BD39" s="78"/>
      <c r="BE39" s="78"/>
      <c r="BF39" s="78"/>
      <c r="BG39" s="78"/>
      <c r="BH39" s="78"/>
      <c r="BI39" s="78"/>
      <c r="BJ39" s="78"/>
      <c r="BK39" s="78"/>
      <c r="BL39" s="78"/>
      <c r="BM39" s="78"/>
      <c r="BN39" s="79"/>
    </row>
    <row r="40" customFormat="false" ht="19.5" hidden="false" customHeight="true" outlineLevel="0" collapsed="false">
      <c r="A40" s="80" t="s">
        <v>129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/>
      <c r="AO40" s="80"/>
      <c r="AP40" s="80"/>
      <c r="AQ40" s="80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80"/>
      <c r="BC40" s="80"/>
      <c r="BD40" s="80"/>
      <c r="BE40" s="80"/>
      <c r="BF40" s="80"/>
      <c r="BG40" s="80"/>
      <c r="BH40" s="80"/>
      <c r="BI40" s="80"/>
      <c r="BJ40" s="80"/>
      <c r="BK40" s="80"/>
      <c r="BL40" s="80"/>
      <c r="BM40" s="80"/>
      <c r="BN40" s="80"/>
    </row>
    <row r="41" customFormat="false" ht="19.5" hidden="false" customHeight="true" outlineLevel="0" collapsed="false">
      <c r="A41" s="100" t="str">
        <f aca="false">IFERROR(ASSUMPTIONS!B65,"(empty)")</f>
        <v>G&amp;A</v>
      </c>
      <c r="B41" s="94" t="n">
        <f aca="false">IFERROR(IF(1&gt;=ASSUMPTIONS!$C$65,ASSUMPTIONS!$D$65*(1+ASSUMPTIONS!$B$66),0),0)</f>
        <v>9104</v>
      </c>
      <c r="C41" s="94" t="n">
        <f aca="false">IFERROR(IF(2&gt;=ASSUMPTIONS!$C$65,ASSUMPTIONS!$D$65*(1+ASSUMPTIONS!$B$66),0),0)</f>
        <v>9104</v>
      </c>
      <c r="D41" s="94" t="n">
        <f aca="false">IFERROR(IF(3&gt;=ASSUMPTIONS!$C$65,ASSUMPTIONS!$D$65*(1+ASSUMPTIONS!$B$66),0),0)</f>
        <v>9104</v>
      </c>
      <c r="E41" s="94" t="n">
        <f aca="false">IFERROR(IF(4&gt;=ASSUMPTIONS!$C$65,ASSUMPTIONS!$D$65*(1+ASSUMPTIONS!$B$66),0),0)</f>
        <v>9104</v>
      </c>
      <c r="F41" s="94" t="n">
        <f aca="false">IFERROR(IF(5&gt;=ASSUMPTIONS!$C$65,ASSUMPTIONS!$D$65*(1+ASSUMPTIONS!$B$66),0),0)</f>
        <v>9104</v>
      </c>
      <c r="G41" s="94" t="n">
        <f aca="false">IFERROR(IF(6&gt;=ASSUMPTIONS!$C$65,ASSUMPTIONS!$D$65*(1+ASSUMPTIONS!$B$66),0),0)</f>
        <v>9104</v>
      </c>
      <c r="H41" s="94" t="n">
        <f aca="false">IFERROR(IF(7&gt;=ASSUMPTIONS!$C$65,ASSUMPTIONS!$D$65*(1+ASSUMPTIONS!$B$66),0),0)</f>
        <v>9104</v>
      </c>
      <c r="I41" s="94" t="n">
        <f aca="false">IFERROR(IF(8&gt;=ASSUMPTIONS!$C$65,ASSUMPTIONS!$D$65*(1+ASSUMPTIONS!$B$66),0),0)</f>
        <v>9104</v>
      </c>
      <c r="J41" s="94" t="n">
        <f aca="false">IFERROR(IF(9&gt;=ASSUMPTIONS!$C$65,ASSUMPTIONS!$D$65*(1+ASSUMPTIONS!$B$66),0),0)</f>
        <v>9104</v>
      </c>
      <c r="K41" s="94" t="n">
        <f aca="false">IFERROR(IF(10&gt;=ASSUMPTIONS!$C$65,ASSUMPTIONS!$D$65*(1+ASSUMPTIONS!$B$66),0),0)</f>
        <v>9104</v>
      </c>
      <c r="L41" s="94" t="n">
        <f aca="false">IFERROR(IF(11&gt;=ASSUMPTIONS!$C$65,ASSUMPTIONS!$D$65*(1+ASSUMPTIONS!$B$66),0),0)</f>
        <v>9104</v>
      </c>
      <c r="M41" s="94" t="n">
        <f aca="false">IFERROR(IF(12&gt;=ASSUMPTIONS!$C$65,ASSUMPTIONS!$D$65*(1+ASSUMPTIONS!$B$66),0),0)</f>
        <v>9104</v>
      </c>
      <c r="N41" s="95" t="n">
        <f aca="false">SUM(B41:M41)</f>
        <v>109248</v>
      </c>
      <c r="O41" s="94" t="n">
        <f aca="false">IFERROR(IF(13&gt;=ASSUMPTIONS!$C$65,ASSUMPTIONS!$D$65*(1+ASSUMPTIONS!$B$66),0),0)</f>
        <v>9104</v>
      </c>
      <c r="P41" s="94" t="n">
        <f aca="false">IFERROR(IF(14&gt;=ASSUMPTIONS!$C$65,ASSUMPTIONS!$D$65*(1+ASSUMPTIONS!$B$66),0),0)</f>
        <v>9104</v>
      </c>
      <c r="Q41" s="94" t="n">
        <f aca="false">IFERROR(IF(15&gt;=ASSUMPTIONS!$C$65,ASSUMPTIONS!$D$65*(1+ASSUMPTIONS!$B$66),0),0)</f>
        <v>9104</v>
      </c>
      <c r="R41" s="94" t="n">
        <f aca="false">IFERROR(IF(16&gt;=ASSUMPTIONS!$C$65,ASSUMPTIONS!$D$65*(1+ASSUMPTIONS!$B$66),0),0)</f>
        <v>9104</v>
      </c>
      <c r="S41" s="94" t="n">
        <f aca="false">IFERROR(IF(17&gt;=ASSUMPTIONS!$C$65,ASSUMPTIONS!$D$65*(1+ASSUMPTIONS!$B$66),0),0)</f>
        <v>9104</v>
      </c>
      <c r="T41" s="94" t="n">
        <f aca="false">IFERROR(IF(18&gt;=ASSUMPTIONS!$C$65,ASSUMPTIONS!$D$65*(1+ASSUMPTIONS!$B$66),0),0)</f>
        <v>9104</v>
      </c>
      <c r="U41" s="94" t="n">
        <f aca="false">IFERROR(IF(19&gt;=ASSUMPTIONS!$C$65,ASSUMPTIONS!$D$65*(1+ASSUMPTIONS!$B$66),0),0)</f>
        <v>9104</v>
      </c>
      <c r="V41" s="94" t="n">
        <f aca="false">IFERROR(IF(20&gt;=ASSUMPTIONS!$C$65,ASSUMPTIONS!$D$65*(1+ASSUMPTIONS!$B$66),0),0)</f>
        <v>9104</v>
      </c>
      <c r="W41" s="94" t="n">
        <f aca="false">IFERROR(IF(21&gt;=ASSUMPTIONS!$C$65,ASSUMPTIONS!$D$65*(1+ASSUMPTIONS!$B$66),0),0)</f>
        <v>9104</v>
      </c>
      <c r="X41" s="94" t="n">
        <f aca="false">IFERROR(IF(22&gt;=ASSUMPTIONS!$C$65,ASSUMPTIONS!$D$65*(1+ASSUMPTIONS!$B$66),0),0)</f>
        <v>9104</v>
      </c>
      <c r="Y41" s="94" t="n">
        <f aca="false">IFERROR(IF(23&gt;=ASSUMPTIONS!$C$65,ASSUMPTIONS!$D$65*(1+ASSUMPTIONS!$B$66),0),0)</f>
        <v>9104</v>
      </c>
      <c r="Z41" s="94" t="n">
        <f aca="false">IFERROR(IF(24&gt;=ASSUMPTIONS!$C$65,ASSUMPTIONS!$D$65*(1+ASSUMPTIONS!$B$66),0),0)</f>
        <v>9104</v>
      </c>
      <c r="AA41" s="95" t="n">
        <f aca="false">SUM(O41:Z41)</f>
        <v>109248</v>
      </c>
      <c r="AB41" s="94" t="n">
        <f aca="false">IFERROR(IF(25&gt;=ASSUMPTIONS!$C$65,ASSUMPTIONS!$D$65*(1+ASSUMPTIONS!$B$66),0),0)</f>
        <v>9104</v>
      </c>
      <c r="AC41" s="94" t="n">
        <f aca="false">IFERROR(IF(26&gt;=ASSUMPTIONS!$C$65,ASSUMPTIONS!$D$65*(1+ASSUMPTIONS!$B$66),0),0)</f>
        <v>9104</v>
      </c>
      <c r="AD41" s="94" t="n">
        <f aca="false">IFERROR(IF(27&gt;=ASSUMPTIONS!$C$65,ASSUMPTIONS!$D$65*(1+ASSUMPTIONS!$B$66),0),0)</f>
        <v>9104</v>
      </c>
      <c r="AE41" s="94" t="n">
        <f aca="false">IFERROR(IF(28&gt;=ASSUMPTIONS!$C$65,ASSUMPTIONS!$D$65*(1+ASSUMPTIONS!$B$66),0),0)</f>
        <v>9104</v>
      </c>
      <c r="AF41" s="94" t="n">
        <f aca="false">IFERROR(IF(29&gt;=ASSUMPTIONS!$C$65,ASSUMPTIONS!$D$65*(1+ASSUMPTIONS!$B$66),0),0)</f>
        <v>9104</v>
      </c>
      <c r="AG41" s="94" t="n">
        <f aca="false">IFERROR(IF(30&gt;=ASSUMPTIONS!$C$65,ASSUMPTIONS!$D$65*(1+ASSUMPTIONS!$B$66),0),0)</f>
        <v>9104</v>
      </c>
      <c r="AH41" s="94" t="n">
        <f aca="false">IFERROR(IF(31&gt;=ASSUMPTIONS!$C$65,ASSUMPTIONS!$D$65*(1+ASSUMPTIONS!$B$66),0),0)</f>
        <v>9104</v>
      </c>
      <c r="AI41" s="94" t="n">
        <f aca="false">IFERROR(IF(32&gt;=ASSUMPTIONS!$C$65,ASSUMPTIONS!$D$65*(1+ASSUMPTIONS!$B$66),0),0)</f>
        <v>9104</v>
      </c>
      <c r="AJ41" s="94" t="n">
        <f aca="false">IFERROR(IF(33&gt;=ASSUMPTIONS!$C$65,ASSUMPTIONS!$D$65*(1+ASSUMPTIONS!$B$66),0),0)</f>
        <v>9104</v>
      </c>
      <c r="AK41" s="94" t="n">
        <f aca="false">IFERROR(IF(34&gt;=ASSUMPTIONS!$C$65,ASSUMPTIONS!$D$65*(1+ASSUMPTIONS!$B$66),0),0)</f>
        <v>9104</v>
      </c>
      <c r="AL41" s="94" t="n">
        <f aca="false">IFERROR(IF(35&gt;=ASSUMPTIONS!$C$65,ASSUMPTIONS!$D$65*(1+ASSUMPTIONS!$B$66),0),0)</f>
        <v>9104</v>
      </c>
      <c r="AM41" s="94" t="n">
        <f aca="false">IFERROR(IF(36&gt;=ASSUMPTIONS!$C$65,ASSUMPTIONS!$D$65*(1+ASSUMPTIONS!$B$66),0),0)</f>
        <v>9104</v>
      </c>
      <c r="AN41" s="95" t="n">
        <f aca="false">SUM(AB41:AM41)</f>
        <v>109248</v>
      </c>
      <c r="AO41" s="94" t="n">
        <f aca="false">IFERROR(IF(37&gt;=ASSUMPTIONS!$C$65,ASSUMPTIONS!$D$65*(1+ASSUMPTIONS!$B$66),0),0)</f>
        <v>9104</v>
      </c>
      <c r="AP41" s="94" t="n">
        <f aca="false">IFERROR(IF(38&gt;=ASSUMPTIONS!$C$65,ASSUMPTIONS!$D$65*(1+ASSUMPTIONS!$B$66),0),0)</f>
        <v>9104</v>
      </c>
      <c r="AQ41" s="94" t="n">
        <f aca="false">IFERROR(IF(39&gt;=ASSUMPTIONS!$C$65,ASSUMPTIONS!$D$65*(1+ASSUMPTIONS!$B$66),0),0)</f>
        <v>9104</v>
      </c>
      <c r="AR41" s="94" t="n">
        <f aca="false">IFERROR(IF(40&gt;=ASSUMPTIONS!$C$65,ASSUMPTIONS!$D$65*(1+ASSUMPTIONS!$B$66),0),0)</f>
        <v>9104</v>
      </c>
      <c r="AS41" s="94" t="n">
        <f aca="false">IFERROR(IF(41&gt;=ASSUMPTIONS!$C$65,ASSUMPTIONS!$D$65*(1+ASSUMPTIONS!$B$66),0),0)</f>
        <v>9104</v>
      </c>
      <c r="AT41" s="94" t="n">
        <f aca="false">IFERROR(IF(42&gt;=ASSUMPTIONS!$C$65,ASSUMPTIONS!$D$65*(1+ASSUMPTIONS!$B$66),0),0)</f>
        <v>9104</v>
      </c>
      <c r="AU41" s="94" t="n">
        <f aca="false">IFERROR(IF(43&gt;=ASSUMPTIONS!$C$65,ASSUMPTIONS!$D$65*(1+ASSUMPTIONS!$B$66),0),0)</f>
        <v>9104</v>
      </c>
      <c r="AV41" s="94" t="n">
        <f aca="false">IFERROR(IF(44&gt;=ASSUMPTIONS!$C$65,ASSUMPTIONS!$D$65*(1+ASSUMPTIONS!$B$66),0),0)</f>
        <v>9104</v>
      </c>
      <c r="AW41" s="94" t="n">
        <f aca="false">IFERROR(IF(45&gt;=ASSUMPTIONS!$C$65,ASSUMPTIONS!$D$65*(1+ASSUMPTIONS!$B$66),0),0)</f>
        <v>9104</v>
      </c>
      <c r="AX41" s="94" t="n">
        <f aca="false">IFERROR(IF(46&gt;=ASSUMPTIONS!$C$65,ASSUMPTIONS!$D$65*(1+ASSUMPTIONS!$B$66),0),0)</f>
        <v>9104</v>
      </c>
      <c r="AY41" s="94" t="n">
        <f aca="false">IFERROR(IF(47&gt;=ASSUMPTIONS!$C$65,ASSUMPTIONS!$D$65*(1+ASSUMPTIONS!$B$66),0),0)</f>
        <v>9104</v>
      </c>
      <c r="AZ41" s="94" t="n">
        <f aca="false">IFERROR(IF(48&gt;=ASSUMPTIONS!$C$65,ASSUMPTIONS!$D$65*(1+ASSUMPTIONS!$B$66),0),0)</f>
        <v>9104</v>
      </c>
      <c r="BA41" s="71" t="n">
        <f aca="false">SUM(AO41:AZ41)</f>
        <v>109248</v>
      </c>
      <c r="BB41" s="94" t="n">
        <f aca="false">IFERROR(IF(49&gt;=ASSUMPTIONS!$C$65,ASSUMPTIONS!$D$65*(1+ASSUMPTIONS!$B$66),0),0)</f>
        <v>9104</v>
      </c>
      <c r="BC41" s="94" t="n">
        <f aca="false">IFERROR(IF(50&gt;=ASSUMPTIONS!$C$65,ASSUMPTIONS!$D$65*(1+ASSUMPTIONS!$B$66),0),0)</f>
        <v>9104</v>
      </c>
      <c r="BD41" s="94" t="n">
        <f aca="false">IFERROR(IF(51&gt;=ASSUMPTIONS!$C$65,ASSUMPTIONS!$D$65*(1+ASSUMPTIONS!$B$66),0),0)</f>
        <v>9104</v>
      </c>
      <c r="BE41" s="94" t="n">
        <f aca="false">IFERROR(IF(52&gt;=ASSUMPTIONS!$C$65,ASSUMPTIONS!$D$65*(1+ASSUMPTIONS!$B$66),0),0)</f>
        <v>9104</v>
      </c>
      <c r="BF41" s="94" t="n">
        <f aca="false">IFERROR(IF(53&gt;=ASSUMPTIONS!$C$65,ASSUMPTIONS!$D$65*(1+ASSUMPTIONS!$B$66),0),0)</f>
        <v>9104</v>
      </c>
      <c r="BG41" s="94" t="n">
        <f aca="false">IFERROR(IF(54&gt;=ASSUMPTIONS!$C$65,ASSUMPTIONS!$D$65*(1+ASSUMPTIONS!$B$66),0),0)</f>
        <v>9104</v>
      </c>
      <c r="BH41" s="94" t="n">
        <f aca="false">IFERROR(IF(55&gt;=ASSUMPTIONS!$C$65,ASSUMPTIONS!$D$65*(1+ASSUMPTIONS!$B$66),0),0)</f>
        <v>9104</v>
      </c>
      <c r="BI41" s="94" t="n">
        <f aca="false">IFERROR(IF(56&gt;=ASSUMPTIONS!$C$65,ASSUMPTIONS!$D$65*(1+ASSUMPTIONS!$B$66),0),0)</f>
        <v>9104</v>
      </c>
      <c r="BJ41" s="94" t="n">
        <f aca="false">IFERROR(IF(57&gt;=ASSUMPTIONS!$C$65,ASSUMPTIONS!$D$65*(1+ASSUMPTIONS!$B$66),0),0)</f>
        <v>9104</v>
      </c>
      <c r="BK41" s="94" t="n">
        <f aca="false">IFERROR(IF(58&gt;=ASSUMPTIONS!$C$65,ASSUMPTIONS!$D$65*(1+ASSUMPTIONS!$B$66),0),0)</f>
        <v>9104</v>
      </c>
      <c r="BL41" s="94" t="n">
        <f aca="false">IFERROR(IF(59&gt;=ASSUMPTIONS!$C$65,ASSUMPTIONS!$D$65*(1+ASSUMPTIONS!$B$66),0),0)</f>
        <v>9104</v>
      </c>
      <c r="BM41" s="94" t="n">
        <f aca="false">IFERROR(IF(60&gt;=ASSUMPTIONS!$C$65,ASSUMPTIONS!$D$65*(1+ASSUMPTIONS!$B$66),0),0)</f>
        <v>9104</v>
      </c>
      <c r="BN41" s="71" t="n">
        <f aca="false">SUM(BB41:BM41)</f>
        <v>109248</v>
      </c>
    </row>
    <row r="42" customFormat="false" ht="19.5" hidden="false" customHeight="true" outlineLevel="0" collapsed="false">
      <c r="A42" s="100" t="n">
        <f aca="false">IFERROR(ASSUMPTIONS!B66,"(empty)")</f>
        <v>0.138</v>
      </c>
      <c r="B42" s="94" t="n">
        <f aca="false">IFERROR(IF(1&gt;=ASSUMPTIONS!$C$66,ASSUMPTIONS!$D$66*(1+ASSUMPTIONS!$B$66),0),0)</f>
        <v>0</v>
      </c>
      <c r="C42" s="94" t="n">
        <f aca="false">IFERROR(IF(2&gt;=ASSUMPTIONS!$C$66,ASSUMPTIONS!$D$66*(1+ASSUMPTIONS!$B$66),0),0)</f>
        <v>0</v>
      </c>
      <c r="D42" s="94" t="n">
        <f aca="false">IFERROR(IF(3&gt;=ASSUMPTIONS!$C$66,ASSUMPTIONS!$D$66*(1+ASSUMPTIONS!$B$66),0),0)</f>
        <v>0</v>
      </c>
      <c r="E42" s="94" t="n">
        <f aca="false">IFERROR(IF(4&gt;=ASSUMPTIONS!$C$66,ASSUMPTIONS!$D$66*(1+ASSUMPTIONS!$B$66),0),0)</f>
        <v>0</v>
      </c>
      <c r="F42" s="94" t="n">
        <f aca="false">IFERROR(IF(5&gt;=ASSUMPTIONS!$C$66,ASSUMPTIONS!$D$66*(1+ASSUMPTIONS!$B$66),0),0)</f>
        <v>0</v>
      </c>
      <c r="G42" s="94" t="n">
        <f aca="false">IFERROR(IF(6&gt;=ASSUMPTIONS!$C$66,ASSUMPTIONS!$D$66*(1+ASSUMPTIONS!$B$66),0),0)</f>
        <v>0</v>
      </c>
      <c r="H42" s="94" t="n">
        <f aca="false">IFERROR(IF(7&gt;=ASSUMPTIONS!$C$66,ASSUMPTIONS!$D$66*(1+ASSUMPTIONS!$B$66),0),0)</f>
        <v>0</v>
      </c>
      <c r="I42" s="94" t="n">
        <f aca="false">IFERROR(IF(8&gt;=ASSUMPTIONS!$C$66,ASSUMPTIONS!$D$66*(1+ASSUMPTIONS!$B$66),0),0)</f>
        <v>0</v>
      </c>
      <c r="J42" s="94" t="n">
        <f aca="false">IFERROR(IF(9&gt;=ASSUMPTIONS!$C$66,ASSUMPTIONS!$D$66*(1+ASSUMPTIONS!$B$66),0),0)</f>
        <v>0</v>
      </c>
      <c r="K42" s="94" t="n">
        <f aca="false">IFERROR(IF(10&gt;=ASSUMPTIONS!$C$66,ASSUMPTIONS!$D$66*(1+ASSUMPTIONS!$B$66),0),0)</f>
        <v>0</v>
      </c>
      <c r="L42" s="94" t="n">
        <f aca="false">IFERROR(IF(11&gt;=ASSUMPTIONS!$C$66,ASSUMPTIONS!$D$66*(1+ASSUMPTIONS!$B$66),0),0)</f>
        <v>0</v>
      </c>
      <c r="M42" s="94" t="n">
        <f aca="false">IFERROR(IF(12&gt;=ASSUMPTIONS!$C$66,ASSUMPTIONS!$D$66*(1+ASSUMPTIONS!$B$66),0),0)</f>
        <v>0</v>
      </c>
      <c r="N42" s="95" t="n">
        <f aca="false">SUM(B42:M42)</f>
        <v>0</v>
      </c>
      <c r="O42" s="94" t="n">
        <f aca="false">IFERROR(IF(13&gt;=ASSUMPTIONS!$C$66,ASSUMPTIONS!$D$66*(1+ASSUMPTIONS!$B$66),0),0)</f>
        <v>0</v>
      </c>
      <c r="P42" s="94" t="n">
        <f aca="false">IFERROR(IF(14&gt;=ASSUMPTIONS!$C$66,ASSUMPTIONS!$D$66*(1+ASSUMPTIONS!$B$66),0),0)</f>
        <v>0</v>
      </c>
      <c r="Q42" s="94" t="n">
        <f aca="false">IFERROR(IF(15&gt;=ASSUMPTIONS!$C$66,ASSUMPTIONS!$D$66*(1+ASSUMPTIONS!$B$66),0),0)</f>
        <v>0</v>
      </c>
      <c r="R42" s="94" t="n">
        <f aca="false">IFERROR(IF(16&gt;=ASSUMPTIONS!$C$66,ASSUMPTIONS!$D$66*(1+ASSUMPTIONS!$B$66),0),0)</f>
        <v>0</v>
      </c>
      <c r="S42" s="94" t="n">
        <f aca="false">IFERROR(IF(17&gt;=ASSUMPTIONS!$C$66,ASSUMPTIONS!$D$66*(1+ASSUMPTIONS!$B$66),0),0)</f>
        <v>0</v>
      </c>
      <c r="T42" s="94" t="n">
        <f aca="false">IFERROR(IF(18&gt;=ASSUMPTIONS!$C$66,ASSUMPTIONS!$D$66*(1+ASSUMPTIONS!$B$66),0),0)</f>
        <v>0</v>
      </c>
      <c r="U42" s="94" t="n">
        <f aca="false">IFERROR(IF(19&gt;=ASSUMPTIONS!$C$66,ASSUMPTIONS!$D$66*(1+ASSUMPTIONS!$B$66),0),0)</f>
        <v>0</v>
      </c>
      <c r="V42" s="94" t="n">
        <f aca="false">IFERROR(IF(20&gt;=ASSUMPTIONS!$C$66,ASSUMPTIONS!$D$66*(1+ASSUMPTIONS!$B$66),0),0)</f>
        <v>0</v>
      </c>
      <c r="W42" s="94" t="n">
        <f aca="false">IFERROR(IF(21&gt;=ASSUMPTIONS!$C$66,ASSUMPTIONS!$D$66*(1+ASSUMPTIONS!$B$66),0),0)</f>
        <v>0</v>
      </c>
      <c r="X42" s="94" t="n">
        <f aca="false">IFERROR(IF(22&gt;=ASSUMPTIONS!$C$66,ASSUMPTIONS!$D$66*(1+ASSUMPTIONS!$B$66),0),0)</f>
        <v>0</v>
      </c>
      <c r="Y42" s="94" t="n">
        <f aca="false">IFERROR(IF(23&gt;=ASSUMPTIONS!$C$66,ASSUMPTIONS!$D$66*(1+ASSUMPTIONS!$B$66),0),0)</f>
        <v>0</v>
      </c>
      <c r="Z42" s="94" t="n">
        <f aca="false">IFERROR(IF(24&gt;=ASSUMPTIONS!$C$66,ASSUMPTIONS!$D$66*(1+ASSUMPTIONS!$B$66),0),0)</f>
        <v>0</v>
      </c>
      <c r="AA42" s="95" t="n">
        <f aca="false">SUM(O42:Z42)</f>
        <v>0</v>
      </c>
      <c r="AB42" s="94" t="n">
        <f aca="false">IFERROR(IF(25&gt;=ASSUMPTIONS!$C$66,ASSUMPTIONS!$D$66*(1+ASSUMPTIONS!$B$66),0),0)</f>
        <v>0</v>
      </c>
      <c r="AC42" s="94" t="n">
        <f aca="false">IFERROR(IF(26&gt;=ASSUMPTIONS!$C$66,ASSUMPTIONS!$D$66*(1+ASSUMPTIONS!$B$66),0),0)</f>
        <v>0</v>
      </c>
      <c r="AD42" s="94" t="n">
        <f aca="false">IFERROR(IF(27&gt;=ASSUMPTIONS!$C$66,ASSUMPTIONS!$D$66*(1+ASSUMPTIONS!$B$66),0),0)</f>
        <v>0</v>
      </c>
      <c r="AE42" s="94" t="n">
        <f aca="false">IFERROR(IF(28&gt;=ASSUMPTIONS!$C$66,ASSUMPTIONS!$D$66*(1+ASSUMPTIONS!$B$66),0),0)</f>
        <v>0</v>
      </c>
      <c r="AF42" s="94" t="n">
        <f aca="false">IFERROR(IF(29&gt;=ASSUMPTIONS!$C$66,ASSUMPTIONS!$D$66*(1+ASSUMPTIONS!$B$66),0),0)</f>
        <v>0</v>
      </c>
      <c r="AG42" s="94" t="n">
        <f aca="false">IFERROR(IF(30&gt;=ASSUMPTIONS!$C$66,ASSUMPTIONS!$D$66*(1+ASSUMPTIONS!$B$66),0),0)</f>
        <v>0</v>
      </c>
      <c r="AH42" s="94" t="n">
        <f aca="false">IFERROR(IF(31&gt;=ASSUMPTIONS!$C$66,ASSUMPTIONS!$D$66*(1+ASSUMPTIONS!$B$66),0),0)</f>
        <v>0</v>
      </c>
      <c r="AI42" s="94" t="n">
        <f aca="false">IFERROR(IF(32&gt;=ASSUMPTIONS!$C$66,ASSUMPTIONS!$D$66*(1+ASSUMPTIONS!$B$66),0),0)</f>
        <v>0</v>
      </c>
      <c r="AJ42" s="94" t="n">
        <f aca="false">IFERROR(IF(33&gt;=ASSUMPTIONS!$C$66,ASSUMPTIONS!$D$66*(1+ASSUMPTIONS!$B$66),0),0)</f>
        <v>0</v>
      </c>
      <c r="AK42" s="94" t="n">
        <f aca="false">IFERROR(IF(34&gt;=ASSUMPTIONS!$C$66,ASSUMPTIONS!$D$66*(1+ASSUMPTIONS!$B$66),0),0)</f>
        <v>0</v>
      </c>
      <c r="AL42" s="94" t="n">
        <f aca="false">IFERROR(IF(35&gt;=ASSUMPTIONS!$C$66,ASSUMPTIONS!$D$66*(1+ASSUMPTIONS!$B$66),0),0)</f>
        <v>0</v>
      </c>
      <c r="AM42" s="94" t="n">
        <f aca="false">IFERROR(IF(36&gt;=ASSUMPTIONS!$C$66,ASSUMPTIONS!$D$66*(1+ASSUMPTIONS!$B$66),0),0)</f>
        <v>0</v>
      </c>
      <c r="AN42" s="95" t="n">
        <f aca="false">SUM(AB42:AM42)</f>
        <v>0</v>
      </c>
      <c r="AO42" s="94" t="n">
        <f aca="false">IFERROR(IF(37&gt;=ASSUMPTIONS!$C$66,ASSUMPTIONS!$D$66*(1+ASSUMPTIONS!$B$66),0),0)</f>
        <v>0</v>
      </c>
      <c r="AP42" s="94" t="n">
        <f aca="false">IFERROR(IF(38&gt;=ASSUMPTIONS!$C$66,ASSUMPTIONS!$D$66*(1+ASSUMPTIONS!$B$66),0),0)</f>
        <v>0</v>
      </c>
      <c r="AQ42" s="94" t="n">
        <f aca="false">IFERROR(IF(39&gt;=ASSUMPTIONS!$C$66,ASSUMPTIONS!$D$66*(1+ASSUMPTIONS!$B$66),0),0)</f>
        <v>0</v>
      </c>
      <c r="AR42" s="94" t="n">
        <f aca="false">IFERROR(IF(40&gt;=ASSUMPTIONS!$C$66,ASSUMPTIONS!$D$66*(1+ASSUMPTIONS!$B$66),0),0)</f>
        <v>0</v>
      </c>
      <c r="AS42" s="94" t="n">
        <f aca="false">IFERROR(IF(41&gt;=ASSUMPTIONS!$C$66,ASSUMPTIONS!$D$66*(1+ASSUMPTIONS!$B$66),0),0)</f>
        <v>0</v>
      </c>
      <c r="AT42" s="94" t="n">
        <f aca="false">IFERROR(IF(42&gt;=ASSUMPTIONS!$C$66,ASSUMPTIONS!$D$66*(1+ASSUMPTIONS!$B$66),0),0)</f>
        <v>0</v>
      </c>
      <c r="AU42" s="94" t="n">
        <f aca="false">IFERROR(IF(43&gt;=ASSUMPTIONS!$C$66,ASSUMPTIONS!$D$66*(1+ASSUMPTIONS!$B$66),0),0)</f>
        <v>0</v>
      </c>
      <c r="AV42" s="94" t="n">
        <f aca="false">IFERROR(IF(44&gt;=ASSUMPTIONS!$C$66,ASSUMPTIONS!$D$66*(1+ASSUMPTIONS!$B$66),0),0)</f>
        <v>0</v>
      </c>
      <c r="AW42" s="94" t="n">
        <f aca="false">IFERROR(IF(45&gt;=ASSUMPTIONS!$C$66,ASSUMPTIONS!$D$66*(1+ASSUMPTIONS!$B$66),0),0)</f>
        <v>0</v>
      </c>
      <c r="AX42" s="94" t="n">
        <f aca="false">IFERROR(IF(46&gt;=ASSUMPTIONS!$C$66,ASSUMPTIONS!$D$66*(1+ASSUMPTIONS!$B$66),0),0)</f>
        <v>0</v>
      </c>
      <c r="AY42" s="94" t="n">
        <f aca="false">IFERROR(IF(47&gt;=ASSUMPTIONS!$C$66,ASSUMPTIONS!$D$66*(1+ASSUMPTIONS!$B$66),0),0)</f>
        <v>0</v>
      </c>
      <c r="AZ42" s="94" t="n">
        <f aca="false">IFERROR(IF(48&gt;=ASSUMPTIONS!$C$66,ASSUMPTIONS!$D$66*(1+ASSUMPTIONS!$B$66),0),0)</f>
        <v>0</v>
      </c>
      <c r="BA42" s="71" t="n">
        <f aca="false">SUM(AO42:AZ42)</f>
        <v>0</v>
      </c>
      <c r="BB42" s="94" t="n">
        <f aca="false">IFERROR(IF(49&gt;=ASSUMPTIONS!$C$66,ASSUMPTIONS!$D$66*(1+ASSUMPTIONS!$B$66),0),0)</f>
        <v>0</v>
      </c>
      <c r="BC42" s="94" t="n">
        <f aca="false">IFERROR(IF(50&gt;=ASSUMPTIONS!$C$66,ASSUMPTIONS!$D$66*(1+ASSUMPTIONS!$B$66),0),0)</f>
        <v>0</v>
      </c>
      <c r="BD42" s="94" t="n">
        <f aca="false">IFERROR(IF(51&gt;=ASSUMPTIONS!$C$66,ASSUMPTIONS!$D$66*(1+ASSUMPTIONS!$B$66),0),0)</f>
        <v>0</v>
      </c>
      <c r="BE42" s="94" t="n">
        <f aca="false">IFERROR(IF(52&gt;=ASSUMPTIONS!$C$66,ASSUMPTIONS!$D$66*(1+ASSUMPTIONS!$B$66),0),0)</f>
        <v>0</v>
      </c>
      <c r="BF42" s="94" t="n">
        <f aca="false">IFERROR(IF(53&gt;=ASSUMPTIONS!$C$66,ASSUMPTIONS!$D$66*(1+ASSUMPTIONS!$B$66),0),0)</f>
        <v>0</v>
      </c>
      <c r="BG42" s="94" t="n">
        <f aca="false">IFERROR(IF(54&gt;=ASSUMPTIONS!$C$66,ASSUMPTIONS!$D$66*(1+ASSUMPTIONS!$B$66),0),0)</f>
        <v>0</v>
      </c>
      <c r="BH42" s="94" t="n">
        <f aca="false">IFERROR(IF(55&gt;=ASSUMPTIONS!$C$66,ASSUMPTIONS!$D$66*(1+ASSUMPTIONS!$B$66),0),0)</f>
        <v>0</v>
      </c>
      <c r="BI42" s="94" t="n">
        <f aca="false">IFERROR(IF(56&gt;=ASSUMPTIONS!$C$66,ASSUMPTIONS!$D$66*(1+ASSUMPTIONS!$B$66),0),0)</f>
        <v>0</v>
      </c>
      <c r="BJ42" s="94" t="n">
        <f aca="false">IFERROR(IF(57&gt;=ASSUMPTIONS!$C$66,ASSUMPTIONS!$D$66*(1+ASSUMPTIONS!$B$66),0),0)</f>
        <v>0</v>
      </c>
      <c r="BK42" s="94" t="n">
        <f aca="false">IFERROR(IF(58&gt;=ASSUMPTIONS!$C$66,ASSUMPTIONS!$D$66*(1+ASSUMPTIONS!$B$66),0),0)</f>
        <v>0</v>
      </c>
      <c r="BL42" s="94" t="n">
        <f aca="false">IFERROR(IF(59&gt;=ASSUMPTIONS!$C$66,ASSUMPTIONS!$D$66*(1+ASSUMPTIONS!$B$66),0),0)</f>
        <v>0</v>
      </c>
      <c r="BM42" s="94" t="n">
        <f aca="false">IFERROR(IF(60&gt;=ASSUMPTIONS!$C$66,ASSUMPTIONS!$D$66*(1+ASSUMPTIONS!$B$66),0),0)</f>
        <v>0</v>
      </c>
      <c r="BN42" s="71" t="n">
        <f aca="false">SUM(BB42:BM42)</f>
        <v>0</v>
      </c>
    </row>
    <row r="43" customFormat="false" ht="19.5" hidden="false" customHeight="true" outlineLevel="0" collapsed="false">
      <c r="A43" s="96" t="s">
        <v>235</v>
      </c>
      <c r="B43" s="76" t="n">
        <f aca="false">SUM(B41:B42)</f>
        <v>9104</v>
      </c>
      <c r="C43" s="76" t="n">
        <f aca="false">SUM(C41:C42)</f>
        <v>9104</v>
      </c>
      <c r="D43" s="76" t="n">
        <f aca="false">SUM(D41:D42)</f>
        <v>9104</v>
      </c>
      <c r="E43" s="76" t="n">
        <f aca="false">SUM(E41:E42)</f>
        <v>9104</v>
      </c>
      <c r="F43" s="76" t="n">
        <f aca="false">SUM(F41:F42)</f>
        <v>9104</v>
      </c>
      <c r="G43" s="76" t="n">
        <f aca="false">SUM(G41:G42)</f>
        <v>9104</v>
      </c>
      <c r="H43" s="76" t="n">
        <f aca="false">SUM(H41:H42)</f>
        <v>9104</v>
      </c>
      <c r="I43" s="76" t="n">
        <f aca="false">SUM(I41:I42)</f>
        <v>9104</v>
      </c>
      <c r="J43" s="76" t="n">
        <f aca="false">SUM(J41:J42)</f>
        <v>9104</v>
      </c>
      <c r="K43" s="76" t="n">
        <f aca="false">SUM(K41:K42)</f>
        <v>9104</v>
      </c>
      <c r="L43" s="76" t="n">
        <f aca="false">SUM(L41:L42)</f>
        <v>9104</v>
      </c>
      <c r="M43" s="76" t="n">
        <f aca="false">SUM(M41:M42)</f>
        <v>9104</v>
      </c>
      <c r="N43" s="76" t="n">
        <f aca="false">SUM(B43:M43)</f>
        <v>109248</v>
      </c>
      <c r="O43" s="76" t="n">
        <f aca="false">SUM(O41:O42)</f>
        <v>9104</v>
      </c>
      <c r="P43" s="76" t="n">
        <f aca="false">SUM(P41:P42)</f>
        <v>9104</v>
      </c>
      <c r="Q43" s="76" t="n">
        <f aca="false">SUM(Q41:Q42)</f>
        <v>9104</v>
      </c>
      <c r="R43" s="76" t="n">
        <f aca="false">SUM(R41:R42)</f>
        <v>9104</v>
      </c>
      <c r="S43" s="76" t="n">
        <f aca="false">SUM(S41:S42)</f>
        <v>9104</v>
      </c>
      <c r="T43" s="76" t="n">
        <f aca="false">SUM(T41:T42)</f>
        <v>9104</v>
      </c>
      <c r="U43" s="76" t="n">
        <f aca="false">SUM(U41:U42)</f>
        <v>9104</v>
      </c>
      <c r="V43" s="76" t="n">
        <f aca="false">SUM(V41:V42)</f>
        <v>9104</v>
      </c>
      <c r="W43" s="76" t="n">
        <f aca="false">SUM(W41:W42)</f>
        <v>9104</v>
      </c>
      <c r="X43" s="76" t="n">
        <f aca="false">SUM(X41:X42)</f>
        <v>9104</v>
      </c>
      <c r="Y43" s="76" t="n">
        <f aca="false">SUM(Y41:Y42)</f>
        <v>9104</v>
      </c>
      <c r="Z43" s="76" t="n">
        <f aca="false">SUM(Z41:Z42)</f>
        <v>9104</v>
      </c>
      <c r="AA43" s="76" t="n">
        <f aca="false">SUM(O43:Z43)</f>
        <v>109248</v>
      </c>
      <c r="AB43" s="76" t="n">
        <f aca="false">SUM(AB41:AB42)</f>
        <v>9104</v>
      </c>
      <c r="AC43" s="76" t="n">
        <f aca="false">SUM(AC41:AC42)</f>
        <v>9104</v>
      </c>
      <c r="AD43" s="76" t="n">
        <f aca="false">SUM(AD41:AD42)</f>
        <v>9104</v>
      </c>
      <c r="AE43" s="76" t="n">
        <f aca="false">SUM(AE41:AE42)</f>
        <v>9104</v>
      </c>
      <c r="AF43" s="76" t="n">
        <f aca="false">SUM(AF41:AF42)</f>
        <v>9104</v>
      </c>
      <c r="AG43" s="76" t="n">
        <f aca="false">SUM(AG41:AG42)</f>
        <v>9104</v>
      </c>
      <c r="AH43" s="76" t="n">
        <f aca="false">SUM(AH41:AH42)</f>
        <v>9104</v>
      </c>
      <c r="AI43" s="76" t="n">
        <f aca="false">SUM(AI41:AI42)</f>
        <v>9104</v>
      </c>
      <c r="AJ43" s="76" t="n">
        <f aca="false">SUM(AJ41:AJ42)</f>
        <v>9104</v>
      </c>
      <c r="AK43" s="76" t="n">
        <f aca="false">SUM(AK41:AK42)</f>
        <v>9104</v>
      </c>
      <c r="AL43" s="76" t="n">
        <f aca="false">SUM(AL41:AL42)</f>
        <v>9104</v>
      </c>
      <c r="AM43" s="76" t="n">
        <f aca="false">SUM(AM41:AM42)</f>
        <v>9104</v>
      </c>
      <c r="AN43" s="76" t="n">
        <f aca="false">SUM(AB43:AM43)</f>
        <v>109248</v>
      </c>
      <c r="AO43" s="76" t="n">
        <f aca="false">SUM(AO41:AO42)</f>
        <v>9104</v>
      </c>
      <c r="AP43" s="76" t="n">
        <f aca="false">SUM(AP41:AP42)</f>
        <v>9104</v>
      </c>
      <c r="AQ43" s="76" t="n">
        <f aca="false">SUM(AQ41:AQ42)</f>
        <v>9104</v>
      </c>
      <c r="AR43" s="76" t="n">
        <f aca="false">SUM(AR41:AR42)</f>
        <v>9104</v>
      </c>
      <c r="AS43" s="76" t="n">
        <f aca="false">SUM(AS41:AS42)</f>
        <v>9104</v>
      </c>
      <c r="AT43" s="76" t="n">
        <f aca="false">SUM(AT41:AT42)</f>
        <v>9104</v>
      </c>
      <c r="AU43" s="76" t="n">
        <f aca="false">SUM(AU41:AU42)</f>
        <v>9104</v>
      </c>
      <c r="AV43" s="76" t="n">
        <f aca="false">SUM(AV41:AV42)</f>
        <v>9104</v>
      </c>
      <c r="AW43" s="76" t="n">
        <f aca="false">SUM(AW41:AW42)</f>
        <v>9104</v>
      </c>
      <c r="AX43" s="76" t="n">
        <f aca="false">SUM(AX41:AX42)</f>
        <v>9104</v>
      </c>
      <c r="AY43" s="76" t="n">
        <f aca="false">SUM(AY41:AY42)</f>
        <v>9104</v>
      </c>
      <c r="AZ43" s="76" t="n">
        <f aca="false">SUM(AZ41:AZ42)</f>
        <v>9104</v>
      </c>
      <c r="BA43" s="77" t="n">
        <f aca="false">SUM(AO43:AZ43)</f>
        <v>109248</v>
      </c>
      <c r="BB43" s="76" t="n">
        <f aca="false">SUM(BB41:BB42)</f>
        <v>9104</v>
      </c>
      <c r="BC43" s="76" t="n">
        <f aca="false">SUM(BC41:BC42)</f>
        <v>9104</v>
      </c>
      <c r="BD43" s="76" t="n">
        <f aca="false">SUM(BD41:BD42)</f>
        <v>9104</v>
      </c>
      <c r="BE43" s="76" t="n">
        <f aca="false">SUM(BE41:BE42)</f>
        <v>9104</v>
      </c>
      <c r="BF43" s="76" t="n">
        <f aca="false">SUM(BF41:BF42)</f>
        <v>9104</v>
      </c>
      <c r="BG43" s="76" t="n">
        <f aca="false">SUM(BG41:BG42)</f>
        <v>9104</v>
      </c>
      <c r="BH43" s="76" t="n">
        <f aca="false">SUM(BH41:BH42)</f>
        <v>9104</v>
      </c>
      <c r="BI43" s="76" t="n">
        <f aca="false">SUM(BI41:BI42)</f>
        <v>9104</v>
      </c>
      <c r="BJ43" s="76" t="n">
        <f aca="false">SUM(BJ41:BJ42)</f>
        <v>9104</v>
      </c>
      <c r="BK43" s="76" t="n">
        <f aca="false">SUM(BK41:BK42)</f>
        <v>9104</v>
      </c>
      <c r="BL43" s="76" t="n">
        <f aca="false">SUM(BL41:BL42)</f>
        <v>9104</v>
      </c>
      <c r="BM43" s="76" t="n">
        <f aca="false">SUM(BM41:BM42)</f>
        <v>9104</v>
      </c>
      <c r="BN43" s="77" t="n">
        <f aca="false">SUM(BB43:BM43)</f>
        <v>109248</v>
      </c>
    </row>
    <row r="44" customFormat="false" ht="6" hidden="false" customHeight="true" outlineLevel="0" collapsed="false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  <c r="AK44" s="78"/>
      <c r="AL44" s="78"/>
      <c r="AM44" s="78"/>
      <c r="AN44" s="78"/>
      <c r="AO44" s="78"/>
      <c r="AP44" s="78"/>
      <c r="AQ44" s="78"/>
      <c r="AR44" s="78"/>
      <c r="AS44" s="78"/>
      <c r="AT44" s="78"/>
      <c r="AU44" s="78"/>
      <c r="AV44" s="78"/>
      <c r="AW44" s="78"/>
      <c r="AX44" s="78"/>
      <c r="AY44" s="78"/>
      <c r="AZ44" s="78"/>
      <c r="BA44" s="79"/>
      <c r="BB44" s="78"/>
      <c r="BC44" s="78"/>
      <c r="BD44" s="78"/>
      <c r="BE44" s="78"/>
      <c r="BF44" s="78"/>
      <c r="BG44" s="78"/>
      <c r="BH44" s="78"/>
      <c r="BI44" s="78"/>
      <c r="BJ44" s="78"/>
      <c r="BK44" s="78"/>
      <c r="BL44" s="78"/>
      <c r="BM44" s="78"/>
      <c r="BN44" s="79"/>
    </row>
    <row r="45" customFormat="false" ht="21.75" hidden="false" customHeight="true" outlineLevel="0" collapsed="false">
      <c r="A45" s="101" t="s">
        <v>236</v>
      </c>
      <c r="B45" s="102" t="n">
        <f aca="false">IFERROR(B13+B19+B26+B32+B38+B43,0)</f>
        <v>36416</v>
      </c>
      <c r="C45" s="102" t="n">
        <f aca="false">IFERROR(C13+C19+C26+C32+C38+C43,0)</f>
        <v>36416</v>
      </c>
      <c r="D45" s="102" t="n">
        <f aca="false">IFERROR(D13+D19+D26+D32+D38+D43,0)</f>
        <v>56331</v>
      </c>
      <c r="E45" s="102" t="n">
        <f aca="false">IFERROR(E13+E19+E26+E32+E38+E43,0)</f>
        <v>56331</v>
      </c>
      <c r="F45" s="102" t="n">
        <f aca="false">IFERROR(F13+F19+F26+F32+F38+F43,0)</f>
        <v>56331</v>
      </c>
      <c r="G45" s="102" t="n">
        <f aca="false">IFERROR(G13+G19+G26+G32+G38+G43,0)</f>
        <v>92747</v>
      </c>
      <c r="H45" s="102" t="n">
        <f aca="false">IFERROR(H13+H19+H26+H32+H38+H43,0)</f>
        <v>92747</v>
      </c>
      <c r="I45" s="102" t="n">
        <f aca="false">IFERROR(I13+I19+I26+I32+I38+I43,0)</f>
        <v>92747</v>
      </c>
      <c r="J45" s="102" t="n">
        <f aca="false">IFERROR(J13+J19+J26+J32+J38+J43,0)</f>
        <v>112662</v>
      </c>
      <c r="K45" s="102" t="n">
        <f aca="false">IFERROR(K13+K19+K26+K32+K38+K43,0)</f>
        <v>112662</v>
      </c>
      <c r="L45" s="102" t="n">
        <f aca="false">IFERROR(L13+L19+L26+L32+L38+L43,0)</f>
        <v>112662</v>
      </c>
      <c r="M45" s="102" t="n">
        <f aca="false">IFERROR(M13+M19+M26+M32+M38+M43,0)</f>
        <v>128594</v>
      </c>
      <c r="N45" s="76" t="n">
        <f aca="false">SUM(B45:M45)</f>
        <v>986646</v>
      </c>
      <c r="O45" s="102" t="n">
        <f aca="false">IFERROR(O13+O19+O26+O32+O38+O43,0)</f>
        <v>128594</v>
      </c>
      <c r="P45" s="102" t="n">
        <f aca="false">IFERROR(P13+P19+P26+P32+P38+P43,0)</f>
        <v>128594</v>
      </c>
      <c r="Q45" s="102" t="n">
        <f aca="false">IFERROR(Q13+Q19+Q26+Q32+Q38+Q43,0)</f>
        <v>128594</v>
      </c>
      <c r="R45" s="102" t="n">
        <f aca="false">IFERROR(R13+R19+R26+R32+R38+R43,0)</f>
        <v>128594</v>
      </c>
      <c r="S45" s="102" t="n">
        <f aca="false">IFERROR(S13+S19+S26+S32+S38+S43,0)</f>
        <v>128594</v>
      </c>
      <c r="T45" s="102" t="n">
        <f aca="false">IFERROR(T13+T19+T26+T32+T38+T43,0)</f>
        <v>128594</v>
      </c>
      <c r="U45" s="102" t="n">
        <f aca="false">IFERROR(U13+U19+U26+U32+U38+U43,0)</f>
        <v>128594</v>
      </c>
      <c r="V45" s="102" t="n">
        <f aca="false">IFERROR(V13+V19+V26+V32+V38+V43,0)</f>
        <v>128594</v>
      </c>
      <c r="W45" s="102" t="n">
        <f aca="false">IFERROR(W13+W19+W26+W32+W38+W43,0)</f>
        <v>128594</v>
      </c>
      <c r="X45" s="102" t="n">
        <f aca="false">IFERROR(X13+X19+X26+X32+X38+X43,0)</f>
        <v>128594</v>
      </c>
      <c r="Y45" s="102" t="n">
        <f aca="false">IFERROR(Y13+Y19+Y26+Y32+Y38+Y43,0)</f>
        <v>128594</v>
      </c>
      <c r="Z45" s="102" t="n">
        <f aca="false">IFERROR(Z13+Z19+Z26+Z32+Z38+Z43,0)</f>
        <v>128594</v>
      </c>
      <c r="AA45" s="76" t="n">
        <f aca="false">SUM(O45:Z45)</f>
        <v>1543128</v>
      </c>
      <c r="AB45" s="102" t="n">
        <f aca="false">IFERROR(AB13+AB19+AB26+AB32+AB38+AB43,0)</f>
        <v>128594</v>
      </c>
      <c r="AC45" s="102" t="n">
        <f aca="false">IFERROR(AC13+AC19+AC26+AC32+AC38+AC43,0)</f>
        <v>128594</v>
      </c>
      <c r="AD45" s="102" t="n">
        <f aca="false">IFERROR(AD13+AD19+AD26+AD32+AD38+AD43,0)</f>
        <v>128594</v>
      </c>
      <c r="AE45" s="102" t="n">
        <f aca="false">IFERROR(AE13+AE19+AE26+AE32+AE38+AE43,0)</f>
        <v>128594</v>
      </c>
      <c r="AF45" s="102" t="n">
        <f aca="false">IFERROR(AF13+AF19+AF26+AF32+AF38+AF43,0)</f>
        <v>128594</v>
      </c>
      <c r="AG45" s="102" t="n">
        <f aca="false">IFERROR(AG13+AG19+AG26+AG32+AG38+AG43,0)</f>
        <v>128594</v>
      </c>
      <c r="AH45" s="102" t="n">
        <f aca="false">IFERROR(AH13+AH19+AH26+AH32+AH38+AH43,0)</f>
        <v>128594</v>
      </c>
      <c r="AI45" s="102" t="n">
        <f aca="false">IFERROR(AI13+AI19+AI26+AI32+AI38+AI43,0)</f>
        <v>128594</v>
      </c>
      <c r="AJ45" s="102" t="n">
        <f aca="false">IFERROR(AJ13+AJ19+AJ26+AJ32+AJ38+AJ43,0)</f>
        <v>128594</v>
      </c>
      <c r="AK45" s="102" t="n">
        <f aca="false">IFERROR(AK13+AK19+AK26+AK32+AK38+AK43,0)</f>
        <v>128594</v>
      </c>
      <c r="AL45" s="102" t="n">
        <f aca="false">IFERROR(AL13+AL19+AL26+AL32+AL38+AL43,0)</f>
        <v>128594</v>
      </c>
      <c r="AM45" s="102" t="n">
        <f aca="false">IFERROR(AM13+AM19+AM26+AM32+AM38+AM43,0)</f>
        <v>128594</v>
      </c>
      <c r="AN45" s="76" t="n">
        <f aca="false">SUM(AB45:AM45)</f>
        <v>1543128</v>
      </c>
      <c r="AO45" s="102" t="n">
        <f aca="false">IFERROR(AO13+AO19+AO26+AO32+AO38+AO43,0)</f>
        <v>128594</v>
      </c>
      <c r="AP45" s="102" t="n">
        <f aca="false">IFERROR(AP13+AP19+AP26+AP32+AP38+AP43,0)</f>
        <v>128594</v>
      </c>
      <c r="AQ45" s="102" t="n">
        <f aca="false">IFERROR(AQ13+AQ19+AQ26+AQ32+AQ38+AQ43,0)</f>
        <v>128594</v>
      </c>
      <c r="AR45" s="102" t="n">
        <f aca="false">IFERROR(AR13+AR19+AR26+AR32+AR38+AR43,0)</f>
        <v>128594</v>
      </c>
      <c r="AS45" s="102" t="n">
        <f aca="false">IFERROR(AS13+AS19+AS26+AS32+AS38+AS43,0)</f>
        <v>128594</v>
      </c>
      <c r="AT45" s="102" t="n">
        <f aca="false">IFERROR(AT13+AT19+AT26+AT32+AT38+AT43,0)</f>
        <v>128594</v>
      </c>
      <c r="AU45" s="102" t="n">
        <f aca="false">IFERROR(AU13+AU19+AU26+AU32+AU38+AU43,0)</f>
        <v>128594</v>
      </c>
      <c r="AV45" s="102" t="n">
        <f aca="false">IFERROR(AV13+AV19+AV26+AV32+AV38+AV43,0)</f>
        <v>128594</v>
      </c>
      <c r="AW45" s="102" t="n">
        <f aca="false">IFERROR(AW13+AW19+AW26+AW32+AW38+AW43,0)</f>
        <v>128594</v>
      </c>
      <c r="AX45" s="102" t="n">
        <f aca="false">IFERROR(AX13+AX19+AX26+AX32+AX38+AX43,0)</f>
        <v>128594</v>
      </c>
      <c r="AY45" s="102" t="n">
        <f aca="false">IFERROR(AY13+AY19+AY26+AY32+AY38+AY43,0)</f>
        <v>128594</v>
      </c>
      <c r="AZ45" s="102" t="n">
        <f aca="false">IFERROR(AZ13+AZ19+AZ26+AZ32+AZ38+AZ43,0)</f>
        <v>128594</v>
      </c>
      <c r="BA45" s="77" t="n">
        <f aca="false">SUM(AO45:AZ45)</f>
        <v>1543128</v>
      </c>
      <c r="BB45" s="102" t="n">
        <f aca="false">IFERROR(BB13+BB19+BB26+BB32+BB38+BB43,0)</f>
        <v>128594</v>
      </c>
      <c r="BC45" s="102" t="n">
        <f aca="false">IFERROR(BC13+BC19+BC26+BC32+BC38+BC43,0)</f>
        <v>128594</v>
      </c>
      <c r="BD45" s="102" t="n">
        <f aca="false">IFERROR(BD13+BD19+BD26+BD32+BD38+BD43,0)</f>
        <v>128594</v>
      </c>
      <c r="BE45" s="102" t="n">
        <f aca="false">IFERROR(BE13+BE19+BE26+BE32+BE38+BE43,0)</f>
        <v>128594</v>
      </c>
      <c r="BF45" s="102" t="n">
        <f aca="false">IFERROR(BF13+BF19+BF26+BF32+BF38+BF43,0)</f>
        <v>128594</v>
      </c>
      <c r="BG45" s="102" t="n">
        <f aca="false">IFERROR(BG13+BG19+BG26+BG32+BG38+BG43,0)</f>
        <v>128594</v>
      </c>
      <c r="BH45" s="102" t="n">
        <f aca="false">IFERROR(BH13+BH19+BH26+BH32+BH38+BH43,0)</f>
        <v>128594</v>
      </c>
      <c r="BI45" s="102" t="n">
        <f aca="false">IFERROR(BI13+BI19+BI26+BI32+BI38+BI43,0)</f>
        <v>128594</v>
      </c>
      <c r="BJ45" s="102" t="n">
        <f aca="false">IFERROR(BJ13+BJ19+BJ26+BJ32+BJ38+BJ43,0)</f>
        <v>128594</v>
      </c>
      <c r="BK45" s="102" t="n">
        <f aca="false">IFERROR(BK13+BK19+BK26+BK32+BK38+BK43,0)</f>
        <v>128594</v>
      </c>
      <c r="BL45" s="102" t="n">
        <f aca="false">IFERROR(BL13+BL19+BL26+BL32+BL38+BL43,0)</f>
        <v>128594</v>
      </c>
      <c r="BM45" s="102" t="n">
        <f aca="false">IFERROR(BM13+BM19+BM26+BM32+BM38+BM43,0)</f>
        <v>128594</v>
      </c>
      <c r="BN45" s="77" t="n">
        <f aca="false">SUM(BB45:BM45)</f>
        <v>1543128</v>
      </c>
    </row>
    <row r="46" customFormat="false" ht="15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customFormat="false" ht="15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customFormat="false" ht="15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customFormat="false" ht="15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customFormat="false" ht="15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customFormat="false" ht="15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customFormat="false" ht="15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customFormat="false" ht="15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customFormat="false" ht="15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customFormat="false" ht="15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customFormat="false" ht="15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customFormat="false" ht="15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customFormat="false" ht="15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customFormat="false" ht="15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customFormat="false" ht="15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customFormat="false" ht="15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customFormat="false" ht="15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customFormat="false" ht="15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customFormat="false" ht="15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customFormat="false" ht="15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customFormat="false" ht="15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customFormat="false" ht="15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customFormat="false" ht="15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customFormat="false" ht="15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customFormat="false" ht="15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customFormat="false" ht="15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customFormat="false" ht="15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customFormat="false" ht="15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customFormat="false" ht="15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customFormat="false" ht="15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customFormat="false" ht="15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customFormat="false" ht="15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customFormat="false" ht="15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customFormat="false" ht="15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customFormat="false" ht="15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customFormat="false" ht="15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customFormat="false" ht="15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customFormat="false" ht="15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customFormat="false" ht="15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customFormat="false" ht="15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customFormat="false" ht="15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customFormat="false" ht="15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customFormat="false" ht="15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customFormat="false" ht="15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customFormat="false" ht="15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customFormat="false" ht="15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customFormat="false" ht="15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customFormat="false" ht="15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customFormat="false" ht="15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customFormat="false" ht="15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customFormat="false" ht="15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customFormat="false" ht="15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customFormat="false" ht="15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customFormat="false" ht="15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customFormat="false" ht="15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customFormat="false" ht="15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customFormat="false" ht="15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customFormat="false" ht="15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customFormat="false" ht="15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customFormat="false" ht="15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customFormat="false" ht="15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customFormat="false" ht="15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customFormat="false" ht="15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customFormat="false" ht="15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customFormat="false" ht="15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customFormat="false" ht="15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customFormat="false" ht="15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customFormat="false" ht="15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customFormat="false" ht="15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customFormat="false" ht="15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customFormat="false" ht="15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customFormat="false" ht="15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customFormat="false" ht="15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customFormat="false" ht="15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customFormat="false" ht="15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customFormat="false" ht="15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customFormat="false" ht="15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 customFormat="false" ht="15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customFormat="false" ht="15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customFormat="false" ht="15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customFormat="false" ht="15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customFormat="false" ht="15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customFormat="false" ht="15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customFormat="false" ht="15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customFormat="false" ht="15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customFormat="false" ht="15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customFormat="false" ht="15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customFormat="false" ht="15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customFormat="false" ht="15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customFormat="false" ht="15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customFormat="false" ht="15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customFormat="false" ht="15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customFormat="false" ht="15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customFormat="false" ht="15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customFormat="false" ht="15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customFormat="false" ht="15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customFormat="false" ht="15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customFormat="false" ht="15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customFormat="false" ht="15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customFormat="false" ht="15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customFormat="false" ht="15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customFormat="false" ht="15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customFormat="false" ht="15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customFormat="false" ht="15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customFormat="false" ht="15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customFormat="false" ht="15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customFormat="false" ht="15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customFormat="false" ht="15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customFormat="false" ht="15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customFormat="false" ht="15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customFormat="false" ht="15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customFormat="false" ht="15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customFormat="false" ht="15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customFormat="false" ht="15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customFormat="false" ht="15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customFormat="false" ht="15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customFormat="false" ht="15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customFormat="false" ht="15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customFormat="false" ht="15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customFormat="false" ht="15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customFormat="false" ht="15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customFormat="false" ht="15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customFormat="false" ht="15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customFormat="false" ht="15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customFormat="false" ht="15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customFormat="false" ht="15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customFormat="false" ht="15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customFormat="false" ht="15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customFormat="false" ht="15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customFormat="false" ht="15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customFormat="false" ht="15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customFormat="false" ht="15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customFormat="false" ht="15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customFormat="false" ht="15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customFormat="false" ht="15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customFormat="false" ht="15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customFormat="false" ht="15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customFormat="false" ht="15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customFormat="false" ht="15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customFormat="false" ht="15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customFormat="false" ht="15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customFormat="false" ht="15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customFormat="false" ht="15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customFormat="false" ht="15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customFormat="false" ht="15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customFormat="false" ht="15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customFormat="false" ht="15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customFormat="false" ht="15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customFormat="false" ht="15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customFormat="false" ht="15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customFormat="false" ht="15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customFormat="false" ht="15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customFormat="false" ht="15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customFormat="false" ht="15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customFormat="false" ht="15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customFormat="false" ht="15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customFormat="false" ht="15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customFormat="false" ht="15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customFormat="false" ht="15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customFormat="false" ht="15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customFormat="false" ht="15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customFormat="false" ht="15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customFormat="false" ht="15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customFormat="false" ht="15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customFormat="false" ht="15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customFormat="false" ht="15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customFormat="false" ht="15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customFormat="false" ht="15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customFormat="false" ht="15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customFormat="false" ht="15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</row>
  </sheetData>
  <mergeCells count="10">
    <mergeCell ref="A1:BN1"/>
    <mergeCell ref="A2:BN2"/>
    <mergeCell ref="AO4:AZ4"/>
    <mergeCell ref="BB4:BM4"/>
    <mergeCell ref="A7:BN7"/>
    <mergeCell ref="A15:BN15"/>
    <mergeCell ref="A21:BN21"/>
    <mergeCell ref="A28:BN28"/>
    <mergeCell ref="A34:BN34"/>
    <mergeCell ref="A40:BN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17346"/>
    <pageSetUpPr fitToPage="false"/>
  </sheetPr>
  <dimension ref="A1:BN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3" min="2" style="0" width="9.57"/>
    <col collapsed="false" customWidth="true" hidden="false" outlineLevel="0" max="14" min="14" style="0" width="11"/>
    <col collapsed="false" customWidth="true" hidden="false" outlineLevel="0" max="26" min="15" style="0" width="9.57"/>
    <col collapsed="false" customWidth="true" hidden="false" outlineLevel="0" max="27" min="27" style="0" width="11"/>
    <col collapsed="false" customWidth="true" hidden="false" outlineLevel="0" max="39" min="28" style="0" width="9.57"/>
    <col collapsed="false" customWidth="true" hidden="false" outlineLevel="0" max="40" min="40" style="0" width="11"/>
    <col collapsed="false" customWidth="true" hidden="false" outlineLevel="0" max="41" min="41" style="0" width="9.57"/>
    <col collapsed="false" customWidth="true" hidden="false" outlineLevel="0" max="52" min="42" style="0" width="13"/>
    <col collapsed="false" customWidth="true" hidden="false" outlineLevel="0" max="53" min="53" style="0" width="11"/>
    <col collapsed="false" customWidth="true" hidden="false" outlineLevel="0" max="54" min="54" style="0" width="9.57"/>
    <col collapsed="false" customWidth="true" hidden="false" outlineLevel="0" max="65" min="55" style="0" width="13"/>
    <col collapsed="false" customWidth="true" hidden="false" outlineLevel="0" max="66" min="66" style="0" width="11"/>
  </cols>
  <sheetData>
    <row r="1" customFormat="false" ht="39.75" hidden="false" customHeight="true" outlineLevel="0" collapsed="false">
      <c r="A1" s="45" t="s">
        <v>237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</row>
    <row r="2" customFormat="false" ht="18" hidden="false" customHeight="true" outlineLevel="0" collapsed="false">
      <c r="A2" s="46" t="s">
        <v>238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46"/>
    </row>
    <row r="3" customFormat="false" ht="6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customFormat="false" ht="13.5" hidden="false" customHeight="true" outlineLevel="0" collapsed="false">
      <c r="A4" s="47"/>
      <c r="B4" s="16" t="s">
        <v>164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48" t="s">
        <v>165</v>
      </c>
      <c r="O4" s="49" t="s">
        <v>166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50" t="s">
        <v>167</v>
      </c>
      <c r="AB4" s="51" t="s">
        <v>168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52" t="s">
        <v>169</v>
      </c>
      <c r="AO4" s="53" t="s">
        <v>170</v>
      </c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4" t="s">
        <v>171</v>
      </c>
      <c r="BB4" s="53" t="s">
        <v>172</v>
      </c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4" t="s">
        <v>173</v>
      </c>
    </row>
    <row r="5" customFormat="false" ht="21.75" hidden="false" customHeight="true" outlineLevel="0" collapsed="false">
      <c r="A5" s="47"/>
      <c r="B5" s="55" t="s">
        <v>174</v>
      </c>
      <c r="C5" s="55" t="s">
        <v>175</v>
      </c>
      <c r="D5" s="55" t="s">
        <v>176</v>
      </c>
      <c r="E5" s="55" t="s">
        <v>177</v>
      </c>
      <c r="F5" s="55" t="s">
        <v>178</v>
      </c>
      <c r="G5" s="55" t="s">
        <v>179</v>
      </c>
      <c r="H5" s="55" t="s">
        <v>180</v>
      </c>
      <c r="I5" s="55" t="s">
        <v>181</v>
      </c>
      <c r="J5" s="55" t="s">
        <v>182</v>
      </c>
      <c r="K5" s="55" t="s">
        <v>183</v>
      </c>
      <c r="L5" s="55" t="s">
        <v>184</v>
      </c>
      <c r="M5" s="55" t="s">
        <v>185</v>
      </c>
      <c r="N5" s="55" t="s">
        <v>186</v>
      </c>
      <c r="O5" s="39" t="s">
        <v>174</v>
      </c>
      <c r="P5" s="39" t="s">
        <v>175</v>
      </c>
      <c r="Q5" s="39" t="s">
        <v>176</v>
      </c>
      <c r="R5" s="39" t="s">
        <v>177</v>
      </c>
      <c r="S5" s="39" t="s">
        <v>178</v>
      </c>
      <c r="T5" s="39" t="s">
        <v>179</v>
      </c>
      <c r="U5" s="39" t="s">
        <v>180</v>
      </c>
      <c r="V5" s="39" t="s">
        <v>181</v>
      </c>
      <c r="W5" s="39" t="s">
        <v>182</v>
      </c>
      <c r="X5" s="39" t="s">
        <v>183</v>
      </c>
      <c r="Y5" s="39" t="s">
        <v>184</v>
      </c>
      <c r="Z5" s="39" t="s">
        <v>185</v>
      </c>
      <c r="AA5" s="39" t="s">
        <v>187</v>
      </c>
      <c r="AB5" s="56" t="s">
        <v>174</v>
      </c>
      <c r="AC5" s="56" t="s">
        <v>175</v>
      </c>
      <c r="AD5" s="56" t="s">
        <v>176</v>
      </c>
      <c r="AE5" s="56" t="s">
        <v>177</v>
      </c>
      <c r="AF5" s="56" t="s">
        <v>178</v>
      </c>
      <c r="AG5" s="56" t="s">
        <v>179</v>
      </c>
      <c r="AH5" s="56" t="s">
        <v>180</v>
      </c>
      <c r="AI5" s="56" t="s">
        <v>181</v>
      </c>
      <c r="AJ5" s="56" t="s">
        <v>182</v>
      </c>
      <c r="AK5" s="56" t="s">
        <v>183</v>
      </c>
      <c r="AL5" s="56" t="s">
        <v>184</v>
      </c>
      <c r="AM5" s="56" t="s">
        <v>185</v>
      </c>
      <c r="AN5" s="56" t="s">
        <v>188</v>
      </c>
      <c r="AO5" s="56" t="s">
        <v>174</v>
      </c>
      <c r="AP5" s="56" t="s">
        <v>175</v>
      </c>
      <c r="AQ5" s="56" t="s">
        <v>176</v>
      </c>
      <c r="AR5" s="56" t="s">
        <v>177</v>
      </c>
      <c r="AS5" s="56" t="s">
        <v>178</v>
      </c>
      <c r="AT5" s="56" t="s">
        <v>179</v>
      </c>
      <c r="AU5" s="56" t="s">
        <v>180</v>
      </c>
      <c r="AV5" s="56" t="s">
        <v>181</v>
      </c>
      <c r="AW5" s="56" t="s">
        <v>182</v>
      </c>
      <c r="AX5" s="56" t="s">
        <v>183</v>
      </c>
      <c r="AY5" s="56" t="s">
        <v>184</v>
      </c>
      <c r="AZ5" s="56" t="s">
        <v>185</v>
      </c>
      <c r="BA5" s="56" t="s">
        <v>189</v>
      </c>
      <c r="BB5" s="56" t="s">
        <v>174</v>
      </c>
      <c r="BC5" s="56" t="s">
        <v>175</v>
      </c>
      <c r="BD5" s="56" t="s">
        <v>176</v>
      </c>
      <c r="BE5" s="56" t="s">
        <v>177</v>
      </c>
      <c r="BF5" s="56" t="s">
        <v>178</v>
      </c>
      <c r="BG5" s="56" t="s">
        <v>179</v>
      </c>
      <c r="BH5" s="56" t="s">
        <v>180</v>
      </c>
      <c r="BI5" s="56" t="s">
        <v>181</v>
      </c>
      <c r="BJ5" s="56" t="s">
        <v>182</v>
      </c>
      <c r="BK5" s="56" t="s">
        <v>183</v>
      </c>
      <c r="BL5" s="56" t="s">
        <v>184</v>
      </c>
      <c r="BM5" s="56" t="s">
        <v>185</v>
      </c>
      <c r="BN5" s="56" t="s">
        <v>190</v>
      </c>
    </row>
    <row r="6" customFormat="false" ht="19.5" hidden="false" customHeight="true" outlineLevel="0" collapsed="false">
      <c r="A6" s="57" t="s">
        <v>239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BA7" s="66"/>
      <c r="BN7" s="66"/>
    </row>
    <row r="8" customFormat="false" ht="18" hidden="false" customHeight="true" outlineLevel="0" collapsed="false">
      <c r="A8" s="74" t="s">
        <v>210</v>
      </c>
      <c r="B8" s="94" t="n">
        <f aca="false">IFERROR(REVENUE!B19,0)</f>
        <v>16275</v>
      </c>
      <c r="C8" s="94" t="n">
        <f aca="false">IFERROR(REVENUE!C19,0)</f>
        <v>15058</v>
      </c>
      <c r="D8" s="94" t="n">
        <f aca="false">IFERROR(REVENUE!D19,0)</f>
        <v>15849</v>
      </c>
      <c r="E8" s="94" t="n">
        <f aca="false">IFERROR(REVENUE!E19,0)</f>
        <v>16875</v>
      </c>
      <c r="F8" s="94" t="n">
        <f aca="false">IFERROR(REVENUE!F19,0)</f>
        <v>18036</v>
      </c>
      <c r="G8" s="94" t="n">
        <f aca="false">IFERROR(REVENUE!G19,0)</f>
        <v>19332</v>
      </c>
      <c r="H8" s="94" t="n">
        <f aca="false">IFERROR(REVENUE!H19,0)</f>
        <v>20763</v>
      </c>
      <c r="I8" s="94" t="n">
        <f aca="false">IFERROR(REVENUE!I19,0)</f>
        <v>22383</v>
      </c>
      <c r="J8" s="94" t="n">
        <f aca="false">IFERROR(REVENUE!J19,0)</f>
        <v>24192</v>
      </c>
      <c r="K8" s="94" t="n">
        <f aca="false">IFERROR(REVENUE!K19,0)</f>
        <v>26190</v>
      </c>
      <c r="L8" s="94" t="n">
        <f aca="false">IFERROR(REVENUE!L19,0)</f>
        <v>28404</v>
      </c>
      <c r="M8" s="94" t="n">
        <f aca="false">IFERROR(REVENUE!M19,0)</f>
        <v>30861</v>
      </c>
      <c r="N8" s="103" t="n">
        <f aca="false">SUM(B8:M8)</f>
        <v>254218</v>
      </c>
      <c r="O8" s="94" t="n">
        <f aca="false">IFERROR(REVENUE!O19,0)</f>
        <v>33588</v>
      </c>
      <c r="P8" s="94" t="n">
        <f aca="false">IFERROR(REVENUE!P19,0)</f>
        <v>36612</v>
      </c>
      <c r="Q8" s="94" t="n">
        <f aca="false">IFERROR(REVENUE!Q19,0)</f>
        <v>39933</v>
      </c>
      <c r="R8" s="94" t="n">
        <f aca="false">IFERROR(REVENUE!R19,0)</f>
        <v>43605</v>
      </c>
      <c r="S8" s="94" t="n">
        <f aca="false">IFERROR(REVENUE!S19,0)</f>
        <v>47655</v>
      </c>
      <c r="T8" s="94" t="n">
        <f aca="false">IFERROR(REVENUE!T19,0)</f>
        <v>52137</v>
      </c>
      <c r="U8" s="94" t="n">
        <f aca="false">IFERROR(REVENUE!U19,0)</f>
        <v>57051</v>
      </c>
      <c r="V8" s="94" t="n">
        <f aca="false">IFERROR(REVENUE!V19,0)</f>
        <v>62478</v>
      </c>
      <c r="W8" s="94" t="n">
        <f aca="false">IFERROR(REVENUE!W19,0)</f>
        <v>68472</v>
      </c>
      <c r="X8" s="94" t="n">
        <f aca="false">IFERROR(REVENUE!X19,0)</f>
        <v>75087</v>
      </c>
      <c r="Y8" s="94" t="n">
        <f aca="false">IFERROR(REVENUE!Y19,0)</f>
        <v>82377</v>
      </c>
      <c r="Z8" s="94" t="n">
        <f aca="false">IFERROR(REVENUE!Z19,0)</f>
        <v>90396</v>
      </c>
      <c r="AA8" s="103" t="n">
        <f aca="false">SUM(O8:Z8)</f>
        <v>689391</v>
      </c>
      <c r="AB8" s="94" t="n">
        <f aca="false">IFERROR(REVENUE!AB19,0)</f>
        <v>99252</v>
      </c>
      <c r="AC8" s="94" t="n">
        <f aca="false">IFERROR(REVENUE!AC19,0)</f>
        <v>108999</v>
      </c>
      <c r="AD8" s="94" t="n">
        <f aca="false">IFERROR(REVENUE!AD19,0)</f>
        <v>119745</v>
      </c>
      <c r="AE8" s="94" t="n">
        <f aca="false">IFERROR(REVENUE!AE19,0)</f>
        <v>131571</v>
      </c>
      <c r="AF8" s="94" t="n">
        <f aca="false">IFERROR(REVENUE!AF19,0)</f>
        <v>144585</v>
      </c>
      <c r="AG8" s="94" t="n">
        <f aca="false">IFERROR(REVENUE!AG19,0)</f>
        <v>158922</v>
      </c>
      <c r="AH8" s="94" t="n">
        <f aca="false">IFERROR(REVENUE!AH19,0)</f>
        <v>174717</v>
      </c>
      <c r="AI8" s="94" t="n">
        <f aca="false">IFERROR(REVENUE!AI19,0)</f>
        <v>192078</v>
      </c>
      <c r="AJ8" s="94" t="n">
        <f aca="false">IFERROR(REVENUE!AJ19,0)</f>
        <v>211194</v>
      </c>
      <c r="AK8" s="94" t="n">
        <f aca="false">IFERROR(REVENUE!AK19,0)</f>
        <v>232227</v>
      </c>
      <c r="AL8" s="94" t="n">
        <f aca="false">IFERROR(REVENUE!AL19,0)</f>
        <v>255366</v>
      </c>
      <c r="AM8" s="94" t="n">
        <f aca="false">IFERROR(REVENUE!AM19,0)</f>
        <v>280827</v>
      </c>
      <c r="AN8" s="103" t="n">
        <f aca="false">SUM(AB8:AM8)</f>
        <v>2109483</v>
      </c>
      <c r="AO8" s="94" t="n">
        <f aca="false">IFERROR(REVENUE!AO19,0)</f>
        <v>308853</v>
      </c>
      <c r="AP8" s="94" t="n">
        <f aca="false">IFERROR(REVENUE!AP19,0)</f>
        <v>339687</v>
      </c>
      <c r="AQ8" s="94" t="n">
        <f aca="false">IFERROR(REVENUE!AQ19,0)</f>
        <v>373599</v>
      </c>
      <c r="AR8" s="94" t="n">
        <f aca="false">IFERROR(REVENUE!AR19,0)</f>
        <v>410913</v>
      </c>
      <c r="AS8" s="94" t="n">
        <f aca="false">IFERROR(REVENUE!AS19,0)</f>
        <v>451953</v>
      </c>
      <c r="AT8" s="94" t="n">
        <f aca="false">IFERROR(REVENUE!AT19,0)</f>
        <v>497097</v>
      </c>
      <c r="AU8" s="94" t="n">
        <f aca="false">IFERROR(REVENUE!AU19,0)</f>
        <v>546750</v>
      </c>
      <c r="AV8" s="94" t="n">
        <f aca="false">IFERROR(REVENUE!AV19,0)</f>
        <v>601371</v>
      </c>
      <c r="AW8" s="94" t="n">
        <f aca="false">IFERROR(REVENUE!AW19,0)</f>
        <v>661473</v>
      </c>
      <c r="AX8" s="94" t="n">
        <f aca="false">IFERROR(REVENUE!AX19,0)</f>
        <v>727596</v>
      </c>
      <c r="AY8" s="94" t="n">
        <f aca="false">IFERROR(REVENUE!AY19,0)</f>
        <v>800334</v>
      </c>
      <c r="AZ8" s="94" t="n">
        <f aca="false">IFERROR(REVENUE!AZ19,0)</f>
        <v>880335</v>
      </c>
      <c r="BA8" s="71" t="n">
        <f aca="false">SUM(AO8:AZ8)</f>
        <v>6599961</v>
      </c>
      <c r="BB8" s="94" t="n">
        <f aca="false">IFERROR(REVENUE!BB19,0)</f>
        <v>968355</v>
      </c>
      <c r="BC8" s="94" t="n">
        <f aca="false">IFERROR(REVENUE!BC19,0)</f>
        <v>1065177</v>
      </c>
      <c r="BD8" s="94" t="n">
        <f aca="false">IFERROR(REVENUE!BD19,0)</f>
        <v>1171665</v>
      </c>
      <c r="BE8" s="94" t="n">
        <f aca="false">IFERROR(REVENUE!BE19,0)</f>
        <v>1288818</v>
      </c>
      <c r="BF8" s="94" t="n">
        <f aca="false">IFERROR(REVENUE!BF19,0)</f>
        <v>1417689</v>
      </c>
      <c r="BG8" s="94" t="n">
        <f aca="false">IFERROR(REVENUE!BG19,0)</f>
        <v>1559466</v>
      </c>
      <c r="BH8" s="94" t="n">
        <f aca="false">IFERROR(REVENUE!BH19,0)</f>
        <v>1715418</v>
      </c>
      <c r="BI8" s="94" t="n">
        <f aca="false">IFERROR(REVENUE!BI19,0)</f>
        <v>1886949</v>
      </c>
      <c r="BJ8" s="94" t="n">
        <f aca="false">IFERROR(REVENUE!BJ19,0)</f>
        <v>2075652</v>
      </c>
      <c r="BK8" s="94" t="n">
        <f aca="false">IFERROR(REVENUE!BK19,0)</f>
        <v>2283201</v>
      </c>
      <c r="BL8" s="94" t="n">
        <f aca="false">IFERROR(REVENUE!BL19,0)</f>
        <v>2511513</v>
      </c>
      <c r="BM8" s="94" t="n">
        <f aca="false">IFERROR(REVENUE!BM19,0)</f>
        <v>2762640</v>
      </c>
      <c r="BN8" s="71" t="n">
        <f aca="false">SUM(BB8:BM8)</f>
        <v>20706543</v>
      </c>
    </row>
    <row r="9" customFormat="false" ht="18" hidden="false" customHeight="true" outlineLevel="0" collapsed="false">
      <c r="A9" s="72" t="s">
        <v>240</v>
      </c>
      <c r="B9" s="94" t="n">
        <f aca="false">IFERROR(REVENUE!B26,0)</f>
        <v>7475</v>
      </c>
      <c r="C9" s="94" t="n">
        <f aca="false">IFERROR(REVENUE!C26,0)</f>
        <v>8970</v>
      </c>
      <c r="D9" s="94" t="n">
        <f aca="false">IFERROR(REVENUE!D26,0)</f>
        <v>10764</v>
      </c>
      <c r="E9" s="94" t="n">
        <f aca="false">IFERROR(REVENUE!E26,0)</f>
        <v>12857</v>
      </c>
      <c r="F9" s="94" t="n">
        <f aca="false">IFERROR(REVENUE!F26,0)</f>
        <v>15249</v>
      </c>
      <c r="G9" s="94" t="n">
        <f aca="false">IFERROR(REVENUE!G26,0)</f>
        <v>17940</v>
      </c>
      <c r="H9" s="94" t="n">
        <f aca="false">IFERROR(REVENUE!H26,0)</f>
        <v>21229</v>
      </c>
      <c r="I9" s="94" t="n">
        <f aca="false">IFERROR(REVENUE!I26,0)</f>
        <v>25116</v>
      </c>
      <c r="J9" s="94" t="n">
        <f aca="false">IFERROR(REVENUE!J26,0)</f>
        <v>29302</v>
      </c>
      <c r="K9" s="94" t="n">
        <f aca="false">IFERROR(REVENUE!K26,0)</f>
        <v>34086</v>
      </c>
      <c r="L9" s="94" t="n">
        <f aca="false">IFERROR(REVENUE!L26,0)</f>
        <v>39767</v>
      </c>
      <c r="M9" s="94" t="n">
        <f aca="false">IFERROR(REVENUE!M26,0)</f>
        <v>46046</v>
      </c>
      <c r="N9" s="103" t="n">
        <f aca="false">SUM(B9:M9)</f>
        <v>268801</v>
      </c>
      <c r="O9" s="94" t="n">
        <f aca="false">IFERROR(REVENUE!O26,0)</f>
        <v>53521</v>
      </c>
      <c r="P9" s="94" t="n">
        <f aca="false">IFERROR(REVENUE!P26,0)</f>
        <v>61893</v>
      </c>
      <c r="Q9" s="94" t="n">
        <f aca="false">IFERROR(REVENUE!Q26,0)</f>
        <v>71760</v>
      </c>
      <c r="R9" s="94" t="n">
        <f aca="false">IFERROR(REVENUE!R26,0)</f>
        <v>83122</v>
      </c>
      <c r="S9" s="94" t="n">
        <f aca="false">IFERROR(REVENUE!S26,0)</f>
        <v>95979</v>
      </c>
      <c r="T9" s="94" t="n">
        <f aca="false">IFERROR(REVENUE!T26,0)</f>
        <v>110929</v>
      </c>
      <c r="U9" s="94" t="n">
        <f aca="false">IFERROR(REVENUE!U26,0)</f>
        <v>127972</v>
      </c>
      <c r="V9" s="94" t="n">
        <f aca="false">IFERROR(REVENUE!V26,0)</f>
        <v>147407</v>
      </c>
      <c r="W9" s="94" t="n">
        <f aca="false">IFERROR(REVENUE!W26,0)</f>
        <v>169832</v>
      </c>
      <c r="X9" s="94" t="n">
        <f aca="false">IFERROR(REVENUE!X26,0)</f>
        <v>195845</v>
      </c>
      <c r="Y9" s="94" t="n">
        <f aca="false">IFERROR(REVENUE!Y26,0)</f>
        <v>225745</v>
      </c>
      <c r="Z9" s="94" t="n">
        <f aca="false">IFERROR(REVENUE!Z26,0)</f>
        <v>260130</v>
      </c>
      <c r="AA9" s="103" t="n">
        <f aca="false">SUM(O9:Z9)</f>
        <v>1604135</v>
      </c>
      <c r="AB9" s="94" t="n">
        <f aca="false">IFERROR(REVENUE!AB26,0)</f>
        <v>299897</v>
      </c>
      <c r="AC9" s="94" t="n">
        <f aca="false">IFERROR(REVENUE!AC26,0)</f>
        <v>345644</v>
      </c>
      <c r="AD9" s="94" t="n">
        <f aca="false">IFERROR(REVENUE!AD26,0)</f>
        <v>398268</v>
      </c>
      <c r="AE9" s="94" t="n">
        <f aca="false">IFERROR(REVENUE!AE26,0)</f>
        <v>458666</v>
      </c>
      <c r="AF9" s="94" t="n">
        <f aca="false">IFERROR(REVENUE!AF26,0)</f>
        <v>528034</v>
      </c>
      <c r="AG9" s="94" t="n">
        <f aca="false">IFERROR(REVENUE!AG26,0)</f>
        <v>607867</v>
      </c>
      <c r="AH9" s="94" t="n">
        <f aca="false">IFERROR(REVENUE!AH26,0)</f>
        <v>699361</v>
      </c>
      <c r="AI9" s="94" t="n">
        <f aca="false">IFERROR(REVENUE!AI26,0)</f>
        <v>804609</v>
      </c>
      <c r="AJ9" s="94" t="n">
        <f aca="false">IFERROR(REVENUE!AJ26,0)</f>
        <v>925704</v>
      </c>
      <c r="AK9" s="94" t="n">
        <f aca="false">IFERROR(REVENUE!AK26,0)</f>
        <v>1065038</v>
      </c>
      <c r="AL9" s="94" t="n">
        <f aca="false">IFERROR(REVENUE!AL26,0)</f>
        <v>1225302</v>
      </c>
      <c r="AM9" s="94" t="n">
        <f aca="false">IFERROR(REVENUE!AM26,0)</f>
        <v>1409486</v>
      </c>
      <c r="AN9" s="103" t="n">
        <f aca="false">SUM(AB9:AM9)</f>
        <v>8767876</v>
      </c>
      <c r="AO9" s="94" t="n">
        <f aca="false">IFERROR(REVENUE!AO26,0)</f>
        <v>1621477</v>
      </c>
      <c r="AP9" s="94" t="n">
        <f aca="false">IFERROR(REVENUE!AP26,0)</f>
        <v>1865162</v>
      </c>
      <c r="AQ9" s="94" t="n">
        <f aca="false">IFERROR(REVENUE!AQ26,0)</f>
        <v>2145026</v>
      </c>
      <c r="AR9" s="94" t="n">
        <f aca="false">IFERROR(REVENUE!AR26,0)</f>
        <v>2467049</v>
      </c>
      <c r="AS9" s="94" t="n">
        <f aca="false">IFERROR(REVENUE!AS26,0)</f>
        <v>2837211</v>
      </c>
      <c r="AT9" s="94" t="n">
        <f aca="false">IFERROR(REVENUE!AT26,0)</f>
        <v>3262688</v>
      </c>
      <c r="AU9" s="94" t="n">
        <f aca="false">IFERROR(REVENUE!AU26,0)</f>
        <v>3752151</v>
      </c>
      <c r="AV9" s="94" t="n">
        <f aca="false">IFERROR(REVENUE!AV26,0)</f>
        <v>4314869</v>
      </c>
      <c r="AW9" s="94" t="n">
        <f aca="false">IFERROR(REVENUE!AW26,0)</f>
        <v>4961905</v>
      </c>
      <c r="AX9" s="94" t="n">
        <f aca="false">IFERROR(REVENUE!AX26,0)</f>
        <v>5706116</v>
      </c>
      <c r="AY9" s="94" t="n">
        <f aca="false">IFERROR(REVENUE!AY26,0)</f>
        <v>6561854</v>
      </c>
      <c r="AZ9" s="94" t="n">
        <f aca="false">IFERROR(REVENUE!AZ26,0)</f>
        <v>7546162</v>
      </c>
      <c r="BA9" s="71" t="n">
        <f aca="false">SUM(AO9:AZ9)</f>
        <v>47041670</v>
      </c>
      <c r="BB9" s="94" t="n">
        <f aca="false">IFERROR(REVENUE!BB26,0)</f>
        <v>8678176</v>
      </c>
      <c r="BC9" s="94" t="n">
        <f aca="false">IFERROR(REVENUE!BC26,0)</f>
        <v>9980321</v>
      </c>
      <c r="BD9" s="94" t="n">
        <f aca="false">IFERROR(REVENUE!BD26,0)</f>
        <v>11477414</v>
      </c>
      <c r="BE9" s="94" t="n">
        <f aca="false">IFERROR(REVENUE!BE26,0)</f>
        <v>13199056</v>
      </c>
      <c r="BF9" s="94" t="n">
        <f aca="false">IFERROR(REVENUE!BF26,0)</f>
        <v>15179034</v>
      </c>
      <c r="BG9" s="94" t="n">
        <f aca="false">IFERROR(REVENUE!BG26,0)</f>
        <v>17456218</v>
      </c>
      <c r="BH9" s="94" t="n">
        <f aca="false">IFERROR(REVENUE!BH26,0)</f>
        <v>20074860</v>
      </c>
      <c r="BI9" s="94" t="n">
        <f aca="false">IFERROR(REVENUE!BI26,0)</f>
        <v>23086388</v>
      </c>
      <c r="BJ9" s="94" t="n">
        <f aca="false">IFERROR(REVENUE!BJ26,0)</f>
        <v>26549705</v>
      </c>
      <c r="BK9" s="94" t="n">
        <f aca="false">IFERROR(REVENUE!BK26,0)</f>
        <v>30532385</v>
      </c>
      <c r="BL9" s="94" t="n">
        <f aca="false">IFERROR(REVENUE!BL26,0)</f>
        <v>35112467</v>
      </c>
      <c r="BM9" s="94" t="n">
        <f aca="false">IFERROR(REVENUE!BM26,0)</f>
        <v>40379352</v>
      </c>
      <c r="BN9" s="71" t="n">
        <f aca="false">SUM(BB9:BM9)</f>
        <v>251705376</v>
      </c>
    </row>
    <row r="10" customFormat="false" ht="18" hidden="false" customHeight="true" outlineLevel="0" collapsed="false">
      <c r="A10" s="75" t="s">
        <v>212</v>
      </c>
      <c r="B10" s="76" t="n">
        <f aca="false">IFERROR(REVENUE!B31,0)</f>
        <v>23750</v>
      </c>
      <c r="C10" s="76" t="n">
        <f aca="false">IFERROR(REVENUE!C31,0)</f>
        <v>24028</v>
      </c>
      <c r="D10" s="76" t="n">
        <f aca="false">IFERROR(REVENUE!D31,0)</f>
        <v>26613</v>
      </c>
      <c r="E10" s="76" t="n">
        <f aca="false">IFERROR(REVENUE!E31,0)</f>
        <v>29732</v>
      </c>
      <c r="F10" s="76" t="n">
        <f aca="false">IFERROR(REVENUE!F31,0)</f>
        <v>33285</v>
      </c>
      <c r="G10" s="76" t="n">
        <f aca="false">IFERROR(REVENUE!G31,0)</f>
        <v>37272</v>
      </c>
      <c r="H10" s="76" t="n">
        <f aca="false">IFERROR(REVENUE!H31,0)</f>
        <v>41992</v>
      </c>
      <c r="I10" s="76" t="n">
        <f aca="false">IFERROR(REVENUE!I31,0)</f>
        <v>47499</v>
      </c>
      <c r="J10" s="76" t="n">
        <f aca="false">IFERROR(REVENUE!J31,0)</f>
        <v>53494</v>
      </c>
      <c r="K10" s="76" t="n">
        <f aca="false">IFERROR(REVENUE!K31,0)</f>
        <v>60276</v>
      </c>
      <c r="L10" s="76" t="n">
        <f aca="false">IFERROR(REVENUE!L31,0)</f>
        <v>68171</v>
      </c>
      <c r="M10" s="76" t="n">
        <f aca="false">IFERROR(REVENUE!M31,0)</f>
        <v>76907</v>
      </c>
      <c r="N10" s="76" t="n">
        <f aca="false">SUM(B10:M10)</f>
        <v>523019</v>
      </c>
      <c r="O10" s="76" t="n">
        <f aca="false">IFERROR(REVENUE!O31,0)</f>
        <v>87109</v>
      </c>
      <c r="P10" s="76" t="n">
        <f aca="false">IFERROR(REVENUE!P31,0)</f>
        <v>98505</v>
      </c>
      <c r="Q10" s="76" t="n">
        <f aca="false">IFERROR(REVENUE!Q31,0)</f>
        <v>111693</v>
      </c>
      <c r="R10" s="76" t="n">
        <f aca="false">IFERROR(REVENUE!R31,0)</f>
        <v>126727</v>
      </c>
      <c r="S10" s="76" t="n">
        <f aca="false">IFERROR(REVENUE!S31,0)</f>
        <v>143634</v>
      </c>
      <c r="T10" s="76" t="n">
        <f aca="false">IFERROR(REVENUE!T31,0)</f>
        <v>163066</v>
      </c>
      <c r="U10" s="76" t="n">
        <f aca="false">IFERROR(REVENUE!U31,0)</f>
        <v>185023</v>
      </c>
      <c r="V10" s="76" t="n">
        <f aca="false">IFERROR(REVENUE!V31,0)</f>
        <v>209885</v>
      </c>
      <c r="W10" s="76" t="n">
        <f aca="false">IFERROR(REVENUE!W31,0)</f>
        <v>238304</v>
      </c>
      <c r="X10" s="76" t="n">
        <f aca="false">IFERROR(REVENUE!X31,0)</f>
        <v>270932</v>
      </c>
      <c r="Y10" s="76" t="n">
        <f aca="false">IFERROR(REVENUE!Y31,0)</f>
        <v>308122</v>
      </c>
      <c r="Z10" s="76" t="n">
        <f aca="false">IFERROR(REVENUE!Z31,0)</f>
        <v>350526</v>
      </c>
      <c r="AA10" s="76" t="n">
        <f aca="false">SUM(O10:Z10)</f>
        <v>2293526</v>
      </c>
      <c r="AB10" s="76" t="n">
        <f aca="false">IFERROR(REVENUE!AB31,0)</f>
        <v>399149</v>
      </c>
      <c r="AC10" s="76" t="n">
        <f aca="false">IFERROR(REVENUE!AC31,0)</f>
        <v>454643</v>
      </c>
      <c r="AD10" s="76" t="n">
        <f aca="false">IFERROR(REVENUE!AD31,0)</f>
        <v>518013</v>
      </c>
      <c r="AE10" s="76" t="n">
        <f aca="false">IFERROR(REVENUE!AE31,0)</f>
        <v>590237</v>
      </c>
      <c r="AF10" s="76" t="n">
        <f aca="false">IFERROR(REVENUE!AF31,0)</f>
        <v>672619</v>
      </c>
      <c r="AG10" s="76" t="n">
        <f aca="false">IFERROR(REVENUE!AG31,0)</f>
        <v>766789</v>
      </c>
      <c r="AH10" s="76" t="n">
        <f aca="false">IFERROR(REVENUE!AH31,0)</f>
        <v>874078</v>
      </c>
      <c r="AI10" s="76" t="n">
        <f aca="false">IFERROR(REVENUE!AI31,0)</f>
        <v>996687</v>
      </c>
      <c r="AJ10" s="76" t="n">
        <f aca="false">IFERROR(REVENUE!AJ31,0)</f>
        <v>1136898</v>
      </c>
      <c r="AK10" s="76" t="n">
        <f aca="false">IFERROR(REVENUE!AK31,0)</f>
        <v>1297265</v>
      </c>
      <c r="AL10" s="76" t="n">
        <f aca="false">IFERROR(REVENUE!AL31,0)</f>
        <v>1480668</v>
      </c>
      <c r="AM10" s="76" t="n">
        <f aca="false">IFERROR(REVENUE!AM31,0)</f>
        <v>1690313</v>
      </c>
      <c r="AN10" s="76" t="n">
        <f aca="false">SUM(AB10:AM10)</f>
        <v>10877359</v>
      </c>
      <c r="AO10" s="76" t="n">
        <f aca="false">IFERROR(REVENUE!AO31,0)</f>
        <v>1930330</v>
      </c>
      <c r="AP10" s="76" t="n">
        <f aca="false">IFERROR(REVENUE!AP31,0)</f>
        <v>2204849</v>
      </c>
      <c r="AQ10" s="76" t="n">
        <f aca="false">IFERROR(REVENUE!AQ31,0)</f>
        <v>2518625</v>
      </c>
      <c r="AR10" s="76" t="n">
        <f aca="false">IFERROR(REVENUE!AR31,0)</f>
        <v>2877962</v>
      </c>
      <c r="AS10" s="76" t="n">
        <f aca="false">IFERROR(REVENUE!AS31,0)</f>
        <v>3289164</v>
      </c>
      <c r="AT10" s="76" t="n">
        <f aca="false">IFERROR(REVENUE!AT31,0)</f>
        <v>3759785</v>
      </c>
      <c r="AU10" s="76" t="n">
        <f aca="false">IFERROR(REVENUE!AU31,0)</f>
        <v>4298901</v>
      </c>
      <c r="AV10" s="76" t="n">
        <f aca="false">IFERROR(REVENUE!AV31,0)</f>
        <v>4916240</v>
      </c>
      <c r="AW10" s="76" t="n">
        <f aca="false">IFERROR(REVENUE!AW31,0)</f>
        <v>5623378</v>
      </c>
      <c r="AX10" s="76" t="n">
        <f aca="false">IFERROR(REVENUE!AX31,0)</f>
        <v>6433712</v>
      </c>
      <c r="AY10" s="76" t="n">
        <f aca="false">IFERROR(REVENUE!AY31,0)</f>
        <v>7362188</v>
      </c>
      <c r="AZ10" s="76" t="n">
        <f aca="false">IFERROR(REVENUE!AZ31,0)</f>
        <v>8426497</v>
      </c>
      <c r="BA10" s="77" t="n">
        <f aca="false">SUM(AO10:AZ10)</f>
        <v>53641631</v>
      </c>
      <c r="BB10" s="76" t="n">
        <f aca="false">IFERROR(REVENUE!BB31,0)</f>
        <v>9646531</v>
      </c>
      <c r="BC10" s="76" t="n">
        <f aca="false">IFERROR(REVENUE!BC31,0)</f>
        <v>11045498</v>
      </c>
      <c r="BD10" s="76" t="n">
        <f aca="false">IFERROR(REVENUE!BD31,0)</f>
        <v>12649079</v>
      </c>
      <c r="BE10" s="76" t="n">
        <f aca="false">IFERROR(REVENUE!BE31,0)</f>
        <v>14487874</v>
      </c>
      <c r="BF10" s="76" t="n">
        <f aca="false">IFERROR(REVENUE!BF31,0)</f>
        <v>16596723</v>
      </c>
      <c r="BG10" s="76" t="n">
        <f aca="false">IFERROR(REVENUE!BG31,0)</f>
        <v>19015684</v>
      </c>
      <c r="BH10" s="76" t="n">
        <f aca="false">IFERROR(REVENUE!BH31,0)</f>
        <v>21790278</v>
      </c>
      <c r="BI10" s="76" t="n">
        <f aca="false">IFERROR(REVENUE!BI31,0)</f>
        <v>24973337</v>
      </c>
      <c r="BJ10" s="76" t="n">
        <f aca="false">IFERROR(REVENUE!BJ31,0)</f>
        <v>28625357</v>
      </c>
      <c r="BK10" s="76" t="n">
        <f aca="false">IFERROR(REVENUE!BK31,0)</f>
        <v>32815586</v>
      </c>
      <c r="BL10" s="76" t="n">
        <f aca="false">IFERROR(REVENUE!BL31,0)</f>
        <v>37623980</v>
      </c>
      <c r="BM10" s="76" t="n">
        <f aca="false">IFERROR(REVENUE!BM31,0)</f>
        <v>43141992</v>
      </c>
      <c r="BN10" s="77" t="n">
        <f aca="false">SUM(BB10:BM10)</f>
        <v>272411919</v>
      </c>
    </row>
    <row r="11" customFormat="false" ht="6" hidden="false" customHeight="true" outlineLevel="0" collapsed="false">
      <c r="A11" s="78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  <c r="AW11" s="78"/>
      <c r="AX11" s="78"/>
      <c r="AY11" s="78"/>
      <c r="AZ11" s="78"/>
      <c r="BA11" s="79"/>
      <c r="BB11" s="78"/>
      <c r="BC11" s="78"/>
      <c r="BD11" s="78"/>
      <c r="BE11" s="78"/>
      <c r="BF11" s="78"/>
      <c r="BG11" s="78"/>
      <c r="BH11" s="78"/>
      <c r="BI11" s="78"/>
      <c r="BJ11" s="78"/>
      <c r="BK11" s="78"/>
      <c r="BL11" s="78"/>
      <c r="BM11" s="78"/>
      <c r="BN11" s="79"/>
    </row>
    <row r="12" customFormat="false" ht="19.5" hidden="false" customHeight="true" outlineLevel="0" collapsed="false">
      <c r="A12" s="104" t="s">
        <v>241</v>
      </c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4"/>
      <c r="BF12" s="104"/>
      <c r="BG12" s="104"/>
      <c r="BH12" s="104"/>
      <c r="BI12" s="104"/>
      <c r="BJ12" s="104"/>
      <c r="BK12" s="104"/>
      <c r="BL12" s="104"/>
      <c r="BM12" s="104"/>
      <c r="BN12" s="104"/>
    </row>
    <row r="13" customFormat="false" ht="18" hidden="false" customHeight="true" outlineLevel="0" collapsed="false">
      <c r="A13" s="105" t="s">
        <v>220</v>
      </c>
      <c r="B13" s="106" t="n">
        <f aca="false">IFERROR(REVENUE!B40,0)</f>
        <v>6945.5</v>
      </c>
      <c r="C13" s="106" t="n">
        <f aca="false">IFERROR(REVENUE!C40,0)</f>
        <v>7007.08</v>
      </c>
      <c r="D13" s="106" t="n">
        <f aca="false">IFERROR(REVENUE!D40,0)</f>
        <v>7294.74</v>
      </c>
      <c r="E13" s="106" t="n">
        <f aca="false">IFERROR(REVENUE!E40,0)</f>
        <v>7637.5</v>
      </c>
      <c r="F13" s="106" t="n">
        <f aca="false">IFERROR(REVENUE!F40,0)</f>
        <v>8025.36</v>
      </c>
      <c r="G13" s="106" t="n">
        <f aca="false">IFERROR(REVENUE!G40,0)</f>
        <v>8458.32</v>
      </c>
      <c r="H13" s="106" t="n">
        <f aca="false">IFERROR(REVENUE!H40,0)</f>
        <v>8936.38</v>
      </c>
      <c r="I13" s="106" t="n">
        <f aca="false">IFERROR(REVENUE!I40,0)</f>
        <v>9477.58</v>
      </c>
      <c r="J13" s="106" t="n">
        <f aca="false">IFERROR(REVENUE!J40,0)</f>
        <v>10081.92</v>
      </c>
      <c r="K13" s="106" t="n">
        <f aca="false">IFERROR(REVENUE!K40,0)</f>
        <v>10749.4</v>
      </c>
      <c r="L13" s="106" t="n">
        <f aca="false">IFERROR(REVENUE!L40,0)</f>
        <v>11489.04</v>
      </c>
      <c r="M13" s="106" t="n">
        <f aca="false">IFERROR(REVENUE!M40,0)</f>
        <v>12309.86</v>
      </c>
      <c r="N13" s="103" t="n">
        <f aca="false">SUM(B13:M13)</f>
        <v>108412.68</v>
      </c>
      <c r="O13" s="106" t="n">
        <f aca="false">IFERROR(REVENUE!O40,0)</f>
        <v>13220.88</v>
      </c>
      <c r="P13" s="106" t="n">
        <f aca="false">IFERROR(REVENUE!P40,0)</f>
        <v>14231.12</v>
      </c>
      <c r="Q13" s="106" t="n">
        <f aca="false">IFERROR(REVENUE!Q40,0)</f>
        <v>15340.58</v>
      </c>
      <c r="R13" s="106" t="n">
        <f aca="false">IFERROR(REVENUE!R40,0)</f>
        <v>16567.3</v>
      </c>
      <c r="S13" s="106" t="n">
        <f aca="false">IFERROR(REVENUE!S40,0)</f>
        <v>17920.3</v>
      </c>
      <c r="T13" s="106" t="n">
        <f aca="false">IFERROR(REVENUE!T40,0)</f>
        <v>19417.62</v>
      </c>
      <c r="U13" s="106" t="n">
        <f aca="false">IFERROR(REVENUE!U40,0)</f>
        <v>21059.26</v>
      </c>
      <c r="V13" s="106" t="n">
        <f aca="false">IFERROR(REVENUE!V40,0)</f>
        <v>22872.28</v>
      </c>
      <c r="W13" s="106" t="n">
        <f aca="false">IFERROR(REVENUE!W40,0)</f>
        <v>24874.72</v>
      </c>
      <c r="X13" s="106" t="n">
        <f aca="false">IFERROR(REVENUE!X40,0)</f>
        <v>27084.62</v>
      </c>
      <c r="Y13" s="106" t="n">
        <f aca="false">IFERROR(REVENUE!Y40,0)</f>
        <v>29520.02</v>
      </c>
      <c r="Z13" s="106" t="n">
        <f aca="false">IFERROR(REVENUE!Z40,0)</f>
        <v>32198.96</v>
      </c>
      <c r="AA13" s="103" t="n">
        <f aca="false">SUM(O13:Z13)</f>
        <v>254307.66</v>
      </c>
      <c r="AB13" s="106" t="n">
        <f aca="false">IFERROR(REVENUE!AB40,0)</f>
        <v>35157.52</v>
      </c>
      <c r="AC13" s="106" t="n">
        <f aca="false">IFERROR(REVENUE!AC40,0)</f>
        <v>38413.74</v>
      </c>
      <c r="AD13" s="106" t="n">
        <f aca="false">IFERROR(REVENUE!AD40,0)</f>
        <v>42003.7</v>
      </c>
      <c r="AE13" s="106" t="n">
        <f aca="false">IFERROR(REVENUE!AE40,0)</f>
        <v>45954.46</v>
      </c>
      <c r="AF13" s="106" t="n">
        <f aca="false">IFERROR(REVENUE!AF40,0)</f>
        <v>50302.1</v>
      </c>
      <c r="AG13" s="106" t="n">
        <f aca="false">IFERROR(REVENUE!AG40,0)</f>
        <v>55091.72</v>
      </c>
      <c r="AH13" s="106" t="n">
        <f aca="false">IFERROR(REVENUE!AH40,0)</f>
        <v>60368.42</v>
      </c>
      <c r="AI13" s="106" t="n">
        <f aca="false">IFERROR(REVENUE!AI40,0)</f>
        <v>66168.28</v>
      </c>
      <c r="AJ13" s="106" t="n">
        <f aca="false">IFERROR(REVENUE!AJ40,0)</f>
        <v>72554.44</v>
      </c>
      <c r="AK13" s="106" t="n">
        <f aca="false">IFERROR(REVENUE!AK40,0)</f>
        <v>79581.02</v>
      </c>
      <c r="AL13" s="106" t="n">
        <f aca="false">IFERROR(REVENUE!AL40,0)</f>
        <v>87311.16</v>
      </c>
      <c r="AM13" s="106" t="n">
        <f aca="false">IFERROR(REVENUE!AM40,0)</f>
        <v>95817.02</v>
      </c>
      <c r="AN13" s="103" t="n">
        <f aca="false">SUM(AB13:AM13)</f>
        <v>728723.58</v>
      </c>
      <c r="AO13" s="106" t="n">
        <f aca="false">IFERROR(REVENUE!AO40,0)</f>
        <v>105179.78</v>
      </c>
      <c r="AP13" s="106" t="n">
        <f aca="false">IFERROR(REVENUE!AP40,0)</f>
        <v>115480.62</v>
      </c>
      <c r="AQ13" s="106" t="n">
        <f aca="false">IFERROR(REVENUE!AQ40,0)</f>
        <v>126809.74</v>
      </c>
      <c r="AR13" s="106" t="n">
        <f aca="false">IFERROR(REVENUE!AR40,0)</f>
        <v>139275.38</v>
      </c>
      <c r="AS13" s="106" t="n">
        <f aca="false">IFERROR(REVENUE!AS40,0)</f>
        <v>152985.78</v>
      </c>
      <c r="AT13" s="106" t="n">
        <f aca="false">IFERROR(REVENUE!AT40,0)</f>
        <v>168067.22</v>
      </c>
      <c r="AU13" s="106" t="n">
        <f aca="false">IFERROR(REVENUE!AU40,0)</f>
        <v>184655</v>
      </c>
      <c r="AV13" s="106" t="n">
        <f aca="false">IFERROR(REVENUE!AV40,0)</f>
        <v>202902.46</v>
      </c>
      <c r="AW13" s="106" t="n">
        <f aca="false">IFERROR(REVENUE!AW40,0)</f>
        <v>222980.98</v>
      </c>
      <c r="AX13" s="106" t="n">
        <f aca="false">IFERROR(REVENUE!AX40,0)</f>
        <v>245070.96</v>
      </c>
      <c r="AY13" s="106" t="n">
        <f aca="false">IFERROR(REVENUE!AY40,0)</f>
        <v>269370.84</v>
      </c>
      <c r="AZ13" s="106" t="n">
        <f aca="false">IFERROR(REVENUE!AZ40,0)</f>
        <v>296097.1</v>
      </c>
      <c r="BA13" s="71" t="n">
        <f aca="false">SUM(AO13:AZ13)</f>
        <v>2228875.86</v>
      </c>
      <c r="BB13" s="106" t="n">
        <f aca="false">IFERROR(REVENUE!BB40,0)</f>
        <v>325502.3</v>
      </c>
      <c r="BC13" s="106" t="n">
        <f aca="false">IFERROR(REVENUE!BC40,0)</f>
        <v>357848.02</v>
      </c>
      <c r="BD13" s="106" t="n">
        <f aca="false">IFERROR(REVENUE!BD40,0)</f>
        <v>393422.9</v>
      </c>
      <c r="BE13" s="106" t="n">
        <f aca="false">IFERROR(REVENUE!BE40,0)</f>
        <v>432560.68</v>
      </c>
      <c r="BF13" s="106" t="n">
        <f aca="false">IFERROR(REVENUE!BF40,0)</f>
        <v>475613.14</v>
      </c>
      <c r="BG13" s="106" t="n">
        <f aca="false">IFERROR(REVENUE!BG40,0)</f>
        <v>522977.16</v>
      </c>
      <c r="BH13" s="106" t="n">
        <f aca="false">IFERROR(REVENUE!BH40,0)</f>
        <v>575076.68</v>
      </c>
      <c r="BI13" s="106" t="n">
        <f aca="false">IFERROR(REVENUE!BI40,0)</f>
        <v>632380.74</v>
      </c>
      <c r="BJ13" s="106" t="n">
        <f aca="false">IFERROR(REVENUE!BJ40,0)</f>
        <v>695421.52</v>
      </c>
      <c r="BK13" s="106" t="n">
        <f aca="false">IFERROR(REVENUE!BK40,0)</f>
        <v>764758.26</v>
      </c>
      <c r="BL13" s="106" t="n">
        <f aca="false">IFERROR(REVENUE!BL40,0)</f>
        <v>841031.38</v>
      </c>
      <c r="BM13" s="106" t="n">
        <f aca="false">IFERROR(REVENUE!BM40,0)</f>
        <v>924926.4</v>
      </c>
      <c r="BN13" s="71" t="n">
        <f aca="false">SUM(BB13:BM13)</f>
        <v>6941519.18</v>
      </c>
    </row>
    <row r="14" customFormat="false" ht="18" hidden="false" customHeight="true" outlineLevel="0" collapsed="false">
      <c r="A14" s="75" t="s">
        <v>221</v>
      </c>
      <c r="B14" s="76" t="n">
        <f aca="false">IFERROR(B10-B13,0)</f>
        <v>16804.5</v>
      </c>
      <c r="C14" s="76" t="n">
        <f aca="false">IFERROR(C10-C13,0)</f>
        <v>17020.92</v>
      </c>
      <c r="D14" s="76" t="n">
        <f aca="false">IFERROR(D10-D13,0)</f>
        <v>19318.26</v>
      </c>
      <c r="E14" s="76" t="n">
        <f aca="false">IFERROR(E10-E13,0)</f>
        <v>22094.5</v>
      </c>
      <c r="F14" s="76" t="n">
        <f aca="false">IFERROR(F10-F13,0)</f>
        <v>25259.64</v>
      </c>
      <c r="G14" s="76" t="n">
        <f aca="false">IFERROR(G10-G13,0)</f>
        <v>28813.68</v>
      </c>
      <c r="H14" s="76" t="n">
        <f aca="false">IFERROR(H10-H13,0)</f>
        <v>33055.62</v>
      </c>
      <c r="I14" s="76" t="n">
        <f aca="false">IFERROR(I10-I13,0)</f>
        <v>38021.42</v>
      </c>
      <c r="J14" s="76" t="n">
        <f aca="false">IFERROR(J10-J13,0)</f>
        <v>43412.08</v>
      </c>
      <c r="K14" s="76" t="n">
        <f aca="false">IFERROR(K10-K13,0)</f>
        <v>49526.6</v>
      </c>
      <c r="L14" s="76" t="n">
        <f aca="false">IFERROR(L10-L13,0)</f>
        <v>56681.96</v>
      </c>
      <c r="M14" s="76" t="n">
        <f aca="false">IFERROR(M10-M13,0)</f>
        <v>64597.14</v>
      </c>
      <c r="N14" s="76" t="n">
        <f aca="false">SUM(B14:M14)</f>
        <v>414606.32</v>
      </c>
      <c r="O14" s="76" t="n">
        <f aca="false">IFERROR(O10-O13,0)</f>
        <v>73888.12</v>
      </c>
      <c r="P14" s="76" t="n">
        <f aca="false">IFERROR(P10-P13,0)</f>
        <v>84273.88</v>
      </c>
      <c r="Q14" s="76" t="n">
        <f aca="false">IFERROR(Q10-Q13,0)</f>
        <v>96352.42</v>
      </c>
      <c r="R14" s="76" t="n">
        <f aca="false">IFERROR(R10-R13,0)</f>
        <v>110159.7</v>
      </c>
      <c r="S14" s="76" t="n">
        <f aca="false">IFERROR(S10-S13,0)</f>
        <v>125713.7</v>
      </c>
      <c r="T14" s="76" t="n">
        <f aca="false">IFERROR(T10-T13,0)</f>
        <v>143648.38</v>
      </c>
      <c r="U14" s="76" t="n">
        <f aca="false">IFERROR(U10-U13,0)</f>
        <v>163963.74</v>
      </c>
      <c r="V14" s="76" t="n">
        <f aca="false">IFERROR(V10-V13,0)</f>
        <v>187012.72</v>
      </c>
      <c r="W14" s="76" t="n">
        <f aca="false">IFERROR(W10-W13,0)</f>
        <v>213429.28</v>
      </c>
      <c r="X14" s="76" t="n">
        <f aca="false">IFERROR(X10-X13,0)</f>
        <v>243847.38</v>
      </c>
      <c r="Y14" s="76" t="n">
        <f aca="false">IFERROR(Y10-Y13,0)</f>
        <v>278601.98</v>
      </c>
      <c r="Z14" s="76" t="n">
        <f aca="false">IFERROR(Z10-Z13,0)</f>
        <v>318327.04</v>
      </c>
      <c r="AA14" s="76" t="n">
        <f aca="false">SUM(O14:Z14)</f>
        <v>2039218.34</v>
      </c>
      <c r="AB14" s="76" t="n">
        <f aca="false">IFERROR(AB10-AB13,0)</f>
        <v>363991.48</v>
      </c>
      <c r="AC14" s="76" t="n">
        <f aca="false">IFERROR(AC10-AC13,0)</f>
        <v>416229.26</v>
      </c>
      <c r="AD14" s="76" t="n">
        <f aca="false">IFERROR(AD10-AD13,0)</f>
        <v>476009.3</v>
      </c>
      <c r="AE14" s="76" t="n">
        <f aca="false">IFERROR(AE10-AE13,0)</f>
        <v>544282.54</v>
      </c>
      <c r="AF14" s="76" t="n">
        <f aca="false">IFERROR(AF10-AF13,0)</f>
        <v>622316.9</v>
      </c>
      <c r="AG14" s="76" t="n">
        <f aca="false">IFERROR(AG10-AG13,0)</f>
        <v>711697.28</v>
      </c>
      <c r="AH14" s="76" t="n">
        <f aca="false">IFERROR(AH10-AH13,0)</f>
        <v>813709.58</v>
      </c>
      <c r="AI14" s="76" t="n">
        <f aca="false">IFERROR(AI10-AI13,0)</f>
        <v>930518.72</v>
      </c>
      <c r="AJ14" s="76" t="n">
        <f aca="false">IFERROR(AJ10-AJ13,0)</f>
        <v>1064343.56</v>
      </c>
      <c r="AK14" s="76" t="n">
        <f aca="false">IFERROR(AK10-AK13,0)</f>
        <v>1217683.98</v>
      </c>
      <c r="AL14" s="76" t="n">
        <f aca="false">IFERROR(AL10-AL13,0)</f>
        <v>1393356.84</v>
      </c>
      <c r="AM14" s="76" t="n">
        <f aca="false">IFERROR(AM10-AM13,0)</f>
        <v>1594495.98</v>
      </c>
      <c r="AN14" s="76" t="n">
        <f aca="false">SUM(AB14:AM14)</f>
        <v>10148635.42</v>
      </c>
      <c r="AO14" s="76" t="n">
        <f aca="false">IFERROR(AO10-AO13,0)</f>
        <v>1825150.22</v>
      </c>
      <c r="AP14" s="76" t="n">
        <f aca="false">IFERROR(AP10-AP13,0)</f>
        <v>2089368.38</v>
      </c>
      <c r="AQ14" s="76" t="n">
        <f aca="false">IFERROR(AQ10-AQ13,0)</f>
        <v>2391815.26</v>
      </c>
      <c r="AR14" s="76" t="n">
        <f aca="false">IFERROR(AR10-AR13,0)</f>
        <v>2738686.62</v>
      </c>
      <c r="AS14" s="76" t="n">
        <f aca="false">IFERROR(AS10-AS13,0)</f>
        <v>3136178.22</v>
      </c>
      <c r="AT14" s="76" t="n">
        <f aca="false">IFERROR(AT10-AT13,0)</f>
        <v>3591717.78</v>
      </c>
      <c r="AU14" s="76" t="n">
        <f aca="false">IFERROR(AU10-AU13,0)</f>
        <v>4114246</v>
      </c>
      <c r="AV14" s="76" t="n">
        <f aca="false">IFERROR(AV10-AV13,0)</f>
        <v>4713337.54</v>
      </c>
      <c r="AW14" s="76" t="n">
        <f aca="false">IFERROR(AW10-AW13,0)</f>
        <v>5400397.02</v>
      </c>
      <c r="AX14" s="76" t="n">
        <f aca="false">IFERROR(AX10-AX13,0)</f>
        <v>6188641.04</v>
      </c>
      <c r="AY14" s="76" t="n">
        <f aca="false">IFERROR(AY10-AY13,0)</f>
        <v>7092817.16</v>
      </c>
      <c r="AZ14" s="76" t="n">
        <f aca="false">IFERROR(AZ10-AZ13,0)</f>
        <v>8130399.9</v>
      </c>
      <c r="BA14" s="77" t="n">
        <f aca="false">SUM(AO14:AZ14)</f>
        <v>51412755.14</v>
      </c>
      <c r="BB14" s="76" t="n">
        <f aca="false">IFERROR(BB10-BB13,0)</f>
        <v>9321028.7</v>
      </c>
      <c r="BC14" s="76" t="n">
        <f aca="false">IFERROR(BC10-BC13,0)</f>
        <v>10687649.98</v>
      </c>
      <c r="BD14" s="76" t="n">
        <f aca="false">IFERROR(BD10-BD13,0)</f>
        <v>12255656.1</v>
      </c>
      <c r="BE14" s="76" t="n">
        <f aca="false">IFERROR(BE10-BE13,0)</f>
        <v>14055313.32</v>
      </c>
      <c r="BF14" s="76" t="n">
        <f aca="false">IFERROR(BF10-BF13,0)</f>
        <v>16121109.86</v>
      </c>
      <c r="BG14" s="76" t="n">
        <f aca="false">IFERROR(BG10-BG13,0)</f>
        <v>18492706.84</v>
      </c>
      <c r="BH14" s="76" t="n">
        <f aca="false">IFERROR(BH10-BH13,0)</f>
        <v>21215201.32</v>
      </c>
      <c r="BI14" s="76" t="n">
        <f aca="false">IFERROR(BI10-BI13,0)</f>
        <v>24340956.26</v>
      </c>
      <c r="BJ14" s="76" t="n">
        <f aca="false">IFERROR(BJ10-BJ13,0)</f>
        <v>27929935.48</v>
      </c>
      <c r="BK14" s="76" t="n">
        <f aca="false">IFERROR(BK10-BK13,0)</f>
        <v>32050827.74</v>
      </c>
      <c r="BL14" s="76" t="n">
        <f aca="false">IFERROR(BL10-BL13,0)</f>
        <v>36782948.62</v>
      </c>
      <c r="BM14" s="76" t="n">
        <f aca="false">IFERROR(BM10-BM13,0)</f>
        <v>42217065.6</v>
      </c>
      <c r="BN14" s="77" t="n">
        <f aca="false">SUM(BB14:BM14)</f>
        <v>265470399.82</v>
      </c>
    </row>
    <row r="15" customFormat="false" ht="18" hidden="false" customHeight="true" outlineLevel="0" collapsed="false">
      <c r="A15" s="105" t="s">
        <v>222</v>
      </c>
      <c r="B15" s="103" t="n">
        <f aca="false">IFERROR(B14/B10,0)</f>
        <v>0.707557894736842</v>
      </c>
      <c r="C15" s="103" t="n">
        <f aca="false">IFERROR(C14/C10,0)</f>
        <v>0.708378558348593</v>
      </c>
      <c r="D15" s="103" t="n">
        <f aca="false">IFERROR(D14/D10,0)</f>
        <v>0.725895614925037</v>
      </c>
      <c r="E15" s="103" t="n">
        <f aca="false">IFERROR(E14/E10,0)</f>
        <v>0.743121888873941</v>
      </c>
      <c r="F15" s="103" t="n">
        <f aca="false">IFERROR(F14/F10,0)</f>
        <v>0.758889589905363</v>
      </c>
      <c r="G15" s="103" t="n">
        <f aca="false">IFERROR(G14/G10,0)</f>
        <v>0.773065035415325</v>
      </c>
      <c r="H15" s="103" t="n">
        <f aca="false">IFERROR(H14/H10,0)</f>
        <v>0.787188512097542</v>
      </c>
      <c r="I15" s="103" t="n">
        <f aca="false">IFERROR(I14/I10,0)</f>
        <v>0.800467799322091</v>
      </c>
      <c r="J15" s="103" t="n">
        <f aca="false">IFERROR(J14/J10,0)</f>
        <v>0.811531760571279</v>
      </c>
      <c r="K15" s="103" t="n">
        <f aca="false">IFERROR(K14/K10,0)</f>
        <v>0.821663680403477</v>
      </c>
      <c r="L15" s="103" t="n">
        <f aca="false">IFERROR(L14/L10,0)</f>
        <v>0.831467339484532</v>
      </c>
      <c r="M15" s="103" t="n">
        <f aca="false">IFERROR(M14/M10,0)</f>
        <v>0.839938367118728</v>
      </c>
      <c r="N15" s="107" t="n">
        <f aca="false">M15</f>
        <v>0.839938367118728</v>
      </c>
      <c r="O15" s="103" t="n">
        <f aca="false">IFERROR(O14/O10,0)</f>
        <v>0.848226015681503</v>
      </c>
      <c r="P15" s="103" t="n">
        <f aca="false">IFERROR(P14/P10,0)</f>
        <v>0.855528957920918</v>
      </c>
      <c r="Q15" s="103" t="n">
        <f aca="false">IFERROR(Q14/Q10,0)</f>
        <v>0.862654060684197</v>
      </c>
      <c r="R15" s="103" t="n">
        <f aca="false">IFERROR(R14/R10,0)</f>
        <v>0.869267796128686</v>
      </c>
      <c r="S15" s="103" t="n">
        <f aca="false">IFERROR(S14/S10,0)</f>
        <v>0.875236364649039</v>
      </c>
      <c r="T15" s="103" t="n">
        <f aca="false">IFERROR(T14/T10,0)</f>
        <v>0.880921712680755</v>
      </c>
      <c r="U15" s="103" t="n">
        <f aca="false">IFERROR(U14/U10,0)</f>
        <v>0.886180312717878</v>
      </c>
      <c r="V15" s="103" t="n">
        <f aca="false">IFERROR(V14/V10,0)</f>
        <v>0.891024704004574</v>
      </c>
      <c r="W15" s="103" t="n">
        <f aca="false">IFERROR(W14/W10,0)</f>
        <v>0.895617698402041</v>
      </c>
      <c r="X15" s="103" t="n">
        <f aca="false">IFERROR(X14/X10,0)</f>
        <v>0.900031668462935</v>
      </c>
      <c r="Y15" s="103" t="n">
        <f aca="false">IFERROR(Y14/Y10,0)</f>
        <v>0.904193728458208</v>
      </c>
      <c r="Z15" s="103" t="n">
        <f aca="false">IFERROR(Z14/Z10,0)</f>
        <v>0.908141022349269</v>
      </c>
      <c r="AA15" s="107" t="n">
        <f aca="false">Z15</f>
        <v>0.908141022349269</v>
      </c>
      <c r="AB15" s="103" t="n">
        <f aca="false">IFERROR(AB14/AB10,0)</f>
        <v>0.911918807262451</v>
      </c>
      <c r="AC15" s="103" t="n">
        <f aca="false">IFERROR(AC14/AC10,0)</f>
        <v>0.915507904003801</v>
      </c>
      <c r="AD15" s="103" t="n">
        <f aca="false">IFERROR(AD14/AD10,0)</f>
        <v>0.918913811043352</v>
      </c>
      <c r="AE15" s="103" t="n">
        <f aca="false">IFERROR(AE14/AE10,0)</f>
        <v>0.922142359763959</v>
      </c>
      <c r="AF15" s="103" t="n">
        <f aca="false">IFERROR(AF14/AF10,0)</f>
        <v>0.925214571696607</v>
      </c>
      <c r="AG15" s="103" t="n">
        <f aca="false">IFERROR(AG14/AG10,0)</f>
        <v>0.928152699112794</v>
      </c>
      <c r="AH15" s="103" t="n">
        <f aca="false">IFERROR(AH14/AH10,0)</f>
        <v>0.930934744954112</v>
      </c>
      <c r="AI15" s="103" t="n">
        <f aca="false">IFERROR(AI14/AI10,0)</f>
        <v>0.933611775813269</v>
      </c>
      <c r="AJ15" s="103" t="n">
        <f aca="false">IFERROR(AJ14/AJ10,0)</f>
        <v>0.936182102528107</v>
      </c>
      <c r="AK15" s="103" t="n">
        <f aca="false">IFERROR(AK14/AK10,0)</f>
        <v>0.938654769842708</v>
      </c>
      <c r="AL15" s="103" t="n">
        <f aca="false">IFERROR(AL14/AL10,0)</f>
        <v>0.941032587994068</v>
      </c>
      <c r="AM15" s="103" t="n">
        <f aca="false">IFERROR(AM14/AM10,0)</f>
        <v>0.943314037104371</v>
      </c>
      <c r="AN15" s="107" t="n">
        <f aca="false">AM15</f>
        <v>0.943314037104371</v>
      </c>
      <c r="AO15" s="103" t="n">
        <f aca="false">IFERROR(AO14/AO10,0)</f>
        <v>0.945512021260614</v>
      </c>
      <c r="AP15" s="103" t="n">
        <f aca="false">IFERROR(AP14/AP10,0)</f>
        <v>0.947624250005329</v>
      </c>
      <c r="AQ15" s="103" t="n">
        <f aca="false">IFERROR(AQ14/AQ10,0)</f>
        <v>0.949651202541069</v>
      </c>
      <c r="AR15" s="103" t="n">
        <f aca="false">IFERROR(AR14/AR10,0)</f>
        <v>0.951606247754487</v>
      </c>
      <c r="AS15" s="103" t="n">
        <f aca="false">IFERROR(AS14/AS10,0)</f>
        <v>0.953487944049005</v>
      </c>
      <c r="AT15" s="103" t="n">
        <f aca="false">IFERROR(AT14/AT10,0)</f>
        <v>0.955298715219088</v>
      </c>
      <c r="AU15" s="103" t="n">
        <f aca="false">IFERROR(AU14/AU10,0)</f>
        <v>0.957045998500547</v>
      </c>
      <c r="AV15" s="103" t="n">
        <f aca="false">IFERROR(AV14/AV10,0)</f>
        <v>0.958728121491221</v>
      </c>
      <c r="AW15" s="103" t="n">
        <f aca="false">IFERROR(AW14/AW10,0)</f>
        <v>0.96034750287105</v>
      </c>
      <c r="AX15" s="103" t="n">
        <f aca="false">IFERROR(AX14/AX10,0)</f>
        <v>0.961908310474575</v>
      </c>
      <c r="AY15" s="103" t="n">
        <f aca="false">IFERROR(AY14/AY10,0)</f>
        <v>0.963411578188441</v>
      </c>
      <c r="AZ15" s="103" t="n">
        <f aca="false">IFERROR(AZ14/AZ10,0)</f>
        <v>0.964861187276279</v>
      </c>
      <c r="BA15" s="71" t="n">
        <f aca="false">AZ15</f>
        <v>0.964861187276279</v>
      </c>
      <c r="BB15" s="103" t="n">
        <f aca="false">IFERROR(BB14/BB10,0)</f>
        <v>0.966257061735457</v>
      </c>
      <c r="BC15" s="103" t="n">
        <f aca="false">IFERROR(BC14/BC10,0)</f>
        <v>0.967602364329793</v>
      </c>
      <c r="BD15" s="103" t="n">
        <f aca="false">IFERROR(BD14/BD10,0)</f>
        <v>0.968897111007054</v>
      </c>
      <c r="BE15" s="103" t="n">
        <f aca="false">IFERROR(BE14/BE10,0)</f>
        <v>0.970143260494949</v>
      </c>
      <c r="BF15" s="103" t="n">
        <f aca="false">IFERROR(BF14/BF10,0)</f>
        <v>0.971342948845986</v>
      </c>
      <c r="BG15" s="103" t="n">
        <f aca="false">IFERROR(BG14/BG10,0)</f>
        <v>0.972497588832461</v>
      </c>
      <c r="BH15" s="103" t="n">
        <f aca="false">IFERROR(BH14/BH10,0)</f>
        <v>0.973608566168821</v>
      </c>
      <c r="BI15" s="103" t="n">
        <f aca="false">IFERROR(BI14/BI10,0)</f>
        <v>0.974677763728572</v>
      </c>
      <c r="BJ15" s="103" t="n">
        <f aca="false">IFERROR(BJ14/BJ10,0)</f>
        <v>0.975706101412115</v>
      </c>
      <c r="BK15" s="103" t="n">
        <f aca="false">IFERROR(BK14/BK10,0)</f>
        <v>0.976695273398439</v>
      </c>
      <c r="BL15" s="103" t="n">
        <f aca="false">IFERROR(BL14/BL10,0)</f>
        <v>0.977646400513715</v>
      </c>
      <c r="BM15" s="103" t="n">
        <f aca="false">IFERROR(BM14/BM10,0)</f>
        <v>0.978560878690998</v>
      </c>
      <c r="BN15" s="71" t="n">
        <f aca="false">BM15</f>
        <v>0.978560878690998</v>
      </c>
    </row>
    <row r="16" customFormat="false" ht="6" hidden="false" customHeight="true" outlineLevel="0" collapsed="false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78"/>
      <c r="AZ16" s="78"/>
      <c r="BA16" s="79"/>
      <c r="BB16" s="78"/>
      <c r="BC16" s="78"/>
      <c r="BD16" s="78"/>
      <c r="BE16" s="78"/>
      <c r="BF16" s="78"/>
      <c r="BG16" s="78"/>
      <c r="BH16" s="78"/>
      <c r="BI16" s="78"/>
      <c r="BJ16" s="78"/>
      <c r="BK16" s="78"/>
      <c r="BL16" s="78"/>
      <c r="BM16" s="78"/>
      <c r="BN16" s="79"/>
    </row>
    <row r="17" customFormat="false" ht="19.5" hidden="false" customHeight="true" outlineLevel="0" collapsed="false">
      <c r="A17" s="80" t="s">
        <v>242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0"/>
      <c r="BF17" s="80"/>
      <c r="BG17" s="80"/>
      <c r="BH17" s="80"/>
      <c r="BI17" s="80"/>
      <c r="BJ17" s="80"/>
      <c r="BK17" s="80"/>
      <c r="BL17" s="80"/>
      <c r="BM17" s="80"/>
      <c r="BN17" s="80"/>
    </row>
    <row r="18" customFormat="false" ht="15.75" hidden="false" customHeight="true" outlineLevel="0" collapsed="false">
      <c r="A18" s="108" t="s">
        <v>243</v>
      </c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8"/>
      <c r="AQ18" s="108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8"/>
      <c r="BD18" s="108"/>
      <c r="BE18" s="108"/>
      <c r="BF18" s="108"/>
      <c r="BG18" s="108"/>
      <c r="BH18" s="108"/>
      <c r="BI18" s="108"/>
      <c r="BJ18" s="108"/>
      <c r="BK18" s="108"/>
      <c r="BL18" s="108"/>
      <c r="BM18" s="108"/>
      <c r="BN18" s="108"/>
    </row>
    <row r="19" customFormat="false" ht="18" hidden="false" customHeight="true" outlineLevel="0" collapsed="false">
      <c r="A19" s="72" t="s">
        <v>244</v>
      </c>
      <c r="B19" s="94" t="n">
        <f aca="false">IFERROR(HEADCOUNT!B13,0)</f>
        <v>18208</v>
      </c>
      <c r="C19" s="94" t="n">
        <f aca="false">IFERROR(HEADCOUNT!C13,0)</f>
        <v>18208</v>
      </c>
      <c r="D19" s="94" t="n">
        <f aca="false">IFERROR(HEADCOUNT!D13,0)</f>
        <v>24467</v>
      </c>
      <c r="E19" s="94" t="n">
        <f aca="false">IFERROR(HEADCOUNT!E13,0)</f>
        <v>24467</v>
      </c>
      <c r="F19" s="94" t="n">
        <f aca="false">IFERROR(HEADCOUNT!F13,0)</f>
        <v>24467</v>
      </c>
      <c r="G19" s="94" t="n">
        <f aca="false">IFERROR(HEADCOUNT!G13,0)</f>
        <v>35847</v>
      </c>
      <c r="H19" s="94" t="n">
        <f aca="false">IFERROR(HEADCOUNT!H13,0)</f>
        <v>35847</v>
      </c>
      <c r="I19" s="94" t="n">
        <f aca="false">IFERROR(HEADCOUNT!I13,0)</f>
        <v>35847</v>
      </c>
      <c r="J19" s="94" t="n">
        <f aca="false">IFERROR(HEADCOUNT!J13,0)</f>
        <v>35847</v>
      </c>
      <c r="K19" s="94" t="n">
        <f aca="false">IFERROR(HEADCOUNT!K13,0)</f>
        <v>35847</v>
      </c>
      <c r="L19" s="94" t="n">
        <f aca="false">IFERROR(HEADCOUNT!L13,0)</f>
        <v>35847</v>
      </c>
      <c r="M19" s="94" t="n">
        <f aca="false">IFERROR(HEADCOUNT!M13,0)</f>
        <v>35847</v>
      </c>
      <c r="N19" s="103" t="n">
        <f aca="false">SUM(B19:M19)</f>
        <v>360746</v>
      </c>
      <c r="O19" s="94" t="n">
        <f aca="false">IFERROR(HEADCOUNT!O13,0)</f>
        <v>35847</v>
      </c>
      <c r="P19" s="94" t="n">
        <f aca="false">IFERROR(HEADCOUNT!P13,0)</f>
        <v>35847</v>
      </c>
      <c r="Q19" s="94" t="n">
        <f aca="false">IFERROR(HEADCOUNT!Q13,0)</f>
        <v>35847</v>
      </c>
      <c r="R19" s="94" t="n">
        <f aca="false">IFERROR(HEADCOUNT!R13,0)</f>
        <v>35847</v>
      </c>
      <c r="S19" s="94" t="n">
        <f aca="false">IFERROR(HEADCOUNT!S13,0)</f>
        <v>35847</v>
      </c>
      <c r="T19" s="94" t="n">
        <f aca="false">IFERROR(HEADCOUNT!T13,0)</f>
        <v>35847</v>
      </c>
      <c r="U19" s="94" t="n">
        <f aca="false">IFERROR(HEADCOUNT!U13,0)</f>
        <v>35847</v>
      </c>
      <c r="V19" s="94" t="n">
        <f aca="false">IFERROR(HEADCOUNT!V13,0)</f>
        <v>35847</v>
      </c>
      <c r="W19" s="94" t="n">
        <f aca="false">IFERROR(HEADCOUNT!W13,0)</f>
        <v>35847</v>
      </c>
      <c r="X19" s="94" t="n">
        <f aca="false">IFERROR(HEADCOUNT!X13,0)</f>
        <v>35847</v>
      </c>
      <c r="Y19" s="94" t="n">
        <f aca="false">IFERROR(HEADCOUNT!Y13,0)</f>
        <v>35847</v>
      </c>
      <c r="Z19" s="94" t="n">
        <f aca="false">IFERROR(HEADCOUNT!Z13,0)</f>
        <v>35847</v>
      </c>
      <c r="AA19" s="103" t="n">
        <f aca="false">SUM(O19:Z19)</f>
        <v>430164</v>
      </c>
      <c r="AB19" s="94" t="n">
        <f aca="false">IFERROR(HEADCOUNT!AB13,0)</f>
        <v>35847</v>
      </c>
      <c r="AC19" s="94" t="n">
        <f aca="false">IFERROR(HEADCOUNT!AC13,0)</f>
        <v>35847</v>
      </c>
      <c r="AD19" s="94" t="n">
        <f aca="false">IFERROR(HEADCOUNT!AD13,0)</f>
        <v>35847</v>
      </c>
      <c r="AE19" s="94" t="n">
        <f aca="false">IFERROR(HEADCOUNT!AE13,0)</f>
        <v>35847</v>
      </c>
      <c r="AF19" s="94" t="n">
        <f aca="false">IFERROR(HEADCOUNT!AF13,0)</f>
        <v>35847</v>
      </c>
      <c r="AG19" s="94" t="n">
        <f aca="false">IFERROR(HEADCOUNT!AG13,0)</f>
        <v>35847</v>
      </c>
      <c r="AH19" s="94" t="n">
        <f aca="false">IFERROR(HEADCOUNT!AH13,0)</f>
        <v>35847</v>
      </c>
      <c r="AI19" s="94" t="n">
        <f aca="false">IFERROR(HEADCOUNT!AI13,0)</f>
        <v>35847</v>
      </c>
      <c r="AJ19" s="94" t="n">
        <f aca="false">IFERROR(HEADCOUNT!AJ13,0)</f>
        <v>35847</v>
      </c>
      <c r="AK19" s="94" t="n">
        <f aca="false">IFERROR(HEADCOUNT!AK13,0)</f>
        <v>35847</v>
      </c>
      <c r="AL19" s="94" t="n">
        <f aca="false">IFERROR(HEADCOUNT!AL13,0)</f>
        <v>35847</v>
      </c>
      <c r="AM19" s="94" t="n">
        <f aca="false">IFERROR(HEADCOUNT!AM13,0)</f>
        <v>35847</v>
      </c>
      <c r="AN19" s="103" t="n">
        <f aca="false">SUM(AB19:AM19)</f>
        <v>430164</v>
      </c>
      <c r="AO19" s="94" t="n">
        <f aca="false">IFERROR(HEADCOUNT!AO13,0)</f>
        <v>35847</v>
      </c>
      <c r="AP19" s="94" t="n">
        <f aca="false">IFERROR(HEADCOUNT!AP13,0)</f>
        <v>35847</v>
      </c>
      <c r="AQ19" s="94" t="n">
        <f aca="false">IFERROR(HEADCOUNT!AQ13,0)</f>
        <v>35847</v>
      </c>
      <c r="AR19" s="94" t="n">
        <f aca="false">IFERROR(HEADCOUNT!AR13,0)</f>
        <v>35847</v>
      </c>
      <c r="AS19" s="94" t="n">
        <f aca="false">IFERROR(HEADCOUNT!AS13,0)</f>
        <v>35847</v>
      </c>
      <c r="AT19" s="94" t="n">
        <f aca="false">IFERROR(HEADCOUNT!AT13,0)</f>
        <v>35847</v>
      </c>
      <c r="AU19" s="94" t="n">
        <f aca="false">IFERROR(HEADCOUNT!AU13,0)</f>
        <v>35847</v>
      </c>
      <c r="AV19" s="94" t="n">
        <f aca="false">IFERROR(HEADCOUNT!AV13,0)</f>
        <v>35847</v>
      </c>
      <c r="AW19" s="94" t="n">
        <f aca="false">IFERROR(HEADCOUNT!AW13,0)</f>
        <v>35847</v>
      </c>
      <c r="AX19" s="94" t="n">
        <f aca="false">IFERROR(HEADCOUNT!AX13,0)</f>
        <v>35847</v>
      </c>
      <c r="AY19" s="94" t="n">
        <f aca="false">IFERROR(HEADCOUNT!AY13,0)</f>
        <v>35847</v>
      </c>
      <c r="AZ19" s="94" t="n">
        <f aca="false">IFERROR(HEADCOUNT!AZ13,0)</f>
        <v>35847</v>
      </c>
      <c r="BA19" s="71" t="n">
        <f aca="false">SUM(AO19:AZ19)</f>
        <v>430164</v>
      </c>
      <c r="BB19" s="94" t="n">
        <f aca="false">IFERROR(HEADCOUNT!BB13,0)</f>
        <v>35847</v>
      </c>
      <c r="BC19" s="94" t="n">
        <f aca="false">IFERROR(HEADCOUNT!BC13,0)</f>
        <v>35847</v>
      </c>
      <c r="BD19" s="94" t="n">
        <f aca="false">IFERROR(HEADCOUNT!BD13,0)</f>
        <v>35847</v>
      </c>
      <c r="BE19" s="94" t="n">
        <f aca="false">IFERROR(HEADCOUNT!BE13,0)</f>
        <v>35847</v>
      </c>
      <c r="BF19" s="94" t="n">
        <f aca="false">IFERROR(HEADCOUNT!BF13,0)</f>
        <v>35847</v>
      </c>
      <c r="BG19" s="94" t="n">
        <f aca="false">IFERROR(HEADCOUNT!BG13,0)</f>
        <v>35847</v>
      </c>
      <c r="BH19" s="94" t="n">
        <f aca="false">IFERROR(HEADCOUNT!BH13,0)</f>
        <v>35847</v>
      </c>
      <c r="BI19" s="94" t="n">
        <f aca="false">IFERROR(HEADCOUNT!BI13,0)</f>
        <v>35847</v>
      </c>
      <c r="BJ19" s="94" t="n">
        <f aca="false">IFERROR(HEADCOUNT!BJ13,0)</f>
        <v>35847</v>
      </c>
      <c r="BK19" s="94" t="n">
        <f aca="false">IFERROR(HEADCOUNT!BK13,0)</f>
        <v>35847</v>
      </c>
      <c r="BL19" s="94" t="n">
        <f aca="false">IFERROR(HEADCOUNT!BL13,0)</f>
        <v>35847</v>
      </c>
      <c r="BM19" s="94" t="n">
        <f aca="false">IFERROR(HEADCOUNT!BM13,0)</f>
        <v>35847</v>
      </c>
      <c r="BN19" s="71" t="n">
        <f aca="false">SUM(BB19:BM19)</f>
        <v>430164</v>
      </c>
    </row>
    <row r="20" customFormat="false" ht="18" hidden="false" customHeight="true" outlineLevel="0" collapsed="false">
      <c r="A20" s="74" t="s">
        <v>245</v>
      </c>
      <c r="B20" s="94" t="n">
        <f aca="false">IFERROR(HEADCOUNT!B19,0)</f>
        <v>9104</v>
      </c>
      <c r="C20" s="94" t="n">
        <f aca="false">IFERROR(HEADCOUNT!C19,0)</f>
        <v>9104</v>
      </c>
      <c r="D20" s="94" t="n">
        <f aca="false">IFERROR(HEADCOUNT!D19,0)</f>
        <v>15932</v>
      </c>
      <c r="E20" s="94" t="n">
        <f aca="false">IFERROR(HEADCOUNT!E19,0)</f>
        <v>15932</v>
      </c>
      <c r="F20" s="94" t="n">
        <f aca="false">IFERROR(HEADCOUNT!F19,0)</f>
        <v>15932</v>
      </c>
      <c r="G20" s="94" t="n">
        <f aca="false">IFERROR(HEADCOUNT!G19,0)</f>
        <v>21622</v>
      </c>
      <c r="H20" s="94" t="n">
        <f aca="false">IFERROR(HEADCOUNT!H19,0)</f>
        <v>21622</v>
      </c>
      <c r="I20" s="94" t="n">
        <f aca="false">IFERROR(HEADCOUNT!I19,0)</f>
        <v>21622</v>
      </c>
      <c r="J20" s="94" t="n">
        <f aca="false">IFERROR(HEADCOUNT!J19,0)</f>
        <v>21622</v>
      </c>
      <c r="K20" s="94" t="n">
        <f aca="false">IFERROR(HEADCOUNT!K19,0)</f>
        <v>21622</v>
      </c>
      <c r="L20" s="94" t="n">
        <f aca="false">IFERROR(HEADCOUNT!L19,0)</f>
        <v>21622</v>
      </c>
      <c r="M20" s="94" t="n">
        <f aca="false">IFERROR(HEADCOUNT!M19,0)</f>
        <v>21622</v>
      </c>
      <c r="N20" s="103" t="n">
        <f aca="false">SUM(B20:M20)</f>
        <v>217358</v>
      </c>
      <c r="O20" s="94" t="n">
        <f aca="false">IFERROR(HEADCOUNT!O19,0)</f>
        <v>21622</v>
      </c>
      <c r="P20" s="94" t="n">
        <f aca="false">IFERROR(HEADCOUNT!P19,0)</f>
        <v>21622</v>
      </c>
      <c r="Q20" s="94" t="n">
        <f aca="false">IFERROR(HEADCOUNT!Q19,0)</f>
        <v>21622</v>
      </c>
      <c r="R20" s="94" t="n">
        <f aca="false">IFERROR(HEADCOUNT!R19,0)</f>
        <v>21622</v>
      </c>
      <c r="S20" s="94" t="n">
        <f aca="false">IFERROR(HEADCOUNT!S19,0)</f>
        <v>21622</v>
      </c>
      <c r="T20" s="94" t="n">
        <f aca="false">IFERROR(HEADCOUNT!T19,0)</f>
        <v>21622</v>
      </c>
      <c r="U20" s="94" t="n">
        <f aca="false">IFERROR(HEADCOUNT!U19,0)</f>
        <v>21622</v>
      </c>
      <c r="V20" s="94" t="n">
        <f aca="false">IFERROR(HEADCOUNT!V19,0)</f>
        <v>21622</v>
      </c>
      <c r="W20" s="94" t="n">
        <f aca="false">IFERROR(HEADCOUNT!W19,0)</f>
        <v>21622</v>
      </c>
      <c r="X20" s="94" t="n">
        <f aca="false">IFERROR(HEADCOUNT!X19,0)</f>
        <v>21622</v>
      </c>
      <c r="Y20" s="94" t="n">
        <f aca="false">IFERROR(HEADCOUNT!Y19,0)</f>
        <v>21622</v>
      </c>
      <c r="Z20" s="94" t="n">
        <f aca="false">IFERROR(HEADCOUNT!Z19,0)</f>
        <v>21622</v>
      </c>
      <c r="AA20" s="103" t="n">
        <f aca="false">SUM(O20:Z20)</f>
        <v>259464</v>
      </c>
      <c r="AB20" s="94" t="n">
        <f aca="false">IFERROR(HEADCOUNT!AB19,0)</f>
        <v>21622</v>
      </c>
      <c r="AC20" s="94" t="n">
        <f aca="false">IFERROR(HEADCOUNT!AC19,0)</f>
        <v>21622</v>
      </c>
      <c r="AD20" s="94" t="n">
        <f aca="false">IFERROR(HEADCOUNT!AD19,0)</f>
        <v>21622</v>
      </c>
      <c r="AE20" s="94" t="n">
        <f aca="false">IFERROR(HEADCOUNT!AE19,0)</f>
        <v>21622</v>
      </c>
      <c r="AF20" s="94" t="n">
        <f aca="false">IFERROR(HEADCOUNT!AF19,0)</f>
        <v>21622</v>
      </c>
      <c r="AG20" s="94" t="n">
        <f aca="false">IFERROR(HEADCOUNT!AG19,0)</f>
        <v>21622</v>
      </c>
      <c r="AH20" s="94" t="n">
        <f aca="false">IFERROR(HEADCOUNT!AH19,0)</f>
        <v>21622</v>
      </c>
      <c r="AI20" s="94" t="n">
        <f aca="false">IFERROR(HEADCOUNT!AI19,0)</f>
        <v>21622</v>
      </c>
      <c r="AJ20" s="94" t="n">
        <f aca="false">IFERROR(HEADCOUNT!AJ19,0)</f>
        <v>21622</v>
      </c>
      <c r="AK20" s="94" t="n">
        <f aca="false">IFERROR(HEADCOUNT!AK19,0)</f>
        <v>21622</v>
      </c>
      <c r="AL20" s="94" t="n">
        <f aca="false">IFERROR(HEADCOUNT!AL19,0)</f>
        <v>21622</v>
      </c>
      <c r="AM20" s="94" t="n">
        <f aca="false">IFERROR(HEADCOUNT!AM19,0)</f>
        <v>21622</v>
      </c>
      <c r="AN20" s="103" t="n">
        <f aca="false">SUM(AB20:AM20)</f>
        <v>259464</v>
      </c>
      <c r="AO20" s="94" t="n">
        <f aca="false">IFERROR(HEADCOUNT!AO19,0)</f>
        <v>21622</v>
      </c>
      <c r="AP20" s="94" t="n">
        <f aca="false">IFERROR(HEADCOUNT!AP19,0)</f>
        <v>21622</v>
      </c>
      <c r="AQ20" s="94" t="n">
        <f aca="false">IFERROR(HEADCOUNT!AQ19,0)</f>
        <v>21622</v>
      </c>
      <c r="AR20" s="94" t="n">
        <f aca="false">IFERROR(HEADCOUNT!AR19,0)</f>
        <v>21622</v>
      </c>
      <c r="AS20" s="94" t="n">
        <f aca="false">IFERROR(HEADCOUNT!AS19,0)</f>
        <v>21622</v>
      </c>
      <c r="AT20" s="94" t="n">
        <f aca="false">IFERROR(HEADCOUNT!AT19,0)</f>
        <v>21622</v>
      </c>
      <c r="AU20" s="94" t="n">
        <f aca="false">IFERROR(HEADCOUNT!AU19,0)</f>
        <v>21622</v>
      </c>
      <c r="AV20" s="94" t="n">
        <f aca="false">IFERROR(HEADCOUNT!AV19,0)</f>
        <v>21622</v>
      </c>
      <c r="AW20" s="94" t="n">
        <f aca="false">IFERROR(HEADCOUNT!AW19,0)</f>
        <v>21622</v>
      </c>
      <c r="AX20" s="94" t="n">
        <f aca="false">IFERROR(HEADCOUNT!AX19,0)</f>
        <v>21622</v>
      </c>
      <c r="AY20" s="94" t="n">
        <f aca="false">IFERROR(HEADCOUNT!AY19,0)</f>
        <v>21622</v>
      </c>
      <c r="AZ20" s="94" t="n">
        <f aca="false">IFERROR(HEADCOUNT!AZ19,0)</f>
        <v>21622</v>
      </c>
      <c r="BA20" s="71" t="n">
        <f aca="false">SUM(AO20:AZ20)</f>
        <v>259464</v>
      </c>
      <c r="BB20" s="94" t="n">
        <f aca="false">IFERROR(HEADCOUNT!BB19,0)</f>
        <v>21622</v>
      </c>
      <c r="BC20" s="94" t="n">
        <f aca="false">IFERROR(HEADCOUNT!BC19,0)</f>
        <v>21622</v>
      </c>
      <c r="BD20" s="94" t="n">
        <f aca="false">IFERROR(HEADCOUNT!BD19,0)</f>
        <v>21622</v>
      </c>
      <c r="BE20" s="94" t="n">
        <f aca="false">IFERROR(HEADCOUNT!BE19,0)</f>
        <v>21622</v>
      </c>
      <c r="BF20" s="94" t="n">
        <f aca="false">IFERROR(HEADCOUNT!BF19,0)</f>
        <v>21622</v>
      </c>
      <c r="BG20" s="94" t="n">
        <f aca="false">IFERROR(HEADCOUNT!BG19,0)</f>
        <v>21622</v>
      </c>
      <c r="BH20" s="94" t="n">
        <f aca="false">IFERROR(HEADCOUNT!BH19,0)</f>
        <v>21622</v>
      </c>
      <c r="BI20" s="94" t="n">
        <f aca="false">IFERROR(HEADCOUNT!BI19,0)</f>
        <v>21622</v>
      </c>
      <c r="BJ20" s="94" t="n">
        <f aca="false">IFERROR(HEADCOUNT!BJ19,0)</f>
        <v>21622</v>
      </c>
      <c r="BK20" s="94" t="n">
        <f aca="false">IFERROR(HEADCOUNT!BK19,0)</f>
        <v>21622</v>
      </c>
      <c r="BL20" s="94" t="n">
        <f aca="false">IFERROR(HEADCOUNT!BL19,0)</f>
        <v>21622</v>
      </c>
      <c r="BM20" s="94" t="n">
        <f aca="false">IFERROR(HEADCOUNT!BM19,0)</f>
        <v>21622</v>
      </c>
      <c r="BN20" s="71" t="n">
        <f aca="false">SUM(BB20:BM20)</f>
        <v>259464</v>
      </c>
    </row>
    <row r="21" customFormat="false" ht="18" hidden="false" customHeight="true" outlineLevel="0" collapsed="false">
      <c r="A21" s="72" t="s">
        <v>246</v>
      </c>
      <c r="B21" s="94" t="n">
        <f aca="false">IFERROR(HEADCOUNT!B26,0)</f>
        <v>0</v>
      </c>
      <c r="C21" s="94" t="n">
        <f aca="false">IFERROR(HEADCOUNT!C26,0)</f>
        <v>0</v>
      </c>
      <c r="D21" s="94" t="n">
        <f aca="false">IFERROR(HEADCOUNT!D26,0)</f>
        <v>0</v>
      </c>
      <c r="E21" s="94" t="n">
        <f aca="false">IFERROR(HEADCOUNT!E26,0)</f>
        <v>0</v>
      </c>
      <c r="F21" s="94" t="n">
        <f aca="false">IFERROR(HEADCOUNT!F26,0)</f>
        <v>0</v>
      </c>
      <c r="G21" s="94" t="n">
        <f aca="false">IFERROR(HEADCOUNT!G26,0)</f>
        <v>10242</v>
      </c>
      <c r="H21" s="94" t="n">
        <f aca="false">IFERROR(HEADCOUNT!H26,0)</f>
        <v>10242</v>
      </c>
      <c r="I21" s="94" t="n">
        <f aca="false">IFERROR(HEADCOUNT!I26,0)</f>
        <v>10242</v>
      </c>
      <c r="J21" s="94" t="n">
        <f aca="false">IFERROR(HEADCOUNT!J26,0)</f>
        <v>19915</v>
      </c>
      <c r="K21" s="94" t="n">
        <f aca="false">IFERROR(HEADCOUNT!K26,0)</f>
        <v>19915</v>
      </c>
      <c r="L21" s="94" t="n">
        <f aca="false">IFERROR(HEADCOUNT!L26,0)</f>
        <v>19915</v>
      </c>
      <c r="M21" s="94" t="n">
        <f aca="false">IFERROR(HEADCOUNT!M26,0)</f>
        <v>25605</v>
      </c>
      <c r="N21" s="103" t="n">
        <f aca="false">SUM(B21:M21)</f>
        <v>116076</v>
      </c>
      <c r="O21" s="94" t="n">
        <f aca="false">IFERROR(HEADCOUNT!O26,0)</f>
        <v>25605</v>
      </c>
      <c r="P21" s="94" t="n">
        <f aca="false">IFERROR(HEADCOUNT!P26,0)</f>
        <v>25605</v>
      </c>
      <c r="Q21" s="94" t="n">
        <f aca="false">IFERROR(HEADCOUNT!Q26,0)</f>
        <v>25605</v>
      </c>
      <c r="R21" s="94" t="n">
        <f aca="false">IFERROR(HEADCOUNT!R26,0)</f>
        <v>25605</v>
      </c>
      <c r="S21" s="94" t="n">
        <f aca="false">IFERROR(HEADCOUNT!S26,0)</f>
        <v>25605</v>
      </c>
      <c r="T21" s="94" t="n">
        <f aca="false">IFERROR(HEADCOUNT!T26,0)</f>
        <v>25605</v>
      </c>
      <c r="U21" s="94" t="n">
        <f aca="false">IFERROR(HEADCOUNT!U26,0)</f>
        <v>25605</v>
      </c>
      <c r="V21" s="94" t="n">
        <f aca="false">IFERROR(HEADCOUNT!V26,0)</f>
        <v>25605</v>
      </c>
      <c r="W21" s="94" t="n">
        <f aca="false">IFERROR(HEADCOUNT!W26,0)</f>
        <v>25605</v>
      </c>
      <c r="X21" s="94" t="n">
        <f aca="false">IFERROR(HEADCOUNT!X26,0)</f>
        <v>25605</v>
      </c>
      <c r="Y21" s="94" t="n">
        <f aca="false">IFERROR(HEADCOUNT!Y26,0)</f>
        <v>25605</v>
      </c>
      <c r="Z21" s="94" t="n">
        <f aca="false">IFERROR(HEADCOUNT!Z26,0)</f>
        <v>25605</v>
      </c>
      <c r="AA21" s="103" t="n">
        <f aca="false">SUM(O21:Z21)</f>
        <v>307260</v>
      </c>
      <c r="AB21" s="94" t="n">
        <f aca="false">IFERROR(HEADCOUNT!AB26,0)</f>
        <v>25605</v>
      </c>
      <c r="AC21" s="94" t="n">
        <f aca="false">IFERROR(HEADCOUNT!AC26,0)</f>
        <v>25605</v>
      </c>
      <c r="AD21" s="94" t="n">
        <f aca="false">IFERROR(HEADCOUNT!AD26,0)</f>
        <v>25605</v>
      </c>
      <c r="AE21" s="94" t="n">
        <f aca="false">IFERROR(HEADCOUNT!AE26,0)</f>
        <v>25605</v>
      </c>
      <c r="AF21" s="94" t="n">
        <f aca="false">IFERROR(HEADCOUNT!AF26,0)</f>
        <v>25605</v>
      </c>
      <c r="AG21" s="94" t="n">
        <f aca="false">IFERROR(HEADCOUNT!AG26,0)</f>
        <v>25605</v>
      </c>
      <c r="AH21" s="94" t="n">
        <f aca="false">IFERROR(HEADCOUNT!AH26,0)</f>
        <v>25605</v>
      </c>
      <c r="AI21" s="94" t="n">
        <f aca="false">IFERROR(HEADCOUNT!AI26,0)</f>
        <v>25605</v>
      </c>
      <c r="AJ21" s="94" t="n">
        <f aca="false">IFERROR(HEADCOUNT!AJ26,0)</f>
        <v>25605</v>
      </c>
      <c r="AK21" s="94" t="n">
        <f aca="false">IFERROR(HEADCOUNT!AK26,0)</f>
        <v>25605</v>
      </c>
      <c r="AL21" s="94" t="n">
        <f aca="false">IFERROR(HEADCOUNT!AL26,0)</f>
        <v>25605</v>
      </c>
      <c r="AM21" s="94" t="n">
        <f aca="false">IFERROR(HEADCOUNT!AM26,0)</f>
        <v>25605</v>
      </c>
      <c r="AN21" s="103" t="n">
        <f aca="false">SUM(AB21:AM21)</f>
        <v>307260</v>
      </c>
      <c r="AO21" s="94" t="n">
        <f aca="false">IFERROR(HEADCOUNT!AO26,0)</f>
        <v>25605</v>
      </c>
      <c r="AP21" s="94" t="n">
        <f aca="false">IFERROR(HEADCOUNT!AP26,0)</f>
        <v>25605</v>
      </c>
      <c r="AQ21" s="94" t="n">
        <f aca="false">IFERROR(HEADCOUNT!AQ26,0)</f>
        <v>25605</v>
      </c>
      <c r="AR21" s="94" t="n">
        <f aca="false">IFERROR(HEADCOUNT!AR26,0)</f>
        <v>25605</v>
      </c>
      <c r="AS21" s="94" t="n">
        <f aca="false">IFERROR(HEADCOUNT!AS26,0)</f>
        <v>25605</v>
      </c>
      <c r="AT21" s="94" t="n">
        <f aca="false">IFERROR(HEADCOUNT!AT26,0)</f>
        <v>25605</v>
      </c>
      <c r="AU21" s="94" t="n">
        <f aca="false">IFERROR(HEADCOUNT!AU26,0)</f>
        <v>25605</v>
      </c>
      <c r="AV21" s="94" t="n">
        <f aca="false">IFERROR(HEADCOUNT!AV26,0)</f>
        <v>25605</v>
      </c>
      <c r="AW21" s="94" t="n">
        <f aca="false">IFERROR(HEADCOUNT!AW26,0)</f>
        <v>25605</v>
      </c>
      <c r="AX21" s="94" t="n">
        <f aca="false">IFERROR(HEADCOUNT!AX26,0)</f>
        <v>25605</v>
      </c>
      <c r="AY21" s="94" t="n">
        <f aca="false">IFERROR(HEADCOUNT!AY26,0)</f>
        <v>25605</v>
      </c>
      <c r="AZ21" s="94" t="n">
        <f aca="false">IFERROR(HEADCOUNT!AZ26,0)</f>
        <v>25605</v>
      </c>
      <c r="BA21" s="71" t="n">
        <f aca="false">SUM(AO21:AZ21)</f>
        <v>307260</v>
      </c>
      <c r="BB21" s="94" t="n">
        <f aca="false">IFERROR(HEADCOUNT!BB26,0)</f>
        <v>25605</v>
      </c>
      <c r="BC21" s="94" t="n">
        <f aca="false">IFERROR(HEADCOUNT!BC26,0)</f>
        <v>25605</v>
      </c>
      <c r="BD21" s="94" t="n">
        <f aca="false">IFERROR(HEADCOUNT!BD26,0)</f>
        <v>25605</v>
      </c>
      <c r="BE21" s="94" t="n">
        <f aca="false">IFERROR(HEADCOUNT!BE26,0)</f>
        <v>25605</v>
      </c>
      <c r="BF21" s="94" t="n">
        <f aca="false">IFERROR(HEADCOUNT!BF26,0)</f>
        <v>25605</v>
      </c>
      <c r="BG21" s="94" t="n">
        <f aca="false">IFERROR(HEADCOUNT!BG26,0)</f>
        <v>25605</v>
      </c>
      <c r="BH21" s="94" t="n">
        <f aca="false">IFERROR(HEADCOUNT!BH26,0)</f>
        <v>25605</v>
      </c>
      <c r="BI21" s="94" t="n">
        <f aca="false">IFERROR(HEADCOUNT!BI26,0)</f>
        <v>25605</v>
      </c>
      <c r="BJ21" s="94" t="n">
        <f aca="false">IFERROR(HEADCOUNT!BJ26,0)</f>
        <v>25605</v>
      </c>
      <c r="BK21" s="94" t="n">
        <f aca="false">IFERROR(HEADCOUNT!BK26,0)</f>
        <v>25605</v>
      </c>
      <c r="BL21" s="94" t="n">
        <f aca="false">IFERROR(HEADCOUNT!BL26,0)</f>
        <v>25605</v>
      </c>
      <c r="BM21" s="94" t="n">
        <f aca="false">IFERROR(HEADCOUNT!BM26,0)</f>
        <v>25605</v>
      </c>
      <c r="BN21" s="71" t="n">
        <f aca="false">SUM(BB21:BM21)</f>
        <v>307260</v>
      </c>
    </row>
    <row r="22" customFormat="false" ht="18" hidden="false" customHeight="true" outlineLevel="0" collapsed="false">
      <c r="A22" s="74" t="s">
        <v>247</v>
      </c>
      <c r="B22" s="94" t="n">
        <f aca="false">IFERROR(HEADCOUNT!B32,0)</f>
        <v>0</v>
      </c>
      <c r="C22" s="94" t="n">
        <f aca="false">IFERROR(HEADCOUNT!C32,0)</f>
        <v>0</v>
      </c>
      <c r="D22" s="94" t="n">
        <f aca="false">IFERROR(HEADCOUNT!D32,0)</f>
        <v>0</v>
      </c>
      <c r="E22" s="94" t="n">
        <f aca="false">IFERROR(HEADCOUNT!E32,0)</f>
        <v>0</v>
      </c>
      <c r="F22" s="94" t="n">
        <f aca="false">IFERROR(HEADCOUNT!F32,0)</f>
        <v>0</v>
      </c>
      <c r="G22" s="94" t="n">
        <f aca="false">IFERROR(HEADCOUNT!G32,0)</f>
        <v>9104</v>
      </c>
      <c r="H22" s="94" t="n">
        <f aca="false">IFERROR(HEADCOUNT!H32,0)</f>
        <v>9104</v>
      </c>
      <c r="I22" s="94" t="n">
        <f aca="false">IFERROR(HEADCOUNT!I32,0)</f>
        <v>9104</v>
      </c>
      <c r="J22" s="94" t="n">
        <f aca="false">IFERROR(HEADCOUNT!J32,0)</f>
        <v>14225</v>
      </c>
      <c r="K22" s="94" t="n">
        <f aca="false">IFERROR(HEADCOUNT!K32,0)</f>
        <v>14225</v>
      </c>
      <c r="L22" s="94" t="n">
        <f aca="false">IFERROR(HEADCOUNT!L32,0)</f>
        <v>14225</v>
      </c>
      <c r="M22" s="94" t="n">
        <f aca="false">IFERROR(HEADCOUNT!M32,0)</f>
        <v>20484</v>
      </c>
      <c r="N22" s="103" t="n">
        <f aca="false">SUM(B22:M22)</f>
        <v>90471</v>
      </c>
      <c r="O22" s="94" t="n">
        <f aca="false">IFERROR(HEADCOUNT!O32,0)</f>
        <v>20484</v>
      </c>
      <c r="P22" s="94" t="n">
        <f aca="false">IFERROR(HEADCOUNT!P32,0)</f>
        <v>20484</v>
      </c>
      <c r="Q22" s="94" t="n">
        <f aca="false">IFERROR(HEADCOUNT!Q32,0)</f>
        <v>20484</v>
      </c>
      <c r="R22" s="94" t="n">
        <f aca="false">IFERROR(HEADCOUNT!R32,0)</f>
        <v>20484</v>
      </c>
      <c r="S22" s="94" t="n">
        <f aca="false">IFERROR(HEADCOUNT!S32,0)</f>
        <v>20484</v>
      </c>
      <c r="T22" s="94" t="n">
        <f aca="false">IFERROR(HEADCOUNT!T32,0)</f>
        <v>20484</v>
      </c>
      <c r="U22" s="94" t="n">
        <f aca="false">IFERROR(HEADCOUNT!U32,0)</f>
        <v>20484</v>
      </c>
      <c r="V22" s="94" t="n">
        <f aca="false">IFERROR(HEADCOUNT!V32,0)</f>
        <v>20484</v>
      </c>
      <c r="W22" s="94" t="n">
        <f aca="false">IFERROR(HEADCOUNT!W32,0)</f>
        <v>20484</v>
      </c>
      <c r="X22" s="94" t="n">
        <f aca="false">IFERROR(HEADCOUNT!X32,0)</f>
        <v>20484</v>
      </c>
      <c r="Y22" s="94" t="n">
        <f aca="false">IFERROR(HEADCOUNT!Y32,0)</f>
        <v>20484</v>
      </c>
      <c r="Z22" s="94" t="n">
        <f aca="false">IFERROR(HEADCOUNT!Z32,0)</f>
        <v>20484</v>
      </c>
      <c r="AA22" s="103" t="n">
        <f aca="false">SUM(O22:Z22)</f>
        <v>245808</v>
      </c>
      <c r="AB22" s="94" t="n">
        <f aca="false">IFERROR(HEADCOUNT!AB32,0)</f>
        <v>20484</v>
      </c>
      <c r="AC22" s="94" t="n">
        <f aca="false">IFERROR(HEADCOUNT!AC32,0)</f>
        <v>20484</v>
      </c>
      <c r="AD22" s="94" t="n">
        <f aca="false">IFERROR(HEADCOUNT!AD32,0)</f>
        <v>20484</v>
      </c>
      <c r="AE22" s="94" t="n">
        <f aca="false">IFERROR(HEADCOUNT!AE32,0)</f>
        <v>20484</v>
      </c>
      <c r="AF22" s="94" t="n">
        <f aca="false">IFERROR(HEADCOUNT!AF32,0)</f>
        <v>20484</v>
      </c>
      <c r="AG22" s="94" t="n">
        <f aca="false">IFERROR(HEADCOUNT!AG32,0)</f>
        <v>20484</v>
      </c>
      <c r="AH22" s="94" t="n">
        <f aca="false">IFERROR(HEADCOUNT!AH32,0)</f>
        <v>20484</v>
      </c>
      <c r="AI22" s="94" t="n">
        <f aca="false">IFERROR(HEADCOUNT!AI32,0)</f>
        <v>20484</v>
      </c>
      <c r="AJ22" s="94" t="n">
        <f aca="false">IFERROR(HEADCOUNT!AJ32,0)</f>
        <v>20484</v>
      </c>
      <c r="AK22" s="94" t="n">
        <f aca="false">IFERROR(HEADCOUNT!AK32,0)</f>
        <v>20484</v>
      </c>
      <c r="AL22" s="94" t="n">
        <f aca="false">IFERROR(HEADCOUNT!AL32,0)</f>
        <v>20484</v>
      </c>
      <c r="AM22" s="94" t="n">
        <f aca="false">IFERROR(HEADCOUNT!AM32,0)</f>
        <v>20484</v>
      </c>
      <c r="AN22" s="103" t="n">
        <f aca="false">SUM(AB22:AM22)</f>
        <v>245808</v>
      </c>
      <c r="AO22" s="94" t="n">
        <f aca="false">IFERROR(HEADCOUNT!AO32,0)</f>
        <v>20484</v>
      </c>
      <c r="AP22" s="94" t="n">
        <f aca="false">IFERROR(HEADCOUNT!AP32,0)</f>
        <v>20484</v>
      </c>
      <c r="AQ22" s="94" t="n">
        <f aca="false">IFERROR(HEADCOUNT!AQ32,0)</f>
        <v>20484</v>
      </c>
      <c r="AR22" s="94" t="n">
        <f aca="false">IFERROR(HEADCOUNT!AR32,0)</f>
        <v>20484</v>
      </c>
      <c r="AS22" s="94" t="n">
        <f aca="false">IFERROR(HEADCOUNT!AS32,0)</f>
        <v>20484</v>
      </c>
      <c r="AT22" s="94" t="n">
        <f aca="false">IFERROR(HEADCOUNT!AT32,0)</f>
        <v>20484</v>
      </c>
      <c r="AU22" s="94" t="n">
        <f aca="false">IFERROR(HEADCOUNT!AU32,0)</f>
        <v>20484</v>
      </c>
      <c r="AV22" s="94" t="n">
        <f aca="false">IFERROR(HEADCOUNT!AV32,0)</f>
        <v>20484</v>
      </c>
      <c r="AW22" s="94" t="n">
        <f aca="false">IFERROR(HEADCOUNT!AW32,0)</f>
        <v>20484</v>
      </c>
      <c r="AX22" s="94" t="n">
        <f aca="false">IFERROR(HEADCOUNT!AX32,0)</f>
        <v>20484</v>
      </c>
      <c r="AY22" s="94" t="n">
        <f aca="false">IFERROR(HEADCOUNT!AY32,0)</f>
        <v>20484</v>
      </c>
      <c r="AZ22" s="94" t="n">
        <f aca="false">IFERROR(HEADCOUNT!AZ32,0)</f>
        <v>20484</v>
      </c>
      <c r="BA22" s="71" t="n">
        <f aca="false">SUM(AO22:AZ22)</f>
        <v>245808</v>
      </c>
      <c r="BB22" s="94" t="n">
        <f aca="false">IFERROR(HEADCOUNT!BB32,0)</f>
        <v>20484</v>
      </c>
      <c r="BC22" s="94" t="n">
        <f aca="false">IFERROR(HEADCOUNT!BC32,0)</f>
        <v>20484</v>
      </c>
      <c r="BD22" s="94" t="n">
        <f aca="false">IFERROR(HEADCOUNT!BD32,0)</f>
        <v>20484</v>
      </c>
      <c r="BE22" s="94" t="n">
        <f aca="false">IFERROR(HEADCOUNT!BE32,0)</f>
        <v>20484</v>
      </c>
      <c r="BF22" s="94" t="n">
        <f aca="false">IFERROR(HEADCOUNT!BF32,0)</f>
        <v>20484</v>
      </c>
      <c r="BG22" s="94" t="n">
        <f aca="false">IFERROR(HEADCOUNT!BG32,0)</f>
        <v>20484</v>
      </c>
      <c r="BH22" s="94" t="n">
        <f aca="false">IFERROR(HEADCOUNT!BH32,0)</f>
        <v>20484</v>
      </c>
      <c r="BI22" s="94" t="n">
        <f aca="false">IFERROR(HEADCOUNT!BI32,0)</f>
        <v>20484</v>
      </c>
      <c r="BJ22" s="94" t="n">
        <f aca="false">IFERROR(HEADCOUNT!BJ32,0)</f>
        <v>20484</v>
      </c>
      <c r="BK22" s="94" t="n">
        <f aca="false">IFERROR(HEADCOUNT!BK32,0)</f>
        <v>20484</v>
      </c>
      <c r="BL22" s="94" t="n">
        <f aca="false">IFERROR(HEADCOUNT!BL32,0)</f>
        <v>20484</v>
      </c>
      <c r="BM22" s="94" t="n">
        <f aca="false">IFERROR(HEADCOUNT!BM32,0)</f>
        <v>20484</v>
      </c>
      <c r="BN22" s="71" t="n">
        <f aca="false">SUM(BB22:BM22)</f>
        <v>245808</v>
      </c>
    </row>
    <row r="23" customFormat="false" ht="18" hidden="false" customHeight="true" outlineLevel="0" collapsed="false">
      <c r="A23" s="72" t="s">
        <v>248</v>
      </c>
      <c r="B23" s="94" t="n">
        <f aca="false">IFERROR(HEADCOUNT!B38,0)</f>
        <v>0</v>
      </c>
      <c r="C23" s="94" t="n">
        <f aca="false">IFERROR(HEADCOUNT!C38,0)</f>
        <v>0</v>
      </c>
      <c r="D23" s="94" t="n">
        <f aca="false">IFERROR(HEADCOUNT!D38,0)</f>
        <v>6828</v>
      </c>
      <c r="E23" s="94" t="n">
        <f aca="false">IFERROR(HEADCOUNT!E38,0)</f>
        <v>6828</v>
      </c>
      <c r="F23" s="94" t="n">
        <f aca="false">IFERROR(HEADCOUNT!F38,0)</f>
        <v>6828</v>
      </c>
      <c r="G23" s="94" t="n">
        <f aca="false">IFERROR(HEADCOUNT!G38,0)</f>
        <v>6828</v>
      </c>
      <c r="H23" s="94" t="n">
        <f aca="false">IFERROR(HEADCOUNT!H38,0)</f>
        <v>6828</v>
      </c>
      <c r="I23" s="94" t="n">
        <f aca="false">IFERROR(HEADCOUNT!I38,0)</f>
        <v>6828</v>
      </c>
      <c r="J23" s="94" t="n">
        <f aca="false">IFERROR(HEADCOUNT!J38,0)</f>
        <v>11949</v>
      </c>
      <c r="K23" s="94" t="n">
        <f aca="false">IFERROR(HEADCOUNT!K38,0)</f>
        <v>11949</v>
      </c>
      <c r="L23" s="94" t="n">
        <f aca="false">IFERROR(HEADCOUNT!L38,0)</f>
        <v>11949</v>
      </c>
      <c r="M23" s="94" t="n">
        <f aca="false">IFERROR(HEADCOUNT!M38,0)</f>
        <v>15932</v>
      </c>
      <c r="N23" s="103" t="n">
        <f aca="false">SUM(B23:M23)</f>
        <v>92747</v>
      </c>
      <c r="O23" s="94" t="n">
        <f aca="false">IFERROR(HEADCOUNT!O38,0)</f>
        <v>15932</v>
      </c>
      <c r="P23" s="94" t="n">
        <f aca="false">IFERROR(HEADCOUNT!P38,0)</f>
        <v>15932</v>
      </c>
      <c r="Q23" s="94" t="n">
        <f aca="false">IFERROR(HEADCOUNT!Q38,0)</f>
        <v>15932</v>
      </c>
      <c r="R23" s="94" t="n">
        <f aca="false">IFERROR(HEADCOUNT!R38,0)</f>
        <v>15932</v>
      </c>
      <c r="S23" s="94" t="n">
        <f aca="false">IFERROR(HEADCOUNT!S38,0)</f>
        <v>15932</v>
      </c>
      <c r="T23" s="94" t="n">
        <f aca="false">IFERROR(HEADCOUNT!T38,0)</f>
        <v>15932</v>
      </c>
      <c r="U23" s="94" t="n">
        <f aca="false">IFERROR(HEADCOUNT!U38,0)</f>
        <v>15932</v>
      </c>
      <c r="V23" s="94" t="n">
        <f aca="false">IFERROR(HEADCOUNT!V38,0)</f>
        <v>15932</v>
      </c>
      <c r="W23" s="94" t="n">
        <f aca="false">IFERROR(HEADCOUNT!W38,0)</f>
        <v>15932</v>
      </c>
      <c r="X23" s="94" t="n">
        <f aca="false">IFERROR(HEADCOUNT!X38,0)</f>
        <v>15932</v>
      </c>
      <c r="Y23" s="94" t="n">
        <f aca="false">IFERROR(HEADCOUNT!Y38,0)</f>
        <v>15932</v>
      </c>
      <c r="Z23" s="94" t="n">
        <f aca="false">IFERROR(HEADCOUNT!Z38,0)</f>
        <v>15932</v>
      </c>
      <c r="AA23" s="103" t="n">
        <f aca="false">SUM(O23:Z23)</f>
        <v>191184</v>
      </c>
      <c r="AB23" s="94" t="n">
        <f aca="false">IFERROR(HEADCOUNT!AB38,0)</f>
        <v>15932</v>
      </c>
      <c r="AC23" s="94" t="n">
        <f aca="false">IFERROR(HEADCOUNT!AC38,0)</f>
        <v>15932</v>
      </c>
      <c r="AD23" s="94" t="n">
        <f aca="false">IFERROR(HEADCOUNT!AD38,0)</f>
        <v>15932</v>
      </c>
      <c r="AE23" s="94" t="n">
        <f aca="false">IFERROR(HEADCOUNT!AE38,0)</f>
        <v>15932</v>
      </c>
      <c r="AF23" s="94" t="n">
        <f aca="false">IFERROR(HEADCOUNT!AF38,0)</f>
        <v>15932</v>
      </c>
      <c r="AG23" s="94" t="n">
        <f aca="false">IFERROR(HEADCOUNT!AG38,0)</f>
        <v>15932</v>
      </c>
      <c r="AH23" s="94" t="n">
        <f aca="false">IFERROR(HEADCOUNT!AH38,0)</f>
        <v>15932</v>
      </c>
      <c r="AI23" s="94" t="n">
        <f aca="false">IFERROR(HEADCOUNT!AI38,0)</f>
        <v>15932</v>
      </c>
      <c r="AJ23" s="94" t="n">
        <f aca="false">IFERROR(HEADCOUNT!AJ38,0)</f>
        <v>15932</v>
      </c>
      <c r="AK23" s="94" t="n">
        <f aca="false">IFERROR(HEADCOUNT!AK38,0)</f>
        <v>15932</v>
      </c>
      <c r="AL23" s="94" t="n">
        <f aca="false">IFERROR(HEADCOUNT!AL38,0)</f>
        <v>15932</v>
      </c>
      <c r="AM23" s="94" t="n">
        <f aca="false">IFERROR(HEADCOUNT!AM38,0)</f>
        <v>15932</v>
      </c>
      <c r="AN23" s="103" t="n">
        <f aca="false">SUM(AB23:AM23)</f>
        <v>191184</v>
      </c>
      <c r="AO23" s="94" t="n">
        <f aca="false">IFERROR(HEADCOUNT!AO38,0)</f>
        <v>15932</v>
      </c>
      <c r="AP23" s="94" t="n">
        <f aca="false">IFERROR(HEADCOUNT!AP38,0)</f>
        <v>15932</v>
      </c>
      <c r="AQ23" s="94" t="n">
        <f aca="false">IFERROR(HEADCOUNT!AQ38,0)</f>
        <v>15932</v>
      </c>
      <c r="AR23" s="94" t="n">
        <f aca="false">IFERROR(HEADCOUNT!AR38,0)</f>
        <v>15932</v>
      </c>
      <c r="AS23" s="94" t="n">
        <f aca="false">IFERROR(HEADCOUNT!AS38,0)</f>
        <v>15932</v>
      </c>
      <c r="AT23" s="94" t="n">
        <f aca="false">IFERROR(HEADCOUNT!AT38,0)</f>
        <v>15932</v>
      </c>
      <c r="AU23" s="94" t="n">
        <f aca="false">IFERROR(HEADCOUNT!AU38,0)</f>
        <v>15932</v>
      </c>
      <c r="AV23" s="94" t="n">
        <f aca="false">IFERROR(HEADCOUNT!AV38,0)</f>
        <v>15932</v>
      </c>
      <c r="AW23" s="94" t="n">
        <f aca="false">IFERROR(HEADCOUNT!AW38,0)</f>
        <v>15932</v>
      </c>
      <c r="AX23" s="94" t="n">
        <f aca="false">IFERROR(HEADCOUNT!AX38,0)</f>
        <v>15932</v>
      </c>
      <c r="AY23" s="94" t="n">
        <f aca="false">IFERROR(HEADCOUNT!AY38,0)</f>
        <v>15932</v>
      </c>
      <c r="AZ23" s="94" t="n">
        <f aca="false">IFERROR(HEADCOUNT!AZ38,0)</f>
        <v>15932</v>
      </c>
      <c r="BA23" s="71" t="n">
        <f aca="false">SUM(AO23:AZ23)</f>
        <v>191184</v>
      </c>
      <c r="BB23" s="94" t="n">
        <f aca="false">IFERROR(HEADCOUNT!BB38,0)</f>
        <v>15932</v>
      </c>
      <c r="BC23" s="94" t="n">
        <f aca="false">IFERROR(HEADCOUNT!BC38,0)</f>
        <v>15932</v>
      </c>
      <c r="BD23" s="94" t="n">
        <f aca="false">IFERROR(HEADCOUNT!BD38,0)</f>
        <v>15932</v>
      </c>
      <c r="BE23" s="94" t="n">
        <f aca="false">IFERROR(HEADCOUNT!BE38,0)</f>
        <v>15932</v>
      </c>
      <c r="BF23" s="94" t="n">
        <f aca="false">IFERROR(HEADCOUNT!BF38,0)</f>
        <v>15932</v>
      </c>
      <c r="BG23" s="94" t="n">
        <f aca="false">IFERROR(HEADCOUNT!BG38,0)</f>
        <v>15932</v>
      </c>
      <c r="BH23" s="94" t="n">
        <f aca="false">IFERROR(HEADCOUNT!BH38,0)</f>
        <v>15932</v>
      </c>
      <c r="BI23" s="94" t="n">
        <f aca="false">IFERROR(HEADCOUNT!BI38,0)</f>
        <v>15932</v>
      </c>
      <c r="BJ23" s="94" t="n">
        <f aca="false">IFERROR(HEADCOUNT!BJ38,0)</f>
        <v>15932</v>
      </c>
      <c r="BK23" s="94" t="n">
        <f aca="false">IFERROR(HEADCOUNT!BK38,0)</f>
        <v>15932</v>
      </c>
      <c r="BL23" s="94" t="n">
        <f aca="false">IFERROR(HEADCOUNT!BL38,0)</f>
        <v>15932</v>
      </c>
      <c r="BM23" s="94" t="n">
        <f aca="false">IFERROR(HEADCOUNT!BM38,0)</f>
        <v>15932</v>
      </c>
      <c r="BN23" s="71" t="n">
        <f aca="false">SUM(BB23:BM23)</f>
        <v>191184</v>
      </c>
    </row>
    <row r="24" customFormat="false" ht="18" hidden="false" customHeight="true" outlineLevel="0" collapsed="false">
      <c r="A24" s="74" t="s">
        <v>249</v>
      </c>
      <c r="B24" s="94" t="n">
        <f aca="false">IFERROR(HEADCOUNT!B43,0)</f>
        <v>9104</v>
      </c>
      <c r="C24" s="94" t="n">
        <f aca="false">IFERROR(HEADCOUNT!C43,0)</f>
        <v>9104</v>
      </c>
      <c r="D24" s="94" t="n">
        <f aca="false">IFERROR(HEADCOUNT!D43,0)</f>
        <v>9104</v>
      </c>
      <c r="E24" s="94" t="n">
        <f aca="false">IFERROR(HEADCOUNT!E43,0)</f>
        <v>9104</v>
      </c>
      <c r="F24" s="94" t="n">
        <f aca="false">IFERROR(HEADCOUNT!F43,0)</f>
        <v>9104</v>
      </c>
      <c r="G24" s="94" t="n">
        <f aca="false">IFERROR(HEADCOUNT!G43,0)</f>
        <v>9104</v>
      </c>
      <c r="H24" s="94" t="n">
        <f aca="false">IFERROR(HEADCOUNT!H43,0)</f>
        <v>9104</v>
      </c>
      <c r="I24" s="94" t="n">
        <f aca="false">IFERROR(HEADCOUNT!I43,0)</f>
        <v>9104</v>
      </c>
      <c r="J24" s="94" t="n">
        <f aca="false">IFERROR(HEADCOUNT!J43,0)</f>
        <v>9104</v>
      </c>
      <c r="K24" s="94" t="n">
        <f aca="false">IFERROR(HEADCOUNT!K43,0)</f>
        <v>9104</v>
      </c>
      <c r="L24" s="94" t="n">
        <f aca="false">IFERROR(HEADCOUNT!L43,0)</f>
        <v>9104</v>
      </c>
      <c r="M24" s="94" t="n">
        <f aca="false">IFERROR(HEADCOUNT!M43,0)</f>
        <v>9104</v>
      </c>
      <c r="N24" s="103" t="n">
        <f aca="false">SUM(B24:M24)</f>
        <v>109248</v>
      </c>
      <c r="O24" s="94" t="n">
        <f aca="false">IFERROR(HEADCOUNT!O43,0)</f>
        <v>9104</v>
      </c>
      <c r="P24" s="94" t="n">
        <f aca="false">IFERROR(HEADCOUNT!P43,0)</f>
        <v>9104</v>
      </c>
      <c r="Q24" s="94" t="n">
        <f aca="false">IFERROR(HEADCOUNT!Q43,0)</f>
        <v>9104</v>
      </c>
      <c r="R24" s="94" t="n">
        <f aca="false">IFERROR(HEADCOUNT!R43,0)</f>
        <v>9104</v>
      </c>
      <c r="S24" s="94" t="n">
        <f aca="false">IFERROR(HEADCOUNT!S43,0)</f>
        <v>9104</v>
      </c>
      <c r="T24" s="94" t="n">
        <f aca="false">IFERROR(HEADCOUNT!T43,0)</f>
        <v>9104</v>
      </c>
      <c r="U24" s="94" t="n">
        <f aca="false">IFERROR(HEADCOUNT!U43,0)</f>
        <v>9104</v>
      </c>
      <c r="V24" s="94" t="n">
        <f aca="false">IFERROR(HEADCOUNT!V43,0)</f>
        <v>9104</v>
      </c>
      <c r="W24" s="94" t="n">
        <f aca="false">IFERROR(HEADCOUNT!W43,0)</f>
        <v>9104</v>
      </c>
      <c r="X24" s="94" t="n">
        <f aca="false">IFERROR(HEADCOUNT!X43,0)</f>
        <v>9104</v>
      </c>
      <c r="Y24" s="94" t="n">
        <f aca="false">IFERROR(HEADCOUNT!Y43,0)</f>
        <v>9104</v>
      </c>
      <c r="Z24" s="94" t="n">
        <f aca="false">IFERROR(HEADCOUNT!Z43,0)</f>
        <v>9104</v>
      </c>
      <c r="AA24" s="103" t="n">
        <f aca="false">SUM(O24:Z24)</f>
        <v>109248</v>
      </c>
      <c r="AB24" s="94" t="n">
        <f aca="false">IFERROR(HEADCOUNT!AB43,0)</f>
        <v>9104</v>
      </c>
      <c r="AC24" s="94" t="n">
        <f aca="false">IFERROR(HEADCOUNT!AC43,0)</f>
        <v>9104</v>
      </c>
      <c r="AD24" s="94" t="n">
        <f aca="false">IFERROR(HEADCOUNT!AD43,0)</f>
        <v>9104</v>
      </c>
      <c r="AE24" s="94" t="n">
        <f aca="false">IFERROR(HEADCOUNT!AE43,0)</f>
        <v>9104</v>
      </c>
      <c r="AF24" s="94" t="n">
        <f aca="false">IFERROR(HEADCOUNT!AF43,0)</f>
        <v>9104</v>
      </c>
      <c r="AG24" s="94" t="n">
        <f aca="false">IFERROR(HEADCOUNT!AG43,0)</f>
        <v>9104</v>
      </c>
      <c r="AH24" s="94" t="n">
        <f aca="false">IFERROR(HEADCOUNT!AH43,0)</f>
        <v>9104</v>
      </c>
      <c r="AI24" s="94" t="n">
        <f aca="false">IFERROR(HEADCOUNT!AI43,0)</f>
        <v>9104</v>
      </c>
      <c r="AJ24" s="94" t="n">
        <f aca="false">IFERROR(HEADCOUNT!AJ43,0)</f>
        <v>9104</v>
      </c>
      <c r="AK24" s="94" t="n">
        <f aca="false">IFERROR(HEADCOUNT!AK43,0)</f>
        <v>9104</v>
      </c>
      <c r="AL24" s="94" t="n">
        <f aca="false">IFERROR(HEADCOUNT!AL43,0)</f>
        <v>9104</v>
      </c>
      <c r="AM24" s="94" t="n">
        <f aca="false">IFERROR(HEADCOUNT!AM43,0)</f>
        <v>9104</v>
      </c>
      <c r="AN24" s="103" t="n">
        <f aca="false">SUM(AB24:AM24)</f>
        <v>109248</v>
      </c>
      <c r="AO24" s="94" t="n">
        <f aca="false">IFERROR(HEADCOUNT!AO43,0)</f>
        <v>9104</v>
      </c>
      <c r="AP24" s="94" t="n">
        <f aca="false">IFERROR(HEADCOUNT!AP43,0)</f>
        <v>9104</v>
      </c>
      <c r="AQ24" s="94" t="n">
        <f aca="false">IFERROR(HEADCOUNT!AQ43,0)</f>
        <v>9104</v>
      </c>
      <c r="AR24" s="94" t="n">
        <f aca="false">IFERROR(HEADCOUNT!AR43,0)</f>
        <v>9104</v>
      </c>
      <c r="AS24" s="94" t="n">
        <f aca="false">IFERROR(HEADCOUNT!AS43,0)</f>
        <v>9104</v>
      </c>
      <c r="AT24" s="94" t="n">
        <f aca="false">IFERROR(HEADCOUNT!AT43,0)</f>
        <v>9104</v>
      </c>
      <c r="AU24" s="94" t="n">
        <f aca="false">IFERROR(HEADCOUNT!AU43,0)</f>
        <v>9104</v>
      </c>
      <c r="AV24" s="94" t="n">
        <f aca="false">IFERROR(HEADCOUNT!AV43,0)</f>
        <v>9104</v>
      </c>
      <c r="AW24" s="94" t="n">
        <f aca="false">IFERROR(HEADCOUNT!AW43,0)</f>
        <v>9104</v>
      </c>
      <c r="AX24" s="94" t="n">
        <f aca="false">IFERROR(HEADCOUNT!AX43,0)</f>
        <v>9104</v>
      </c>
      <c r="AY24" s="94" t="n">
        <f aca="false">IFERROR(HEADCOUNT!AY43,0)</f>
        <v>9104</v>
      </c>
      <c r="AZ24" s="94" t="n">
        <f aca="false">IFERROR(HEADCOUNT!AZ43,0)</f>
        <v>9104</v>
      </c>
      <c r="BA24" s="71" t="n">
        <f aca="false">SUM(AO24:AZ24)</f>
        <v>109248</v>
      </c>
      <c r="BB24" s="94" t="n">
        <f aca="false">IFERROR(HEADCOUNT!BB43,0)</f>
        <v>9104</v>
      </c>
      <c r="BC24" s="94" t="n">
        <f aca="false">IFERROR(HEADCOUNT!BC43,0)</f>
        <v>9104</v>
      </c>
      <c r="BD24" s="94" t="n">
        <f aca="false">IFERROR(HEADCOUNT!BD43,0)</f>
        <v>9104</v>
      </c>
      <c r="BE24" s="94" t="n">
        <f aca="false">IFERROR(HEADCOUNT!BE43,0)</f>
        <v>9104</v>
      </c>
      <c r="BF24" s="94" t="n">
        <f aca="false">IFERROR(HEADCOUNT!BF43,0)</f>
        <v>9104</v>
      </c>
      <c r="BG24" s="94" t="n">
        <f aca="false">IFERROR(HEADCOUNT!BG43,0)</f>
        <v>9104</v>
      </c>
      <c r="BH24" s="94" t="n">
        <f aca="false">IFERROR(HEADCOUNT!BH43,0)</f>
        <v>9104</v>
      </c>
      <c r="BI24" s="94" t="n">
        <f aca="false">IFERROR(HEADCOUNT!BI43,0)</f>
        <v>9104</v>
      </c>
      <c r="BJ24" s="94" t="n">
        <f aca="false">IFERROR(HEADCOUNT!BJ43,0)</f>
        <v>9104</v>
      </c>
      <c r="BK24" s="94" t="n">
        <f aca="false">IFERROR(HEADCOUNT!BK43,0)</f>
        <v>9104</v>
      </c>
      <c r="BL24" s="94" t="n">
        <f aca="false">IFERROR(HEADCOUNT!BL43,0)</f>
        <v>9104</v>
      </c>
      <c r="BM24" s="94" t="n">
        <f aca="false">IFERROR(HEADCOUNT!BM43,0)</f>
        <v>9104</v>
      </c>
      <c r="BN24" s="71" t="n">
        <f aca="false">SUM(BB24:BM24)</f>
        <v>109248</v>
      </c>
    </row>
    <row r="25" customFormat="false" ht="18" hidden="false" customHeight="true" outlineLevel="0" collapsed="false">
      <c r="A25" s="75" t="s">
        <v>250</v>
      </c>
      <c r="B25" s="76" t="n">
        <f aca="false">IFERROR(HEADCOUNT!B45,0)</f>
        <v>36416</v>
      </c>
      <c r="C25" s="76" t="n">
        <f aca="false">IFERROR(HEADCOUNT!C45,0)</f>
        <v>36416</v>
      </c>
      <c r="D25" s="76" t="n">
        <f aca="false">IFERROR(HEADCOUNT!D45,0)</f>
        <v>56331</v>
      </c>
      <c r="E25" s="76" t="n">
        <f aca="false">IFERROR(HEADCOUNT!E45,0)</f>
        <v>56331</v>
      </c>
      <c r="F25" s="76" t="n">
        <f aca="false">IFERROR(HEADCOUNT!F45,0)</f>
        <v>56331</v>
      </c>
      <c r="G25" s="76" t="n">
        <f aca="false">IFERROR(HEADCOUNT!G45,0)</f>
        <v>92747</v>
      </c>
      <c r="H25" s="76" t="n">
        <f aca="false">IFERROR(HEADCOUNT!H45,0)</f>
        <v>92747</v>
      </c>
      <c r="I25" s="76" t="n">
        <f aca="false">IFERROR(HEADCOUNT!I45,0)</f>
        <v>92747</v>
      </c>
      <c r="J25" s="76" t="n">
        <f aca="false">IFERROR(HEADCOUNT!J45,0)</f>
        <v>112662</v>
      </c>
      <c r="K25" s="76" t="n">
        <f aca="false">IFERROR(HEADCOUNT!K45,0)</f>
        <v>112662</v>
      </c>
      <c r="L25" s="76" t="n">
        <f aca="false">IFERROR(HEADCOUNT!L45,0)</f>
        <v>112662</v>
      </c>
      <c r="M25" s="76" t="n">
        <f aca="false">IFERROR(HEADCOUNT!M45,0)</f>
        <v>128594</v>
      </c>
      <c r="N25" s="76" t="n">
        <f aca="false">SUM(B25:M25)</f>
        <v>986646</v>
      </c>
      <c r="O25" s="76" t="n">
        <f aca="false">IFERROR(HEADCOUNT!O45,0)</f>
        <v>128594</v>
      </c>
      <c r="P25" s="76" t="n">
        <f aca="false">IFERROR(HEADCOUNT!P45,0)</f>
        <v>128594</v>
      </c>
      <c r="Q25" s="76" t="n">
        <f aca="false">IFERROR(HEADCOUNT!Q45,0)</f>
        <v>128594</v>
      </c>
      <c r="R25" s="76" t="n">
        <f aca="false">IFERROR(HEADCOUNT!R45,0)</f>
        <v>128594</v>
      </c>
      <c r="S25" s="76" t="n">
        <f aca="false">IFERROR(HEADCOUNT!S45,0)</f>
        <v>128594</v>
      </c>
      <c r="T25" s="76" t="n">
        <f aca="false">IFERROR(HEADCOUNT!T45,0)</f>
        <v>128594</v>
      </c>
      <c r="U25" s="76" t="n">
        <f aca="false">IFERROR(HEADCOUNT!U45,0)</f>
        <v>128594</v>
      </c>
      <c r="V25" s="76" t="n">
        <f aca="false">IFERROR(HEADCOUNT!V45,0)</f>
        <v>128594</v>
      </c>
      <c r="W25" s="76" t="n">
        <f aca="false">IFERROR(HEADCOUNT!W45,0)</f>
        <v>128594</v>
      </c>
      <c r="X25" s="76" t="n">
        <f aca="false">IFERROR(HEADCOUNT!X45,0)</f>
        <v>128594</v>
      </c>
      <c r="Y25" s="76" t="n">
        <f aca="false">IFERROR(HEADCOUNT!Y45,0)</f>
        <v>128594</v>
      </c>
      <c r="Z25" s="76" t="n">
        <f aca="false">IFERROR(HEADCOUNT!Z45,0)</f>
        <v>128594</v>
      </c>
      <c r="AA25" s="76" t="n">
        <f aca="false">SUM(O25:Z25)</f>
        <v>1543128</v>
      </c>
      <c r="AB25" s="76" t="n">
        <f aca="false">IFERROR(HEADCOUNT!AB45,0)</f>
        <v>128594</v>
      </c>
      <c r="AC25" s="76" t="n">
        <f aca="false">IFERROR(HEADCOUNT!AC45,0)</f>
        <v>128594</v>
      </c>
      <c r="AD25" s="76" t="n">
        <f aca="false">IFERROR(HEADCOUNT!AD45,0)</f>
        <v>128594</v>
      </c>
      <c r="AE25" s="76" t="n">
        <f aca="false">IFERROR(HEADCOUNT!AE45,0)</f>
        <v>128594</v>
      </c>
      <c r="AF25" s="76" t="n">
        <f aca="false">IFERROR(HEADCOUNT!AF45,0)</f>
        <v>128594</v>
      </c>
      <c r="AG25" s="76" t="n">
        <f aca="false">IFERROR(HEADCOUNT!AG45,0)</f>
        <v>128594</v>
      </c>
      <c r="AH25" s="76" t="n">
        <f aca="false">IFERROR(HEADCOUNT!AH45,0)</f>
        <v>128594</v>
      </c>
      <c r="AI25" s="76" t="n">
        <f aca="false">IFERROR(HEADCOUNT!AI45,0)</f>
        <v>128594</v>
      </c>
      <c r="AJ25" s="76" t="n">
        <f aca="false">IFERROR(HEADCOUNT!AJ45,0)</f>
        <v>128594</v>
      </c>
      <c r="AK25" s="76" t="n">
        <f aca="false">IFERROR(HEADCOUNT!AK45,0)</f>
        <v>128594</v>
      </c>
      <c r="AL25" s="76" t="n">
        <f aca="false">IFERROR(HEADCOUNT!AL45,0)</f>
        <v>128594</v>
      </c>
      <c r="AM25" s="76" t="n">
        <f aca="false">IFERROR(HEADCOUNT!AM45,0)</f>
        <v>128594</v>
      </c>
      <c r="AN25" s="76" t="n">
        <f aca="false">SUM(AB25:AM25)</f>
        <v>1543128</v>
      </c>
      <c r="AO25" s="76" t="n">
        <f aca="false">IFERROR(HEADCOUNT!AO45,0)</f>
        <v>128594</v>
      </c>
      <c r="AP25" s="76" t="n">
        <f aca="false">IFERROR(HEADCOUNT!AP45,0)</f>
        <v>128594</v>
      </c>
      <c r="AQ25" s="76" t="n">
        <f aca="false">IFERROR(HEADCOUNT!AQ45,0)</f>
        <v>128594</v>
      </c>
      <c r="AR25" s="76" t="n">
        <f aca="false">IFERROR(HEADCOUNT!AR45,0)</f>
        <v>128594</v>
      </c>
      <c r="AS25" s="76" t="n">
        <f aca="false">IFERROR(HEADCOUNT!AS45,0)</f>
        <v>128594</v>
      </c>
      <c r="AT25" s="76" t="n">
        <f aca="false">IFERROR(HEADCOUNT!AT45,0)</f>
        <v>128594</v>
      </c>
      <c r="AU25" s="76" t="n">
        <f aca="false">IFERROR(HEADCOUNT!AU45,0)</f>
        <v>128594</v>
      </c>
      <c r="AV25" s="76" t="n">
        <f aca="false">IFERROR(HEADCOUNT!AV45,0)</f>
        <v>128594</v>
      </c>
      <c r="AW25" s="76" t="n">
        <f aca="false">IFERROR(HEADCOUNT!AW45,0)</f>
        <v>128594</v>
      </c>
      <c r="AX25" s="76" t="n">
        <f aca="false">IFERROR(HEADCOUNT!AX45,0)</f>
        <v>128594</v>
      </c>
      <c r="AY25" s="76" t="n">
        <f aca="false">IFERROR(HEADCOUNT!AY45,0)</f>
        <v>128594</v>
      </c>
      <c r="AZ25" s="76" t="n">
        <f aca="false">IFERROR(HEADCOUNT!AZ45,0)</f>
        <v>128594</v>
      </c>
      <c r="BA25" s="77" t="n">
        <f aca="false">SUM(AO25:AZ25)</f>
        <v>1543128</v>
      </c>
      <c r="BB25" s="76" t="n">
        <f aca="false">IFERROR(HEADCOUNT!BB45,0)</f>
        <v>128594</v>
      </c>
      <c r="BC25" s="76" t="n">
        <f aca="false">IFERROR(HEADCOUNT!BC45,0)</f>
        <v>128594</v>
      </c>
      <c r="BD25" s="76" t="n">
        <f aca="false">IFERROR(HEADCOUNT!BD45,0)</f>
        <v>128594</v>
      </c>
      <c r="BE25" s="76" t="n">
        <f aca="false">IFERROR(HEADCOUNT!BE45,0)</f>
        <v>128594</v>
      </c>
      <c r="BF25" s="76" t="n">
        <f aca="false">IFERROR(HEADCOUNT!BF45,0)</f>
        <v>128594</v>
      </c>
      <c r="BG25" s="76" t="n">
        <f aca="false">IFERROR(HEADCOUNT!BG45,0)</f>
        <v>128594</v>
      </c>
      <c r="BH25" s="76" t="n">
        <f aca="false">IFERROR(HEADCOUNT!BH45,0)</f>
        <v>128594</v>
      </c>
      <c r="BI25" s="76" t="n">
        <f aca="false">IFERROR(HEADCOUNT!BI45,0)</f>
        <v>128594</v>
      </c>
      <c r="BJ25" s="76" t="n">
        <f aca="false">IFERROR(HEADCOUNT!BJ45,0)</f>
        <v>128594</v>
      </c>
      <c r="BK25" s="76" t="n">
        <f aca="false">IFERROR(HEADCOUNT!BK45,0)</f>
        <v>128594</v>
      </c>
      <c r="BL25" s="76" t="n">
        <f aca="false">IFERROR(HEADCOUNT!BL45,0)</f>
        <v>128594</v>
      </c>
      <c r="BM25" s="76" t="n">
        <f aca="false">IFERROR(HEADCOUNT!BM45,0)</f>
        <v>128594</v>
      </c>
      <c r="BN25" s="77" t="n">
        <f aca="false">SUM(BB25:BM25)</f>
        <v>1543128</v>
      </c>
    </row>
    <row r="26" customFormat="false" ht="15.75" hidden="false" customHeight="true" outlineLevel="0" collapsed="false">
      <c r="A26" s="108" t="s">
        <v>251</v>
      </c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</row>
    <row r="27" customFormat="false" ht="18" hidden="false" customHeight="true" outlineLevel="0" collapsed="false">
      <c r="A27" s="72" t="s">
        <v>252</v>
      </c>
      <c r="B27" s="73" t="n">
        <f aca="false">IFERROR(ASSUMPTIONS!$B$70,0)</f>
        <v>3000</v>
      </c>
      <c r="C27" s="73" t="n">
        <f aca="false">IFERROR(ASSUMPTIONS!$B$70,0)</f>
        <v>3000</v>
      </c>
      <c r="D27" s="73" t="n">
        <f aca="false">IFERROR(ASSUMPTIONS!$B$70,0)</f>
        <v>3000</v>
      </c>
      <c r="E27" s="73" t="n">
        <f aca="false">IFERROR(ASSUMPTIONS!$B$70,0)</f>
        <v>3000</v>
      </c>
      <c r="F27" s="73" t="n">
        <f aca="false">IFERROR(ASSUMPTIONS!$B$70,0)</f>
        <v>3000</v>
      </c>
      <c r="G27" s="73" t="n">
        <f aca="false">IFERROR(ASSUMPTIONS!$B$70,0)</f>
        <v>3000</v>
      </c>
      <c r="H27" s="73" t="n">
        <f aca="false">IFERROR(ASSUMPTIONS!$B$70,0)</f>
        <v>3000</v>
      </c>
      <c r="I27" s="73" t="n">
        <f aca="false">IFERROR(ASSUMPTIONS!$B$70,0)</f>
        <v>3000</v>
      </c>
      <c r="J27" s="73" t="n">
        <f aca="false">IFERROR(ASSUMPTIONS!$B$70,0)</f>
        <v>3000</v>
      </c>
      <c r="K27" s="73" t="n">
        <f aca="false">IFERROR(ASSUMPTIONS!$B$70,0)</f>
        <v>3000</v>
      </c>
      <c r="L27" s="73" t="n">
        <f aca="false">IFERROR(ASSUMPTIONS!$B$70,0)</f>
        <v>3000</v>
      </c>
      <c r="M27" s="73" t="n">
        <f aca="false">IFERROR(ASSUMPTIONS!$B$70,0)</f>
        <v>3000</v>
      </c>
      <c r="N27" s="70" t="n">
        <f aca="false">SUM(B27:M27)</f>
        <v>36000</v>
      </c>
      <c r="O27" s="73" t="n">
        <f aca="false">IFERROR(ASSUMPTIONS!$C$70,0)</f>
        <v>3000</v>
      </c>
      <c r="P27" s="73" t="n">
        <f aca="false">IFERROR(ASSUMPTIONS!$C$70,0)</f>
        <v>3000</v>
      </c>
      <c r="Q27" s="73" t="n">
        <f aca="false">IFERROR(ASSUMPTIONS!$C$70,0)</f>
        <v>3000</v>
      </c>
      <c r="R27" s="73" t="n">
        <f aca="false">IFERROR(ASSUMPTIONS!$C$70,0)</f>
        <v>3000</v>
      </c>
      <c r="S27" s="73" t="n">
        <f aca="false">IFERROR(ASSUMPTIONS!$C$70,0)</f>
        <v>3000</v>
      </c>
      <c r="T27" s="73" t="n">
        <f aca="false">IFERROR(ASSUMPTIONS!$C$70,0)</f>
        <v>3000</v>
      </c>
      <c r="U27" s="73" t="n">
        <f aca="false">IFERROR(ASSUMPTIONS!$C$70,0)</f>
        <v>3000</v>
      </c>
      <c r="V27" s="73" t="n">
        <f aca="false">IFERROR(ASSUMPTIONS!$C$70,0)</f>
        <v>3000</v>
      </c>
      <c r="W27" s="73" t="n">
        <f aca="false">IFERROR(ASSUMPTIONS!$C$70,0)</f>
        <v>3000</v>
      </c>
      <c r="X27" s="73" t="n">
        <f aca="false">IFERROR(ASSUMPTIONS!$C$70,0)</f>
        <v>3000</v>
      </c>
      <c r="Y27" s="73" t="n">
        <f aca="false">IFERROR(ASSUMPTIONS!$C$70,0)</f>
        <v>3000</v>
      </c>
      <c r="Z27" s="73" t="n">
        <f aca="false">IFERROR(ASSUMPTIONS!$C$70,0)</f>
        <v>3000</v>
      </c>
      <c r="AA27" s="70" t="n">
        <f aca="false">SUM(O27:Z27)</f>
        <v>36000</v>
      </c>
      <c r="AB27" s="73" t="n">
        <f aca="false">IFERROR(ASSUMPTIONS!$D$70,0)</f>
        <v>3000</v>
      </c>
      <c r="AC27" s="73" t="n">
        <f aca="false">IFERROR(ASSUMPTIONS!$D$70,0)</f>
        <v>3000</v>
      </c>
      <c r="AD27" s="73" t="n">
        <f aca="false">IFERROR(ASSUMPTIONS!$D$70,0)</f>
        <v>3000</v>
      </c>
      <c r="AE27" s="73" t="n">
        <f aca="false">IFERROR(ASSUMPTIONS!$D$70,0)</f>
        <v>3000</v>
      </c>
      <c r="AF27" s="73" t="n">
        <f aca="false">IFERROR(ASSUMPTIONS!$D$70,0)</f>
        <v>3000</v>
      </c>
      <c r="AG27" s="73" t="n">
        <f aca="false">IFERROR(ASSUMPTIONS!$D$70,0)</f>
        <v>3000</v>
      </c>
      <c r="AH27" s="73" t="n">
        <f aca="false">IFERROR(ASSUMPTIONS!$D$70,0)</f>
        <v>3000</v>
      </c>
      <c r="AI27" s="73" t="n">
        <f aca="false">IFERROR(ASSUMPTIONS!$D$70,0)</f>
        <v>3000</v>
      </c>
      <c r="AJ27" s="73" t="n">
        <f aca="false">IFERROR(ASSUMPTIONS!$D$70,0)</f>
        <v>3000</v>
      </c>
      <c r="AK27" s="73" t="n">
        <f aca="false">IFERROR(ASSUMPTIONS!$D$70,0)</f>
        <v>3000</v>
      </c>
      <c r="AL27" s="73" t="n">
        <f aca="false">IFERROR(ASSUMPTIONS!$D$70,0)</f>
        <v>3000</v>
      </c>
      <c r="AM27" s="73" t="n">
        <f aca="false">IFERROR(ASSUMPTIONS!$D$70,0)</f>
        <v>3000</v>
      </c>
      <c r="AN27" s="70" t="n">
        <f aca="false">SUM(AB27:AM27)</f>
        <v>36000</v>
      </c>
      <c r="AO27" s="73" t="n">
        <f aca="false">IFERROR(ASSUMPTIONS!$E$70,0)</f>
        <v>3000</v>
      </c>
      <c r="AP27" s="73" t="n">
        <f aca="false">IFERROR(ASSUMPTIONS!$E$70,0)</f>
        <v>3000</v>
      </c>
      <c r="AQ27" s="73" t="n">
        <f aca="false">IFERROR(ASSUMPTIONS!$E$70,0)</f>
        <v>3000</v>
      </c>
      <c r="AR27" s="73" t="n">
        <f aca="false">IFERROR(ASSUMPTIONS!$E$70,0)</f>
        <v>3000</v>
      </c>
      <c r="AS27" s="73" t="n">
        <f aca="false">IFERROR(ASSUMPTIONS!$E$70,0)</f>
        <v>3000</v>
      </c>
      <c r="AT27" s="73" t="n">
        <f aca="false">IFERROR(ASSUMPTIONS!$E$70,0)</f>
        <v>3000</v>
      </c>
      <c r="AU27" s="73" t="n">
        <f aca="false">IFERROR(ASSUMPTIONS!$E$70,0)</f>
        <v>3000</v>
      </c>
      <c r="AV27" s="73" t="n">
        <f aca="false">IFERROR(ASSUMPTIONS!$E$70,0)</f>
        <v>3000</v>
      </c>
      <c r="AW27" s="73" t="n">
        <f aca="false">IFERROR(ASSUMPTIONS!$E$70,0)</f>
        <v>3000</v>
      </c>
      <c r="AX27" s="73" t="n">
        <f aca="false">IFERROR(ASSUMPTIONS!$E$70,0)</f>
        <v>3000</v>
      </c>
      <c r="AY27" s="73" t="n">
        <f aca="false">IFERROR(ASSUMPTIONS!$E$70,0)</f>
        <v>3000</v>
      </c>
      <c r="AZ27" s="73" t="n">
        <f aca="false">IFERROR(ASSUMPTIONS!$E$70,0)</f>
        <v>3000</v>
      </c>
      <c r="BA27" s="71" t="n">
        <f aca="false">SUM(AO27:AZ27)</f>
        <v>36000</v>
      </c>
      <c r="BB27" s="73" t="n">
        <f aca="false">IFERROR(ASSUMPTIONS!$F$70,0)</f>
        <v>3000</v>
      </c>
      <c r="BC27" s="73" t="n">
        <f aca="false">IFERROR(ASSUMPTIONS!$F$70,0)</f>
        <v>3000</v>
      </c>
      <c r="BD27" s="73" t="n">
        <f aca="false">IFERROR(ASSUMPTIONS!$F$70,0)</f>
        <v>3000</v>
      </c>
      <c r="BE27" s="73" t="n">
        <f aca="false">IFERROR(ASSUMPTIONS!$F$70,0)</f>
        <v>3000</v>
      </c>
      <c r="BF27" s="73" t="n">
        <f aca="false">IFERROR(ASSUMPTIONS!$F$70,0)</f>
        <v>3000</v>
      </c>
      <c r="BG27" s="73" t="n">
        <f aca="false">IFERROR(ASSUMPTIONS!$F$70,0)</f>
        <v>3000</v>
      </c>
      <c r="BH27" s="73" t="n">
        <f aca="false">IFERROR(ASSUMPTIONS!$F$70,0)</f>
        <v>3000</v>
      </c>
      <c r="BI27" s="73" t="n">
        <f aca="false">IFERROR(ASSUMPTIONS!$F$70,0)</f>
        <v>3000</v>
      </c>
      <c r="BJ27" s="73" t="n">
        <f aca="false">IFERROR(ASSUMPTIONS!$F$70,0)</f>
        <v>3000</v>
      </c>
      <c r="BK27" s="73" t="n">
        <f aca="false">IFERROR(ASSUMPTIONS!$F$70,0)</f>
        <v>3000</v>
      </c>
      <c r="BL27" s="73" t="n">
        <f aca="false">IFERROR(ASSUMPTIONS!$F$70,0)</f>
        <v>3000</v>
      </c>
      <c r="BM27" s="73" t="n">
        <f aca="false">IFERROR(ASSUMPTIONS!$F$70,0)</f>
        <v>3000</v>
      </c>
      <c r="BN27" s="71" t="n">
        <f aca="false">SUM(BB27:BM27)</f>
        <v>36000</v>
      </c>
    </row>
    <row r="28" customFormat="false" ht="18" hidden="false" customHeight="true" outlineLevel="0" collapsed="false">
      <c r="A28" s="74" t="s">
        <v>253</v>
      </c>
      <c r="B28" s="73" t="n">
        <f aca="false">IFERROR(ASSUMPTIONS!$B$72,0)</f>
        <v>1000</v>
      </c>
      <c r="C28" s="73" t="n">
        <f aca="false">IFERROR(ASSUMPTIONS!$B$72,0)</f>
        <v>1000</v>
      </c>
      <c r="D28" s="73" t="n">
        <f aca="false">IFERROR(ASSUMPTIONS!$B$72,0)</f>
        <v>1000</v>
      </c>
      <c r="E28" s="73" t="n">
        <f aca="false">IFERROR(ASSUMPTIONS!$B$72,0)</f>
        <v>1000</v>
      </c>
      <c r="F28" s="73" t="n">
        <f aca="false">IFERROR(ASSUMPTIONS!$B$72,0)</f>
        <v>1000</v>
      </c>
      <c r="G28" s="73" t="n">
        <f aca="false">IFERROR(ASSUMPTIONS!$B$72,0)</f>
        <v>1000</v>
      </c>
      <c r="H28" s="73" t="n">
        <f aca="false">IFERROR(ASSUMPTIONS!$B$72,0)</f>
        <v>1000</v>
      </c>
      <c r="I28" s="73" t="n">
        <f aca="false">IFERROR(ASSUMPTIONS!$B$72,0)</f>
        <v>1000</v>
      </c>
      <c r="J28" s="73" t="n">
        <f aca="false">IFERROR(ASSUMPTIONS!$B$72,0)</f>
        <v>1000</v>
      </c>
      <c r="K28" s="73" t="n">
        <f aca="false">IFERROR(ASSUMPTIONS!$B$72,0)</f>
        <v>1000</v>
      </c>
      <c r="L28" s="73" t="n">
        <f aca="false">IFERROR(ASSUMPTIONS!$B$72,0)</f>
        <v>1000</v>
      </c>
      <c r="M28" s="73" t="n">
        <f aca="false">IFERROR(ASSUMPTIONS!$B$72,0)</f>
        <v>1000</v>
      </c>
      <c r="N28" s="70" t="n">
        <f aca="false">SUM(B28:M28)</f>
        <v>12000</v>
      </c>
      <c r="O28" s="73" t="n">
        <f aca="false">IFERROR(ASSUMPTIONS!$C$72,0)</f>
        <v>1000</v>
      </c>
      <c r="P28" s="73" t="n">
        <f aca="false">IFERROR(ASSUMPTIONS!$C$72,0)</f>
        <v>1000</v>
      </c>
      <c r="Q28" s="73" t="n">
        <f aca="false">IFERROR(ASSUMPTIONS!$C$72,0)</f>
        <v>1000</v>
      </c>
      <c r="R28" s="73" t="n">
        <f aca="false">IFERROR(ASSUMPTIONS!$C$72,0)</f>
        <v>1000</v>
      </c>
      <c r="S28" s="73" t="n">
        <f aca="false">IFERROR(ASSUMPTIONS!$C$72,0)</f>
        <v>1000</v>
      </c>
      <c r="T28" s="73" t="n">
        <f aca="false">IFERROR(ASSUMPTIONS!$C$72,0)</f>
        <v>1000</v>
      </c>
      <c r="U28" s="73" t="n">
        <f aca="false">IFERROR(ASSUMPTIONS!$C$72,0)</f>
        <v>1000</v>
      </c>
      <c r="V28" s="73" t="n">
        <f aca="false">IFERROR(ASSUMPTIONS!$C$72,0)</f>
        <v>1000</v>
      </c>
      <c r="W28" s="73" t="n">
        <f aca="false">IFERROR(ASSUMPTIONS!$C$72,0)</f>
        <v>1000</v>
      </c>
      <c r="X28" s="73" t="n">
        <f aca="false">IFERROR(ASSUMPTIONS!$C$72,0)</f>
        <v>1000</v>
      </c>
      <c r="Y28" s="73" t="n">
        <f aca="false">IFERROR(ASSUMPTIONS!$C$72,0)</f>
        <v>1000</v>
      </c>
      <c r="Z28" s="73" t="n">
        <f aca="false">IFERROR(ASSUMPTIONS!$C$72,0)</f>
        <v>1000</v>
      </c>
      <c r="AA28" s="70" t="n">
        <f aca="false">SUM(O28:Z28)</f>
        <v>12000</v>
      </c>
      <c r="AB28" s="73" t="n">
        <f aca="false">IFERROR(ASSUMPTIONS!$D$72,0)</f>
        <v>1000</v>
      </c>
      <c r="AC28" s="73" t="n">
        <f aca="false">IFERROR(ASSUMPTIONS!$D$72,0)</f>
        <v>1000</v>
      </c>
      <c r="AD28" s="73" t="n">
        <f aca="false">IFERROR(ASSUMPTIONS!$D$72,0)</f>
        <v>1000</v>
      </c>
      <c r="AE28" s="73" t="n">
        <f aca="false">IFERROR(ASSUMPTIONS!$D$72,0)</f>
        <v>1000</v>
      </c>
      <c r="AF28" s="73" t="n">
        <f aca="false">IFERROR(ASSUMPTIONS!$D$72,0)</f>
        <v>1000</v>
      </c>
      <c r="AG28" s="73" t="n">
        <f aca="false">IFERROR(ASSUMPTIONS!$D$72,0)</f>
        <v>1000</v>
      </c>
      <c r="AH28" s="73" t="n">
        <f aca="false">IFERROR(ASSUMPTIONS!$D$72,0)</f>
        <v>1000</v>
      </c>
      <c r="AI28" s="73" t="n">
        <f aca="false">IFERROR(ASSUMPTIONS!$D$72,0)</f>
        <v>1000</v>
      </c>
      <c r="AJ28" s="73" t="n">
        <f aca="false">IFERROR(ASSUMPTIONS!$D$72,0)</f>
        <v>1000</v>
      </c>
      <c r="AK28" s="73" t="n">
        <f aca="false">IFERROR(ASSUMPTIONS!$D$72,0)</f>
        <v>1000</v>
      </c>
      <c r="AL28" s="73" t="n">
        <f aca="false">IFERROR(ASSUMPTIONS!$D$72,0)</f>
        <v>1000</v>
      </c>
      <c r="AM28" s="73" t="n">
        <f aca="false">IFERROR(ASSUMPTIONS!$D$72,0)</f>
        <v>1000</v>
      </c>
      <c r="AN28" s="70" t="n">
        <f aca="false">SUM(AB28:AM28)</f>
        <v>12000</v>
      </c>
      <c r="AO28" s="73" t="n">
        <f aca="false">IFERROR(ASSUMPTIONS!$E$72,0)</f>
        <v>1000</v>
      </c>
      <c r="AP28" s="73" t="n">
        <f aca="false">IFERROR(ASSUMPTIONS!$E$72,0)</f>
        <v>1000</v>
      </c>
      <c r="AQ28" s="73" t="n">
        <f aca="false">IFERROR(ASSUMPTIONS!$E$72,0)</f>
        <v>1000</v>
      </c>
      <c r="AR28" s="73" t="n">
        <f aca="false">IFERROR(ASSUMPTIONS!$E$72,0)</f>
        <v>1000</v>
      </c>
      <c r="AS28" s="73" t="n">
        <f aca="false">IFERROR(ASSUMPTIONS!$E$72,0)</f>
        <v>1000</v>
      </c>
      <c r="AT28" s="73" t="n">
        <f aca="false">IFERROR(ASSUMPTIONS!$E$72,0)</f>
        <v>1000</v>
      </c>
      <c r="AU28" s="73" t="n">
        <f aca="false">IFERROR(ASSUMPTIONS!$E$72,0)</f>
        <v>1000</v>
      </c>
      <c r="AV28" s="73" t="n">
        <f aca="false">IFERROR(ASSUMPTIONS!$E$72,0)</f>
        <v>1000</v>
      </c>
      <c r="AW28" s="73" t="n">
        <f aca="false">IFERROR(ASSUMPTIONS!$E$72,0)</f>
        <v>1000</v>
      </c>
      <c r="AX28" s="73" t="n">
        <f aca="false">IFERROR(ASSUMPTIONS!$E$72,0)</f>
        <v>1000</v>
      </c>
      <c r="AY28" s="73" t="n">
        <f aca="false">IFERROR(ASSUMPTIONS!$E$72,0)</f>
        <v>1000</v>
      </c>
      <c r="AZ28" s="73" t="n">
        <f aca="false">IFERROR(ASSUMPTIONS!$E$72,0)</f>
        <v>1000</v>
      </c>
      <c r="BA28" s="71" t="n">
        <f aca="false">SUM(AO28:AZ28)</f>
        <v>12000</v>
      </c>
      <c r="BB28" s="73" t="n">
        <f aca="false">IFERROR(ASSUMPTIONS!$F$72,0)</f>
        <v>1000</v>
      </c>
      <c r="BC28" s="73" t="n">
        <f aca="false">IFERROR(ASSUMPTIONS!$F$72,0)</f>
        <v>1000</v>
      </c>
      <c r="BD28" s="73" t="n">
        <f aca="false">IFERROR(ASSUMPTIONS!$F$72,0)</f>
        <v>1000</v>
      </c>
      <c r="BE28" s="73" t="n">
        <f aca="false">IFERROR(ASSUMPTIONS!$F$72,0)</f>
        <v>1000</v>
      </c>
      <c r="BF28" s="73" t="n">
        <f aca="false">IFERROR(ASSUMPTIONS!$F$72,0)</f>
        <v>1000</v>
      </c>
      <c r="BG28" s="73" t="n">
        <f aca="false">IFERROR(ASSUMPTIONS!$F$72,0)</f>
        <v>1000</v>
      </c>
      <c r="BH28" s="73" t="n">
        <f aca="false">IFERROR(ASSUMPTIONS!$F$72,0)</f>
        <v>1000</v>
      </c>
      <c r="BI28" s="73" t="n">
        <f aca="false">IFERROR(ASSUMPTIONS!$F$72,0)</f>
        <v>1000</v>
      </c>
      <c r="BJ28" s="73" t="n">
        <f aca="false">IFERROR(ASSUMPTIONS!$F$72,0)</f>
        <v>1000</v>
      </c>
      <c r="BK28" s="73" t="n">
        <f aca="false">IFERROR(ASSUMPTIONS!$F$72,0)</f>
        <v>1000</v>
      </c>
      <c r="BL28" s="73" t="n">
        <f aca="false">IFERROR(ASSUMPTIONS!$F$72,0)</f>
        <v>1000</v>
      </c>
      <c r="BM28" s="73" t="n">
        <f aca="false">IFERROR(ASSUMPTIONS!$F$72,0)</f>
        <v>1000</v>
      </c>
      <c r="BN28" s="71" t="n">
        <f aca="false">SUM(BB28:BM28)</f>
        <v>12000</v>
      </c>
    </row>
    <row r="29" customFormat="false" ht="18" hidden="false" customHeight="true" outlineLevel="0" collapsed="false">
      <c r="A29" s="72" t="s">
        <v>254</v>
      </c>
      <c r="B29" s="73" t="n">
        <f aca="false">IFERROR(ASSUMPTIONS!$B$74,0)</f>
        <v>2500</v>
      </c>
      <c r="C29" s="73" t="n">
        <f aca="false">IFERROR(ASSUMPTIONS!$B$74,0)</f>
        <v>2500</v>
      </c>
      <c r="D29" s="73" t="n">
        <f aca="false">IFERROR(ASSUMPTIONS!$B$74,0)</f>
        <v>2500</v>
      </c>
      <c r="E29" s="73" t="n">
        <f aca="false">IFERROR(ASSUMPTIONS!$B$74,0)</f>
        <v>2500</v>
      </c>
      <c r="F29" s="73" t="n">
        <f aca="false">IFERROR(ASSUMPTIONS!$B$74,0)</f>
        <v>2500</v>
      </c>
      <c r="G29" s="73" t="n">
        <f aca="false">IFERROR(ASSUMPTIONS!$B$74,0)</f>
        <v>2500</v>
      </c>
      <c r="H29" s="73" t="n">
        <f aca="false">IFERROR(ASSUMPTIONS!$B$74,0)</f>
        <v>2500</v>
      </c>
      <c r="I29" s="73" t="n">
        <f aca="false">IFERROR(ASSUMPTIONS!$B$74,0)</f>
        <v>2500</v>
      </c>
      <c r="J29" s="73" t="n">
        <f aca="false">IFERROR(ASSUMPTIONS!$B$74,0)</f>
        <v>2500</v>
      </c>
      <c r="K29" s="73" t="n">
        <f aca="false">IFERROR(ASSUMPTIONS!$B$74,0)</f>
        <v>2500</v>
      </c>
      <c r="L29" s="73" t="n">
        <f aca="false">IFERROR(ASSUMPTIONS!$B$74,0)</f>
        <v>2500</v>
      </c>
      <c r="M29" s="73" t="n">
        <f aca="false">IFERROR(ASSUMPTIONS!$B$74,0)</f>
        <v>2500</v>
      </c>
      <c r="N29" s="70" t="n">
        <f aca="false">SUM(B29:M29)</f>
        <v>30000</v>
      </c>
      <c r="O29" s="73" t="n">
        <f aca="false">IFERROR(ASSUMPTIONS!$C$74,0)</f>
        <v>2500</v>
      </c>
      <c r="P29" s="73" t="n">
        <f aca="false">IFERROR(ASSUMPTIONS!$C$74,0)</f>
        <v>2500</v>
      </c>
      <c r="Q29" s="73" t="n">
        <f aca="false">IFERROR(ASSUMPTIONS!$C$74,0)</f>
        <v>2500</v>
      </c>
      <c r="R29" s="73" t="n">
        <f aca="false">IFERROR(ASSUMPTIONS!$C$74,0)</f>
        <v>2500</v>
      </c>
      <c r="S29" s="73" t="n">
        <f aca="false">IFERROR(ASSUMPTIONS!$C$74,0)</f>
        <v>2500</v>
      </c>
      <c r="T29" s="73" t="n">
        <f aca="false">IFERROR(ASSUMPTIONS!$C$74,0)</f>
        <v>2500</v>
      </c>
      <c r="U29" s="73" t="n">
        <f aca="false">IFERROR(ASSUMPTIONS!$C$74,0)</f>
        <v>2500</v>
      </c>
      <c r="V29" s="73" t="n">
        <f aca="false">IFERROR(ASSUMPTIONS!$C$74,0)</f>
        <v>2500</v>
      </c>
      <c r="W29" s="73" t="n">
        <f aca="false">IFERROR(ASSUMPTIONS!$C$74,0)</f>
        <v>2500</v>
      </c>
      <c r="X29" s="73" t="n">
        <f aca="false">IFERROR(ASSUMPTIONS!$C$74,0)</f>
        <v>2500</v>
      </c>
      <c r="Y29" s="73" t="n">
        <f aca="false">IFERROR(ASSUMPTIONS!$C$74,0)</f>
        <v>2500</v>
      </c>
      <c r="Z29" s="73" t="n">
        <f aca="false">IFERROR(ASSUMPTIONS!$C$74,0)</f>
        <v>2500</v>
      </c>
      <c r="AA29" s="70" t="n">
        <f aca="false">SUM(O29:Z29)</f>
        <v>30000</v>
      </c>
      <c r="AB29" s="73" t="n">
        <f aca="false">IFERROR(ASSUMPTIONS!$D$74,0)</f>
        <v>2500</v>
      </c>
      <c r="AC29" s="73" t="n">
        <f aca="false">IFERROR(ASSUMPTIONS!$D$74,0)</f>
        <v>2500</v>
      </c>
      <c r="AD29" s="73" t="n">
        <f aca="false">IFERROR(ASSUMPTIONS!$D$74,0)</f>
        <v>2500</v>
      </c>
      <c r="AE29" s="73" t="n">
        <f aca="false">IFERROR(ASSUMPTIONS!$D$74,0)</f>
        <v>2500</v>
      </c>
      <c r="AF29" s="73" t="n">
        <f aca="false">IFERROR(ASSUMPTIONS!$D$74,0)</f>
        <v>2500</v>
      </c>
      <c r="AG29" s="73" t="n">
        <f aca="false">IFERROR(ASSUMPTIONS!$D$74,0)</f>
        <v>2500</v>
      </c>
      <c r="AH29" s="73" t="n">
        <f aca="false">IFERROR(ASSUMPTIONS!$D$74,0)</f>
        <v>2500</v>
      </c>
      <c r="AI29" s="73" t="n">
        <f aca="false">IFERROR(ASSUMPTIONS!$D$74,0)</f>
        <v>2500</v>
      </c>
      <c r="AJ29" s="73" t="n">
        <f aca="false">IFERROR(ASSUMPTIONS!$D$74,0)</f>
        <v>2500</v>
      </c>
      <c r="AK29" s="73" t="n">
        <f aca="false">IFERROR(ASSUMPTIONS!$D$74,0)</f>
        <v>2500</v>
      </c>
      <c r="AL29" s="73" t="n">
        <f aca="false">IFERROR(ASSUMPTIONS!$D$74,0)</f>
        <v>2500</v>
      </c>
      <c r="AM29" s="73" t="n">
        <f aca="false">IFERROR(ASSUMPTIONS!$D$74,0)</f>
        <v>2500</v>
      </c>
      <c r="AN29" s="70" t="n">
        <f aca="false">SUM(AB29:AM29)</f>
        <v>30000</v>
      </c>
      <c r="AO29" s="73" t="n">
        <f aca="false">IFERROR(ASSUMPTIONS!$E$74,0)</f>
        <v>2500</v>
      </c>
      <c r="AP29" s="73" t="n">
        <f aca="false">IFERROR(ASSUMPTIONS!$E$74,0)</f>
        <v>2500</v>
      </c>
      <c r="AQ29" s="73" t="n">
        <f aca="false">IFERROR(ASSUMPTIONS!$E$74,0)</f>
        <v>2500</v>
      </c>
      <c r="AR29" s="73" t="n">
        <f aca="false">IFERROR(ASSUMPTIONS!$E$74,0)</f>
        <v>2500</v>
      </c>
      <c r="AS29" s="73" t="n">
        <f aca="false">IFERROR(ASSUMPTIONS!$E$74,0)</f>
        <v>2500</v>
      </c>
      <c r="AT29" s="73" t="n">
        <f aca="false">IFERROR(ASSUMPTIONS!$E$74,0)</f>
        <v>2500</v>
      </c>
      <c r="AU29" s="73" t="n">
        <f aca="false">IFERROR(ASSUMPTIONS!$E$74,0)</f>
        <v>2500</v>
      </c>
      <c r="AV29" s="73" t="n">
        <f aca="false">IFERROR(ASSUMPTIONS!$E$74,0)</f>
        <v>2500</v>
      </c>
      <c r="AW29" s="73" t="n">
        <f aca="false">IFERROR(ASSUMPTIONS!$E$74,0)</f>
        <v>2500</v>
      </c>
      <c r="AX29" s="73" t="n">
        <f aca="false">IFERROR(ASSUMPTIONS!$E$74,0)</f>
        <v>2500</v>
      </c>
      <c r="AY29" s="73" t="n">
        <f aca="false">IFERROR(ASSUMPTIONS!$E$74,0)</f>
        <v>2500</v>
      </c>
      <c r="AZ29" s="73" t="n">
        <f aca="false">IFERROR(ASSUMPTIONS!$E$74,0)</f>
        <v>2500</v>
      </c>
      <c r="BA29" s="71" t="n">
        <f aca="false">SUM(AO29:AZ29)</f>
        <v>30000</v>
      </c>
      <c r="BB29" s="73" t="n">
        <f aca="false">IFERROR(ASSUMPTIONS!$F$74,0)</f>
        <v>2500</v>
      </c>
      <c r="BC29" s="73" t="n">
        <f aca="false">IFERROR(ASSUMPTIONS!$F$74,0)</f>
        <v>2500</v>
      </c>
      <c r="BD29" s="73" t="n">
        <f aca="false">IFERROR(ASSUMPTIONS!$F$74,0)</f>
        <v>2500</v>
      </c>
      <c r="BE29" s="73" t="n">
        <f aca="false">IFERROR(ASSUMPTIONS!$F$74,0)</f>
        <v>2500</v>
      </c>
      <c r="BF29" s="73" t="n">
        <f aca="false">IFERROR(ASSUMPTIONS!$F$74,0)</f>
        <v>2500</v>
      </c>
      <c r="BG29" s="73" t="n">
        <f aca="false">IFERROR(ASSUMPTIONS!$F$74,0)</f>
        <v>2500</v>
      </c>
      <c r="BH29" s="73" t="n">
        <f aca="false">IFERROR(ASSUMPTIONS!$F$74,0)</f>
        <v>2500</v>
      </c>
      <c r="BI29" s="73" t="n">
        <f aca="false">IFERROR(ASSUMPTIONS!$F$74,0)</f>
        <v>2500</v>
      </c>
      <c r="BJ29" s="73" t="n">
        <f aca="false">IFERROR(ASSUMPTIONS!$F$74,0)</f>
        <v>2500</v>
      </c>
      <c r="BK29" s="73" t="n">
        <f aca="false">IFERROR(ASSUMPTIONS!$F$74,0)</f>
        <v>2500</v>
      </c>
      <c r="BL29" s="73" t="n">
        <f aca="false">IFERROR(ASSUMPTIONS!$F$74,0)</f>
        <v>2500</v>
      </c>
      <c r="BM29" s="73" t="n">
        <f aca="false">IFERROR(ASSUMPTIONS!$F$74,0)</f>
        <v>2500</v>
      </c>
      <c r="BN29" s="71" t="n">
        <f aca="false">SUM(BB29:BM29)</f>
        <v>30000</v>
      </c>
    </row>
    <row r="30" customFormat="false" ht="18" hidden="false" customHeight="true" outlineLevel="0" collapsed="false">
      <c r="A30" s="75" t="s">
        <v>255</v>
      </c>
      <c r="B30" s="76" t="n">
        <f aca="false">IFERROR(B27+B28+B29,0)</f>
        <v>6500</v>
      </c>
      <c r="C30" s="76" t="n">
        <f aca="false">IFERROR(C27+C28+C29,0)</f>
        <v>6500</v>
      </c>
      <c r="D30" s="76" t="n">
        <f aca="false">IFERROR(D27+D28+D29,0)</f>
        <v>6500</v>
      </c>
      <c r="E30" s="76" t="n">
        <f aca="false">IFERROR(E27+E28+E29,0)</f>
        <v>6500</v>
      </c>
      <c r="F30" s="76" t="n">
        <f aca="false">IFERROR(F27+F28+F29,0)</f>
        <v>6500</v>
      </c>
      <c r="G30" s="76" t="n">
        <f aca="false">IFERROR(G27+G28+G29,0)</f>
        <v>6500</v>
      </c>
      <c r="H30" s="76" t="n">
        <f aca="false">IFERROR(H27+H28+H29,0)</f>
        <v>6500</v>
      </c>
      <c r="I30" s="76" t="n">
        <f aca="false">IFERROR(I27+I28+I29,0)</f>
        <v>6500</v>
      </c>
      <c r="J30" s="76" t="n">
        <f aca="false">IFERROR(J27+J28+J29,0)</f>
        <v>6500</v>
      </c>
      <c r="K30" s="76" t="n">
        <f aca="false">IFERROR(K27+K28+K29,0)</f>
        <v>6500</v>
      </c>
      <c r="L30" s="76" t="n">
        <f aca="false">IFERROR(L27+L28+L29,0)</f>
        <v>6500</v>
      </c>
      <c r="M30" s="76" t="n">
        <f aca="false">IFERROR(M27+M28+M29,0)</f>
        <v>6500</v>
      </c>
      <c r="N30" s="76" t="n">
        <f aca="false">SUM(B30:M30)</f>
        <v>78000</v>
      </c>
      <c r="O30" s="76" t="n">
        <f aca="false">IFERROR(O27+O28+O29,0)</f>
        <v>6500</v>
      </c>
      <c r="P30" s="76" t="n">
        <f aca="false">IFERROR(P27+P28+P29,0)</f>
        <v>6500</v>
      </c>
      <c r="Q30" s="76" t="n">
        <f aca="false">IFERROR(Q27+Q28+Q29,0)</f>
        <v>6500</v>
      </c>
      <c r="R30" s="76" t="n">
        <f aca="false">IFERROR(R27+R28+R29,0)</f>
        <v>6500</v>
      </c>
      <c r="S30" s="76" t="n">
        <f aca="false">IFERROR(S27+S28+S29,0)</f>
        <v>6500</v>
      </c>
      <c r="T30" s="76" t="n">
        <f aca="false">IFERROR(T27+T28+T29,0)</f>
        <v>6500</v>
      </c>
      <c r="U30" s="76" t="n">
        <f aca="false">IFERROR(U27+U28+U29,0)</f>
        <v>6500</v>
      </c>
      <c r="V30" s="76" t="n">
        <f aca="false">IFERROR(V27+V28+V29,0)</f>
        <v>6500</v>
      </c>
      <c r="W30" s="76" t="n">
        <f aca="false">IFERROR(W27+W28+W29,0)</f>
        <v>6500</v>
      </c>
      <c r="X30" s="76" t="n">
        <f aca="false">IFERROR(X27+X28+X29,0)</f>
        <v>6500</v>
      </c>
      <c r="Y30" s="76" t="n">
        <f aca="false">IFERROR(Y27+Y28+Y29,0)</f>
        <v>6500</v>
      </c>
      <c r="Z30" s="76" t="n">
        <f aca="false">IFERROR(Z27+Z28+Z29,0)</f>
        <v>6500</v>
      </c>
      <c r="AA30" s="76" t="n">
        <f aca="false">SUM(O30:Z30)</f>
        <v>78000</v>
      </c>
      <c r="AB30" s="76" t="n">
        <f aca="false">IFERROR(AB27+AB28+AB29,0)</f>
        <v>6500</v>
      </c>
      <c r="AC30" s="76" t="n">
        <f aca="false">IFERROR(AC27+AC28+AC29,0)</f>
        <v>6500</v>
      </c>
      <c r="AD30" s="76" t="n">
        <f aca="false">IFERROR(AD27+AD28+AD29,0)</f>
        <v>6500</v>
      </c>
      <c r="AE30" s="76" t="n">
        <f aca="false">IFERROR(AE27+AE28+AE29,0)</f>
        <v>6500</v>
      </c>
      <c r="AF30" s="76" t="n">
        <f aca="false">IFERROR(AF27+AF28+AF29,0)</f>
        <v>6500</v>
      </c>
      <c r="AG30" s="76" t="n">
        <f aca="false">IFERROR(AG27+AG28+AG29,0)</f>
        <v>6500</v>
      </c>
      <c r="AH30" s="76" t="n">
        <f aca="false">IFERROR(AH27+AH28+AH29,0)</f>
        <v>6500</v>
      </c>
      <c r="AI30" s="76" t="n">
        <f aca="false">IFERROR(AI27+AI28+AI29,0)</f>
        <v>6500</v>
      </c>
      <c r="AJ30" s="76" t="n">
        <f aca="false">IFERROR(AJ27+AJ28+AJ29,0)</f>
        <v>6500</v>
      </c>
      <c r="AK30" s="76" t="n">
        <f aca="false">IFERROR(AK27+AK28+AK29,0)</f>
        <v>6500</v>
      </c>
      <c r="AL30" s="76" t="n">
        <f aca="false">IFERROR(AL27+AL28+AL29,0)</f>
        <v>6500</v>
      </c>
      <c r="AM30" s="76" t="n">
        <f aca="false">IFERROR(AM27+AM28+AM29,0)</f>
        <v>6500</v>
      </c>
      <c r="AN30" s="76" t="n">
        <f aca="false">SUM(AB30:AM30)</f>
        <v>78000</v>
      </c>
      <c r="AO30" s="76" t="n">
        <f aca="false">IFERROR(AO27+AO28+AO29,0)</f>
        <v>6500</v>
      </c>
      <c r="AP30" s="76" t="n">
        <f aca="false">IFERROR(AP27+AP28+AP29,0)</f>
        <v>6500</v>
      </c>
      <c r="AQ30" s="76" t="n">
        <f aca="false">IFERROR(AQ27+AQ28+AQ29,0)</f>
        <v>6500</v>
      </c>
      <c r="AR30" s="76" t="n">
        <f aca="false">IFERROR(AR27+AR28+AR29,0)</f>
        <v>6500</v>
      </c>
      <c r="AS30" s="76" t="n">
        <f aca="false">IFERROR(AS27+AS28+AS29,0)</f>
        <v>6500</v>
      </c>
      <c r="AT30" s="76" t="n">
        <f aca="false">IFERROR(AT27+AT28+AT29,0)</f>
        <v>6500</v>
      </c>
      <c r="AU30" s="76" t="n">
        <f aca="false">IFERROR(AU27+AU28+AU29,0)</f>
        <v>6500</v>
      </c>
      <c r="AV30" s="76" t="n">
        <f aca="false">IFERROR(AV27+AV28+AV29,0)</f>
        <v>6500</v>
      </c>
      <c r="AW30" s="76" t="n">
        <f aca="false">IFERROR(AW27+AW28+AW29,0)</f>
        <v>6500</v>
      </c>
      <c r="AX30" s="76" t="n">
        <f aca="false">IFERROR(AX27+AX28+AX29,0)</f>
        <v>6500</v>
      </c>
      <c r="AY30" s="76" t="n">
        <f aca="false">IFERROR(AY27+AY28+AY29,0)</f>
        <v>6500</v>
      </c>
      <c r="AZ30" s="76" t="n">
        <f aca="false">IFERROR(AZ27+AZ28+AZ29,0)</f>
        <v>6500</v>
      </c>
      <c r="BA30" s="77" t="n">
        <f aca="false">SUM(AO30:AZ30)</f>
        <v>78000</v>
      </c>
      <c r="BB30" s="76" t="n">
        <f aca="false">IFERROR(BB27+BB28+BB29,0)</f>
        <v>6500</v>
      </c>
      <c r="BC30" s="76" t="n">
        <f aca="false">IFERROR(BC27+BC28+BC29,0)</f>
        <v>6500</v>
      </c>
      <c r="BD30" s="76" t="n">
        <f aca="false">IFERROR(BD27+BD28+BD29,0)</f>
        <v>6500</v>
      </c>
      <c r="BE30" s="76" t="n">
        <f aca="false">IFERROR(BE27+BE28+BE29,0)</f>
        <v>6500</v>
      </c>
      <c r="BF30" s="76" t="n">
        <f aca="false">IFERROR(BF27+BF28+BF29,0)</f>
        <v>6500</v>
      </c>
      <c r="BG30" s="76" t="n">
        <f aca="false">IFERROR(BG27+BG28+BG29,0)</f>
        <v>6500</v>
      </c>
      <c r="BH30" s="76" t="n">
        <f aca="false">IFERROR(BH27+BH28+BH29,0)</f>
        <v>6500</v>
      </c>
      <c r="BI30" s="76" t="n">
        <f aca="false">IFERROR(BI27+BI28+BI29,0)</f>
        <v>6500</v>
      </c>
      <c r="BJ30" s="76" t="n">
        <f aca="false">IFERROR(BJ27+BJ28+BJ29,0)</f>
        <v>6500</v>
      </c>
      <c r="BK30" s="76" t="n">
        <f aca="false">IFERROR(BK27+BK28+BK29,0)</f>
        <v>6500</v>
      </c>
      <c r="BL30" s="76" t="n">
        <f aca="false">IFERROR(BL27+BL28+BL29,0)</f>
        <v>6500</v>
      </c>
      <c r="BM30" s="76" t="n">
        <f aca="false">IFERROR(BM27+BM28+BM29,0)</f>
        <v>6500</v>
      </c>
      <c r="BN30" s="77" t="n">
        <f aca="false">SUM(BB30:BM30)</f>
        <v>78000</v>
      </c>
    </row>
    <row r="31" customFormat="false" ht="18" hidden="false" customHeight="true" outlineLevel="0" collapsed="false">
      <c r="A31" s="75" t="s">
        <v>256</v>
      </c>
      <c r="B31" s="76" t="n">
        <f aca="false">IFERROR(B25+B30,0)</f>
        <v>42916</v>
      </c>
      <c r="C31" s="76" t="n">
        <f aca="false">IFERROR(C25+C30,0)</f>
        <v>42916</v>
      </c>
      <c r="D31" s="76" t="n">
        <f aca="false">IFERROR(D25+D30,0)</f>
        <v>62831</v>
      </c>
      <c r="E31" s="76" t="n">
        <f aca="false">IFERROR(E25+E30,0)</f>
        <v>62831</v>
      </c>
      <c r="F31" s="76" t="n">
        <f aca="false">IFERROR(F25+F30,0)</f>
        <v>62831</v>
      </c>
      <c r="G31" s="76" t="n">
        <f aca="false">IFERROR(G25+G30,0)</f>
        <v>99247</v>
      </c>
      <c r="H31" s="76" t="n">
        <f aca="false">IFERROR(H25+H30,0)</f>
        <v>99247</v>
      </c>
      <c r="I31" s="76" t="n">
        <f aca="false">IFERROR(I25+I30,0)</f>
        <v>99247</v>
      </c>
      <c r="J31" s="76" t="n">
        <f aca="false">IFERROR(J25+J30,0)</f>
        <v>119162</v>
      </c>
      <c r="K31" s="76" t="n">
        <f aca="false">IFERROR(K25+K30,0)</f>
        <v>119162</v>
      </c>
      <c r="L31" s="76" t="n">
        <f aca="false">IFERROR(L25+L30,0)</f>
        <v>119162</v>
      </c>
      <c r="M31" s="76" t="n">
        <f aca="false">IFERROR(M25+M30,0)</f>
        <v>135094</v>
      </c>
      <c r="N31" s="76" t="n">
        <f aca="false">SUM(B31:M31)</f>
        <v>1064646</v>
      </c>
      <c r="O31" s="76" t="n">
        <f aca="false">IFERROR(O25+O30,0)</f>
        <v>135094</v>
      </c>
      <c r="P31" s="76" t="n">
        <f aca="false">IFERROR(P25+P30,0)</f>
        <v>135094</v>
      </c>
      <c r="Q31" s="76" t="n">
        <f aca="false">IFERROR(Q25+Q30,0)</f>
        <v>135094</v>
      </c>
      <c r="R31" s="76" t="n">
        <f aca="false">IFERROR(R25+R30,0)</f>
        <v>135094</v>
      </c>
      <c r="S31" s="76" t="n">
        <f aca="false">IFERROR(S25+S30,0)</f>
        <v>135094</v>
      </c>
      <c r="T31" s="76" t="n">
        <f aca="false">IFERROR(T25+T30,0)</f>
        <v>135094</v>
      </c>
      <c r="U31" s="76" t="n">
        <f aca="false">IFERROR(U25+U30,0)</f>
        <v>135094</v>
      </c>
      <c r="V31" s="76" t="n">
        <f aca="false">IFERROR(V25+V30,0)</f>
        <v>135094</v>
      </c>
      <c r="W31" s="76" t="n">
        <f aca="false">IFERROR(W25+W30,0)</f>
        <v>135094</v>
      </c>
      <c r="X31" s="76" t="n">
        <f aca="false">IFERROR(X25+X30,0)</f>
        <v>135094</v>
      </c>
      <c r="Y31" s="76" t="n">
        <f aca="false">IFERROR(Y25+Y30,0)</f>
        <v>135094</v>
      </c>
      <c r="Z31" s="76" t="n">
        <f aca="false">IFERROR(Z25+Z30,0)</f>
        <v>135094</v>
      </c>
      <c r="AA31" s="76" t="n">
        <f aca="false">SUM(O31:Z31)</f>
        <v>1621128</v>
      </c>
      <c r="AB31" s="76" t="n">
        <f aca="false">IFERROR(AB25+AB30,0)</f>
        <v>135094</v>
      </c>
      <c r="AC31" s="76" t="n">
        <f aca="false">IFERROR(AC25+AC30,0)</f>
        <v>135094</v>
      </c>
      <c r="AD31" s="76" t="n">
        <f aca="false">IFERROR(AD25+AD30,0)</f>
        <v>135094</v>
      </c>
      <c r="AE31" s="76" t="n">
        <f aca="false">IFERROR(AE25+AE30,0)</f>
        <v>135094</v>
      </c>
      <c r="AF31" s="76" t="n">
        <f aca="false">IFERROR(AF25+AF30,0)</f>
        <v>135094</v>
      </c>
      <c r="AG31" s="76" t="n">
        <f aca="false">IFERROR(AG25+AG30,0)</f>
        <v>135094</v>
      </c>
      <c r="AH31" s="76" t="n">
        <f aca="false">IFERROR(AH25+AH30,0)</f>
        <v>135094</v>
      </c>
      <c r="AI31" s="76" t="n">
        <f aca="false">IFERROR(AI25+AI30,0)</f>
        <v>135094</v>
      </c>
      <c r="AJ31" s="76" t="n">
        <f aca="false">IFERROR(AJ25+AJ30,0)</f>
        <v>135094</v>
      </c>
      <c r="AK31" s="76" t="n">
        <f aca="false">IFERROR(AK25+AK30,0)</f>
        <v>135094</v>
      </c>
      <c r="AL31" s="76" t="n">
        <f aca="false">IFERROR(AL25+AL30,0)</f>
        <v>135094</v>
      </c>
      <c r="AM31" s="76" t="n">
        <f aca="false">IFERROR(AM25+AM30,0)</f>
        <v>135094</v>
      </c>
      <c r="AN31" s="76" t="n">
        <f aca="false">SUM(AB31:AM31)</f>
        <v>1621128</v>
      </c>
      <c r="AO31" s="76" t="n">
        <f aca="false">IFERROR(AO25+AO30,0)</f>
        <v>135094</v>
      </c>
      <c r="AP31" s="76" t="n">
        <f aca="false">IFERROR(AP25+AP30,0)</f>
        <v>135094</v>
      </c>
      <c r="AQ31" s="76" t="n">
        <f aca="false">IFERROR(AQ25+AQ30,0)</f>
        <v>135094</v>
      </c>
      <c r="AR31" s="76" t="n">
        <f aca="false">IFERROR(AR25+AR30,0)</f>
        <v>135094</v>
      </c>
      <c r="AS31" s="76" t="n">
        <f aca="false">IFERROR(AS25+AS30,0)</f>
        <v>135094</v>
      </c>
      <c r="AT31" s="76" t="n">
        <f aca="false">IFERROR(AT25+AT30,0)</f>
        <v>135094</v>
      </c>
      <c r="AU31" s="76" t="n">
        <f aca="false">IFERROR(AU25+AU30,0)</f>
        <v>135094</v>
      </c>
      <c r="AV31" s="76" t="n">
        <f aca="false">IFERROR(AV25+AV30,0)</f>
        <v>135094</v>
      </c>
      <c r="AW31" s="76" t="n">
        <f aca="false">IFERROR(AW25+AW30,0)</f>
        <v>135094</v>
      </c>
      <c r="AX31" s="76" t="n">
        <f aca="false">IFERROR(AX25+AX30,0)</f>
        <v>135094</v>
      </c>
      <c r="AY31" s="76" t="n">
        <f aca="false">IFERROR(AY25+AY30,0)</f>
        <v>135094</v>
      </c>
      <c r="AZ31" s="76" t="n">
        <f aca="false">IFERROR(AZ25+AZ30,0)</f>
        <v>135094</v>
      </c>
      <c r="BA31" s="77" t="n">
        <f aca="false">SUM(AO31:AZ31)</f>
        <v>1621128</v>
      </c>
      <c r="BB31" s="76" t="n">
        <f aca="false">IFERROR(BB25+BB30,0)</f>
        <v>135094</v>
      </c>
      <c r="BC31" s="76" t="n">
        <f aca="false">IFERROR(BC25+BC30,0)</f>
        <v>135094</v>
      </c>
      <c r="BD31" s="76" t="n">
        <f aca="false">IFERROR(BD25+BD30,0)</f>
        <v>135094</v>
      </c>
      <c r="BE31" s="76" t="n">
        <f aca="false">IFERROR(BE25+BE30,0)</f>
        <v>135094</v>
      </c>
      <c r="BF31" s="76" t="n">
        <f aca="false">IFERROR(BF25+BF30,0)</f>
        <v>135094</v>
      </c>
      <c r="BG31" s="76" t="n">
        <f aca="false">IFERROR(BG25+BG30,0)</f>
        <v>135094</v>
      </c>
      <c r="BH31" s="76" t="n">
        <f aca="false">IFERROR(BH25+BH30,0)</f>
        <v>135094</v>
      </c>
      <c r="BI31" s="76" t="n">
        <f aca="false">IFERROR(BI25+BI30,0)</f>
        <v>135094</v>
      </c>
      <c r="BJ31" s="76" t="n">
        <f aca="false">IFERROR(BJ25+BJ30,0)</f>
        <v>135094</v>
      </c>
      <c r="BK31" s="76" t="n">
        <f aca="false">IFERROR(BK25+BK30,0)</f>
        <v>135094</v>
      </c>
      <c r="BL31" s="76" t="n">
        <f aca="false">IFERROR(BL25+BL30,0)</f>
        <v>135094</v>
      </c>
      <c r="BM31" s="76" t="n">
        <f aca="false">IFERROR(BM25+BM30,0)</f>
        <v>135094</v>
      </c>
      <c r="BN31" s="77" t="n">
        <f aca="false">SUM(BB31:BM31)</f>
        <v>1621128</v>
      </c>
    </row>
    <row r="32" customFormat="false" ht="6" hidden="false" customHeight="true" outlineLevel="0" collapsed="false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78"/>
      <c r="AU32" s="78"/>
      <c r="AV32" s="78"/>
      <c r="AW32" s="78"/>
      <c r="AX32" s="78"/>
      <c r="AY32" s="78"/>
      <c r="AZ32" s="78"/>
      <c r="BA32" s="79"/>
      <c r="BB32" s="78"/>
      <c r="BC32" s="78"/>
      <c r="BD32" s="78"/>
      <c r="BE32" s="78"/>
      <c r="BF32" s="78"/>
      <c r="BG32" s="78"/>
      <c r="BH32" s="78"/>
      <c r="BI32" s="78"/>
      <c r="BJ32" s="78"/>
      <c r="BK32" s="78"/>
      <c r="BL32" s="78"/>
      <c r="BM32" s="78"/>
      <c r="BN32" s="79"/>
    </row>
    <row r="33" customFormat="false" ht="18" hidden="false" customHeight="true" outlineLevel="0" collapsed="false">
      <c r="A33" s="75" t="s">
        <v>257</v>
      </c>
      <c r="B33" s="76" t="n">
        <f aca="false">IFERROR(B14-B31,0)</f>
        <v>-26111.5</v>
      </c>
      <c r="C33" s="76" t="n">
        <f aca="false">IFERROR(C14-C31,0)</f>
        <v>-25895.08</v>
      </c>
      <c r="D33" s="76" t="n">
        <f aca="false">IFERROR(D14-D31,0)</f>
        <v>-43512.74</v>
      </c>
      <c r="E33" s="76" t="n">
        <f aca="false">IFERROR(E14-E31,0)</f>
        <v>-40736.5</v>
      </c>
      <c r="F33" s="76" t="n">
        <f aca="false">IFERROR(F14-F31,0)</f>
        <v>-37571.36</v>
      </c>
      <c r="G33" s="76" t="n">
        <f aca="false">IFERROR(G14-G31,0)</f>
        <v>-70433.32</v>
      </c>
      <c r="H33" s="76" t="n">
        <f aca="false">IFERROR(H14-H31,0)</f>
        <v>-66191.38</v>
      </c>
      <c r="I33" s="76" t="n">
        <f aca="false">IFERROR(I14-I31,0)</f>
        <v>-61225.58</v>
      </c>
      <c r="J33" s="76" t="n">
        <f aca="false">IFERROR(J14-J31,0)</f>
        <v>-75749.92</v>
      </c>
      <c r="K33" s="76" t="n">
        <f aca="false">IFERROR(K14-K31,0)</f>
        <v>-69635.4</v>
      </c>
      <c r="L33" s="76" t="n">
        <f aca="false">IFERROR(L14-L31,0)</f>
        <v>-62480.04</v>
      </c>
      <c r="M33" s="76" t="n">
        <f aca="false">IFERROR(M14-M31,0)</f>
        <v>-70496.86</v>
      </c>
      <c r="N33" s="76" t="n">
        <f aca="false">SUM(B33:M33)</f>
        <v>-650039.68</v>
      </c>
      <c r="O33" s="76" t="n">
        <f aca="false">IFERROR(O14-O31,0)</f>
        <v>-61205.88</v>
      </c>
      <c r="P33" s="76" t="n">
        <f aca="false">IFERROR(P14-P31,0)</f>
        <v>-50820.12</v>
      </c>
      <c r="Q33" s="76" t="n">
        <f aca="false">IFERROR(Q14-Q31,0)</f>
        <v>-38741.58</v>
      </c>
      <c r="R33" s="76" t="n">
        <f aca="false">IFERROR(R14-R31,0)</f>
        <v>-24934.3</v>
      </c>
      <c r="S33" s="76" t="n">
        <f aca="false">IFERROR(S14-S31,0)</f>
        <v>-9380.3</v>
      </c>
      <c r="T33" s="76" t="n">
        <f aca="false">IFERROR(T14-T31,0)</f>
        <v>8554.38000000001</v>
      </c>
      <c r="U33" s="76" t="n">
        <f aca="false">IFERROR(U14-U31,0)</f>
        <v>28869.74</v>
      </c>
      <c r="V33" s="76" t="n">
        <f aca="false">IFERROR(V14-V31,0)</f>
        <v>51918.72</v>
      </c>
      <c r="W33" s="76" t="n">
        <f aca="false">IFERROR(W14-W31,0)</f>
        <v>78335.28</v>
      </c>
      <c r="X33" s="76" t="n">
        <f aca="false">IFERROR(X14-X31,0)</f>
        <v>108753.38</v>
      </c>
      <c r="Y33" s="76" t="n">
        <f aca="false">IFERROR(Y14-Y31,0)</f>
        <v>143507.98</v>
      </c>
      <c r="Z33" s="76" t="n">
        <f aca="false">IFERROR(Z14-Z31,0)</f>
        <v>183233.04</v>
      </c>
      <c r="AA33" s="76" t="n">
        <f aca="false">SUM(O33:Z33)</f>
        <v>418090.34</v>
      </c>
      <c r="AB33" s="76" t="n">
        <f aca="false">IFERROR(AB14-AB31,0)</f>
        <v>228897.48</v>
      </c>
      <c r="AC33" s="76" t="n">
        <f aca="false">IFERROR(AC14-AC31,0)</f>
        <v>281135.26</v>
      </c>
      <c r="AD33" s="76" t="n">
        <f aca="false">IFERROR(AD14-AD31,0)</f>
        <v>340915.3</v>
      </c>
      <c r="AE33" s="76" t="n">
        <f aca="false">IFERROR(AE14-AE31,0)</f>
        <v>409188.54</v>
      </c>
      <c r="AF33" s="76" t="n">
        <f aca="false">IFERROR(AF14-AF31,0)</f>
        <v>487222.9</v>
      </c>
      <c r="AG33" s="76" t="n">
        <f aca="false">IFERROR(AG14-AG31,0)</f>
        <v>576603.28</v>
      </c>
      <c r="AH33" s="76" t="n">
        <f aca="false">IFERROR(AH14-AH31,0)</f>
        <v>678615.58</v>
      </c>
      <c r="AI33" s="76" t="n">
        <f aca="false">IFERROR(AI14-AI31,0)</f>
        <v>795424.72</v>
      </c>
      <c r="AJ33" s="76" t="n">
        <f aca="false">IFERROR(AJ14-AJ31,0)</f>
        <v>929249.56</v>
      </c>
      <c r="AK33" s="76" t="n">
        <f aca="false">IFERROR(AK14-AK31,0)</f>
        <v>1082589.98</v>
      </c>
      <c r="AL33" s="76" t="n">
        <f aca="false">IFERROR(AL14-AL31,0)</f>
        <v>1258262.84</v>
      </c>
      <c r="AM33" s="76" t="n">
        <f aca="false">IFERROR(AM14-AM31,0)</f>
        <v>1459401.98</v>
      </c>
      <c r="AN33" s="76" t="n">
        <f aca="false">SUM(AB33:AM33)</f>
        <v>8527507.42</v>
      </c>
      <c r="AO33" s="76" t="n">
        <f aca="false">IFERROR(AO14-AO31,0)</f>
        <v>1690056.22</v>
      </c>
      <c r="AP33" s="76" t="n">
        <f aca="false">IFERROR(AP14-AP31,0)</f>
        <v>1954274.38</v>
      </c>
      <c r="AQ33" s="76" t="n">
        <f aca="false">IFERROR(AQ14-AQ31,0)</f>
        <v>2256721.26</v>
      </c>
      <c r="AR33" s="76" t="n">
        <f aca="false">IFERROR(AR14-AR31,0)</f>
        <v>2603592.62</v>
      </c>
      <c r="AS33" s="76" t="n">
        <f aca="false">IFERROR(AS14-AS31,0)</f>
        <v>3001084.22</v>
      </c>
      <c r="AT33" s="76" t="n">
        <f aca="false">IFERROR(AT14-AT31,0)</f>
        <v>3456623.78</v>
      </c>
      <c r="AU33" s="76" t="n">
        <f aca="false">IFERROR(AU14-AU31,0)</f>
        <v>3979152</v>
      </c>
      <c r="AV33" s="76" t="n">
        <f aca="false">IFERROR(AV14-AV31,0)</f>
        <v>4578243.54</v>
      </c>
      <c r="AW33" s="76" t="n">
        <f aca="false">IFERROR(AW14-AW31,0)</f>
        <v>5265303.02</v>
      </c>
      <c r="AX33" s="76" t="n">
        <f aca="false">IFERROR(AX14-AX31,0)</f>
        <v>6053547.04</v>
      </c>
      <c r="AY33" s="76" t="n">
        <f aca="false">IFERROR(AY14-AY31,0)</f>
        <v>6957723.16</v>
      </c>
      <c r="AZ33" s="76" t="n">
        <f aca="false">IFERROR(AZ14-AZ31,0)</f>
        <v>7995305.9</v>
      </c>
      <c r="BA33" s="77" t="n">
        <f aca="false">SUM(AO33:AZ33)</f>
        <v>49791627.14</v>
      </c>
      <c r="BB33" s="76" t="n">
        <f aca="false">IFERROR(BB14-BB31,0)</f>
        <v>9185934.7</v>
      </c>
      <c r="BC33" s="76" t="n">
        <f aca="false">IFERROR(BC14-BC31,0)</f>
        <v>10552555.98</v>
      </c>
      <c r="BD33" s="76" t="n">
        <f aca="false">IFERROR(BD14-BD31,0)</f>
        <v>12120562.1</v>
      </c>
      <c r="BE33" s="76" t="n">
        <f aca="false">IFERROR(BE14-BE31,0)</f>
        <v>13920219.32</v>
      </c>
      <c r="BF33" s="76" t="n">
        <f aca="false">IFERROR(BF14-BF31,0)</f>
        <v>15986015.86</v>
      </c>
      <c r="BG33" s="76" t="n">
        <f aca="false">IFERROR(BG14-BG31,0)</f>
        <v>18357612.84</v>
      </c>
      <c r="BH33" s="76" t="n">
        <f aca="false">IFERROR(BH14-BH31,0)</f>
        <v>21080107.32</v>
      </c>
      <c r="BI33" s="76" t="n">
        <f aca="false">IFERROR(BI14-BI31,0)</f>
        <v>24205862.26</v>
      </c>
      <c r="BJ33" s="76" t="n">
        <f aca="false">IFERROR(BJ14-BJ31,0)</f>
        <v>27794841.48</v>
      </c>
      <c r="BK33" s="76" t="n">
        <f aca="false">IFERROR(BK14-BK31,0)</f>
        <v>31915733.74</v>
      </c>
      <c r="BL33" s="76" t="n">
        <f aca="false">IFERROR(BL14-BL31,0)</f>
        <v>36647854.62</v>
      </c>
      <c r="BM33" s="76" t="n">
        <f aca="false">IFERROR(BM14-BM31,0)</f>
        <v>42081971.6</v>
      </c>
      <c r="BN33" s="77" t="n">
        <f aca="false">SUM(BB33:BM33)</f>
        <v>263849271.82</v>
      </c>
    </row>
    <row r="34" customFormat="false" ht="18" hidden="false" customHeight="true" outlineLevel="0" collapsed="false">
      <c r="A34" s="43" t="s">
        <v>258</v>
      </c>
      <c r="B34" s="90" t="n">
        <f aca="false">IFERROR(B33/B10,0)</f>
        <v>-1.09943157894737</v>
      </c>
      <c r="C34" s="90" t="n">
        <f aca="false">IFERROR(C33/C10,0)</f>
        <v>-1.07770434493091</v>
      </c>
      <c r="D34" s="90" t="n">
        <f aca="false">IFERROR(D33/D10,0)</f>
        <v>-1.63501822417615</v>
      </c>
      <c r="E34" s="90" t="n">
        <f aca="false">IFERROR(E33/E10,0)</f>
        <v>-1.37012309969057</v>
      </c>
      <c r="F34" s="90" t="n">
        <f aca="false">IFERROR(F33/F10,0)</f>
        <v>-1.12877752741475</v>
      </c>
      <c r="G34" s="90" t="n">
        <f aca="false">IFERROR(G33/G10,0)</f>
        <v>-1.88971131144022</v>
      </c>
      <c r="H34" s="90" t="n">
        <f aca="false">IFERROR(H33/H10,0)</f>
        <v>-1.57628548294913</v>
      </c>
      <c r="I34" s="90" t="n">
        <f aca="false">IFERROR(I33/I10,0)</f>
        <v>-1.2889867155098</v>
      </c>
      <c r="J34" s="90" t="n">
        <f aca="false">IFERROR(J33/J10,0)</f>
        <v>-1.41604516394362</v>
      </c>
      <c r="K34" s="90" t="n">
        <f aca="false">IFERROR(K33/K10,0)</f>
        <v>-1.15527573163448</v>
      </c>
      <c r="L34" s="90" t="n">
        <f aca="false">IFERROR(L33/L10,0)</f>
        <v>-0.916519341068783</v>
      </c>
      <c r="M34" s="90" t="n">
        <f aca="false">IFERROR(M33/M10,0)</f>
        <v>-0.916650760008842</v>
      </c>
      <c r="N34" s="91" t="n">
        <f aca="false">M34</f>
        <v>-0.916650760008842</v>
      </c>
      <c r="O34" s="90" t="n">
        <f aca="false">IFERROR(O33/O10,0)</f>
        <v>-0.70263554856559</v>
      </c>
      <c r="P34" s="90" t="n">
        <f aca="false">IFERROR(P33/P10,0)</f>
        <v>-0.515914116034719</v>
      </c>
      <c r="Q34" s="90" t="n">
        <f aca="false">IFERROR(Q33/Q10,0)</f>
        <v>-0.346857726088475</v>
      </c>
      <c r="R34" s="90" t="n">
        <f aca="false">IFERROR(R33/R10,0)</f>
        <v>-0.196756018843656</v>
      </c>
      <c r="S34" s="90" t="n">
        <f aca="false">IFERROR(S33/S10,0)</f>
        <v>-0.0653069607474554</v>
      </c>
      <c r="T34" s="90" t="n">
        <f aca="false">IFERROR(T33/T10,0)</f>
        <v>0.0524596175781586</v>
      </c>
      <c r="U34" s="90" t="n">
        <f aca="false">IFERROR(U33/U10,0)</f>
        <v>0.15603324992028</v>
      </c>
      <c r="V34" s="90" t="n">
        <f aca="false">IFERROR(V33/V10,0)</f>
        <v>0.247367463134574</v>
      </c>
      <c r="W34" s="90" t="n">
        <f aca="false">IFERROR(W33/W10,0)</f>
        <v>0.328719954344031</v>
      </c>
      <c r="X34" s="90" t="n">
        <f aca="false">IFERROR(X33/X10,0)</f>
        <v>0.401404706716076</v>
      </c>
      <c r="Y34" s="90" t="n">
        <f aca="false">IFERROR(Y33/Y10,0)</f>
        <v>0.465750514406631</v>
      </c>
      <c r="Z34" s="90" t="n">
        <f aca="false">IFERROR(Z33/Z10,0)</f>
        <v>0.52273737183547</v>
      </c>
      <c r="AA34" s="91" t="n">
        <f aca="false">Z34</f>
        <v>0.52273737183547</v>
      </c>
      <c r="AB34" s="90" t="n">
        <f aca="false">IFERROR(AB33/AB10,0)</f>
        <v>0.573463744115606</v>
      </c>
      <c r="AC34" s="90" t="n">
        <f aca="false">IFERROR(AC33/AC10,0)</f>
        <v>0.618364870898705</v>
      </c>
      <c r="AD34" s="90" t="n">
        <f aca="false">IFERROR(AD33/AD10,0)</f>
        <v>0.658121128234234</v>
      </c>
      <c r="AE34" s="90" t="n">
        <f aca="false">IFERROR(AE33/AE10,0)</f>
        <v>0.693261418718244</v>
      </c>
      <c r="AF34" s="90" t="n">
        <f aca="false">IFERROR(AF33/AF10,0)</f>
        <v>0.724366840663139</v>
      </c>
      <c r="AG34" s="90" t="n">
        <f aca="false">IFERROR(AG33/AG10,0)</f>
        <v>0.751971246327217</v>
      </c>
      <c r="AH34" s="90" t="n">
        <f aca="false">IFERROR(AH33/AH10,0)</f>
        <v>0.776378744231064</v>
      </c>
      <c r="AI34" s="90" t="n">
        <f aca="false">IFERROR(AI33/AI10,0)</f>
        <v>0.798068721674909</v>
      </c>
      <c r="AJ34" s="90" t="n">
        <f aca="false">IFERROR(AJ33/AJ10,0)</f>
        <v>0.817355259662696</v>
      </c>
      <c r="AK34" s="90" t="n">
        <f aca="false">IFERROR(AK33/AK10,0)</f>
        <v>0.834517218918263</v>
      </c>
      <c r="AL34" s="90" t="n">
        <f aca="false">IFERROR(AL33/AL10,0)</f>
        <v>0.849794038906764</v>
      </c>
      <c r="AM34" s="90" t="n">
        <f aca="false">IFERROR(AM33/AM10,0)</f>
        <v>0.863391561207895</v>
      </c>
      <c r="AN34" s="91" t="n">
        <f aca="false">AM34</f>
        <v>0.863391561207895</v>
      </c>
      <c r="AO34" s="90" t="n">
        <f aca="false">IFERROR(AO33/AO10,0)</f>
        <v>0.875527096403206</v>
      </c>
      <c r="AP34" s="90" t="n">
        <f aca="false">IFERROR(AP33/AP10,0)</f>
        <v>0.886352933919738</v>
      </c>
      <c r="AQ34" s="90" t="n">
        <f aca="false">IFERROR(AQ33/AQ10,0)</f>
        <v>0.896013205618145</v>
      </c>
      <c r="AR34" s="90" t="n">
        <f aca="false">IFERROR(AR33/AR10,0)</f>
        <v>0.90466539169037</v>
      </c>
      <c r="AS34" s="90" t="n">
        <f aca="false">IFERROR(AS33/AS10,0)</f>
        <v>0.912415501324957</v>
      </c>
      <c r="AT34" s="90" t="n">
        <f aca="false">IFERROR(AT33/AT10,0)</f>
        <v>0.919367405317059</v>
      </c>
      <c r="AU34" s="90" t="n">
        <f aca="false">IFERROR(AU33/AU10,0)</f>
        <v>0.925620757491275</v>
      </c>
      <c r="AV34" s="90" t="n">
        <f aca="false">IFERROR(AV33/AV10,0)</f>
        <v>0.931248991098889</v>
      </c>
      <c r="AW34" s="90" t="n">
        <f aca="false">IFERROR(AW33/AW10,0)</f>
        <v>0.936323864410324</v>
      </c>
      <c r="AX34" s="90" t="n">
        <f aca="false">IFERROR(AX33/AX10,0)</f>
        <v>0.940910479051596</v>
      </c>
      <c r="AY34" s="90" t="n">
        <f aca="false">IFERROR(AY33/AY10,0)</f>
        <v>0.945061870194024</v>
      </c>
      <c r="AZ34" s="90" t="n">
        <f aca="false">IFERROR(AZ33/AZ10,0)</f>
        <v>0.948829139795576</v>
      </c>
      <c r="BA34" s="88" t="n">
        <f aca="false">AZ34</f>
        <v>0.948829139795576</v>
      </c>
      <c r="BB34" s="90" t="n">
        <f aca="false">IFERROR(BB33/BB10,0)</f>
        <v>0.952252649164762</v>
      </c>
      <c r="BC34" s="90" t="n">
        <f aca="false">IFERROR(BC33/BC10,0)</f>
        <v>0.95537167993693</v>
      </c>
      <c r="BD34" s="90" t="n">
        <f aca="false">IFERROR(BD33/BD10,0)</f>
        <v>0.958216965836011</v>
      </c>
      <c r="BE34" s="90" t="n">
        <f aca="false">IFERROR(BE33/BE10,0)</f>
        <v>0.960818634949476</v>
      </c>
      <c r="BF34" s="90" t="n">
        <f aca="false">IFERROR(BF33/BF10,0)</f>
        <v>0.963203149199996</v>
      </c>
      <c r="BG34" s="90" t="n">
        <f aca="false">IFERROR(BG33/BG10,0)</f>
        <v>0.965393242756874</v>
      </c>
      <c r="BH34" s="90" t="n">
        <f aca="false">IFERROR(BH33/BH10,0)</f>
        <v>0.96740882883642</v>
      </c>
      <c r="BI34" s="90" t="n">
        <f aca="false">IFERROR(BI33/BI10,0)</f>
        <v>0.969268234357307</v>
      </c>
      <c r="BJ34" s="90" t="n">
        <f aca="false">IFERROR(BJ33/BJ10,0)</f>
        <v>0.970986719222401</v>
      </c>
      <c r="BK34" s="90" t="n">
        <f aca="false">IFERROR(BK33/BK10,0)</f>
        <v>0.972578510101877</v>
      </c>
      <c r="BL34" s="90" t="n">
        <f aca="false">IFERROR(BL33/BL10,0)</f>
        <v>0.974055764966917</v>
      </c>
      <c r="BM34" s="90" t="n">
        <f aca="false">IFERROR(BM33/BM10,0)</f>
        <v>0.975429498016689</v>
      </c>
      <c r="BN34" s="88" t="n">
        <f aca="false">BM34</f>
        <v>0.975429498016689</v>
      </c>
    </row>
    <row r="35" customFormat="false" ht="6" hidden="false" customHeight="tru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66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66"/>
    </row>
    <row r="36" customFormat="false" ht="18" hidden="false" customHeight="true" outlineLevel="0" collapsed="false">
      <c r="A36" s="20" t="s">
        <v>259</v>
      </c>
      <c r="B36" s="109" t="n">
        <f aca="false">IFERROR(MAX(0,B33*ASSUMPTIONS!$B$86),0)</f>
        <v>0</v>
      </c>
      <c r="C36" s="109" t="n">
        <f aca="false">IFERROR(MAX(0,C33*ASSUMPTIONS!$B$86),0)</f>
        <v>0</v>
      </c>
      <c r="D36" s="109" t="n">
        <f aca="false">IFERROR(MAX(0,D33*ASSUMPTIONS!$B$86),0)</f>
        <v>0</v>
      </c>
      <c r="E36" s="109" t="n">
        <f aca="false">IFERROR(MAX(0,E33*ASSUMPTIONS!$B$86),0)</f>
        <v>0</v>
      </c>
      <c r="F36" s="109" t="n">
        <f aca="false">IFERROR(MAX(0,F33*ASSUMPTIONS!$B$86),0)</f>
        <v>0</v>
      </c>
      <c r="G36" s="109" t="n">
        <f aca="false">IFERROR(MAX(0,G33*ASSUMPTIONS!$B$86),0)</f>
        <v>0</v>
      </c>
      <c r="H36" s="109" t="n">
        <f aca="false">IFERROR(MAX(0,H33*ASSUMPTIONS!$B$86),0)</f>
        <v>0</v>
      </c>
      <c r="I36" s="109" t="n">
        <f aca="false">IFERROR(MAX(0,I33*ASSUMPTIONS!$B$86),0)</f>
        <v>0</v>
      </c>
      <c r="J36" s="109" t="n">
        <f aca="false">IFERROR(MAX(0,J33*ASSUMPTIONS!$B$86),0)</f>
        <v>0</v>
      </c>
      <c r="K36" s="109" t="n">
        <f aca="false">IFERROR(MAX(0,K33*ASSUMPTIONS!$B$86),0)</f>
        <v>0</v>
      </c>
      <c r="L36" s="109" t="n">
        <f aca="false">IFERROR(MAX(0,L33*ASSUMPTIONS!$B$86),0)</f>
        <v>0</v>
      </c>
      <c r="M36" s="109" t="n">
        <f aca="false">IFERROR(MAX(0,M33*ASSUMPTIONS!$B$86),0)</f>
        <v>0</v>
      </c>
      <c r="N36" s="110" t="n">
        <f aca="false">SUM(B36:M36)</f>
        <v>0</v>
      </c>
      <c r="O36" s="109" t="n">
        <f aca="false">IFERROR(MAX(0,O33*ASSUMPTIONS!$B$86),0)</f>
        <v>0</v>
      </c>
      <c r="P36" s="109" t="n">
        <f aca="false">IFERROR(MAX(0,P33*ASSUMPTIONS!$B$86),0)</f>
        <v>0</v>
      </c>
      <c r="Q36" s="109" t="n">
        <f aca="false">IFERROR(MAX(0,Q33*ASSUMPTIONS!$B$86),0)</f>
        <v>0</v>
      </c>
      <c r="R36" s="109" t="n">
        <f aca="false">IFERROR(MAX(0,R33*ASSUMPTIONS!$B$86),0)</f>
        <v>0</v>
      </c>
      <c r="S36" s="109" t="n">
        <f aca="false">IFERROR(MAX(0,S33*ASSUMPTIONS!$B$86),0)</f>
        <v>0</v>
      </c>
      <c r="T36" s="109" t="n">
        <f aca="false">IFERROR(MAX(0,T33*ASSUMPTIONS!$B$86),0)</f>
        <v>2138.595</v>
      </c>
      <c r="U36" s="109" t="n">
        <f aca="false">IFERROR(MAX(0,U33*ASSUMPTIONS!$B$86),0)</f>
        <v>7217.435</v>
      </c>
      <c r="V36" s="109" t="n">
        <f aca="false">IFERROR(MAX(0,V33*ASSUMPTIONS!$B$86),0)</f>
        <v>12979.68</v>
      </c>
      <c r="W36" s="109" t="n">
        <f aca="false">IFERROR(MAX(0,W33*ASSUMPTIONS!$B$86),0)</f>
        <v>19583.82</v>
      </c>
      <c r="X36" s="109" t="n">
        <f aca="false">IFERROR(MAX(0,X33*ASSUMPTIONS!$B$86),0)</f>
        <v>27188.345</v>
      </c>
      <c r="Y36" s="109" t="n">
        <f aca="false">IFERROR(MAX(0,Y33*ASSUMPTIONS!$B$86),0)</f>
        <v>35876.995</v>
      </c>
      <c r="Z36" s="109" t="n">
        <f aca="false">IFERROR(MAX(0,Z33*ASSUMPTIONS!$B$86),0)</f>
        <v>45808.26</v>
      </c>
      <c r="AA36" s="110" t="n">
        <f aca="false">SUM(O36:Z36)</f>
        <v>150793.13</v>
      </c>
      <c r="AB36" s="109" t="n">
        <f aca="false">IFERROR(MAX(0,AB33*ASSUMPTIONS!$B$86),0)</f>
        <v>57224.37</v>
      </c>
      <c r="AC36" s="109" t="n">
        <f aca="false">IFERROR(MAX(0,AC33*ASSUMPTIONS!$B$86),0)</f>
        <v>70283.815</v>
      </c>
      <c r="AD36" s="109" t="n">
        <f aca="false">IFERROR(MAX(0,AD33*ASSUMPTIONS!$B$86),0)</f>
        <v>85228.825</v>
      </c>
      <c r="AE36" s="109" t="n">
        <f aca="false">IFERROR(MAX(0,AE33*ASSUMPTIONS!$B$86),0)</f>
        <v>102297.135</v>
      </c>
      <c r="AF36" s="109" t="n">
        <f aca="false">IFERROR(MAX(0,AF33*ASSUMPTIONS!$B$86),0)</f>
        <v>121805.725</v>
      </c>
      <c r="AG36" s="109" t="n">
        <f aca="false">IFERROR(MAX(0,AG33*ASSUMPTIONS!$B$86),0)</f>
        <v>144150.82</v>
      </c>
      <c r="AH36" s="109" t="n">
        <f aca="false">IFERROR(MAX(0,AH33*ASSUMPTIONS!$B$86),0)</f>
        <v>169653.895</v>
      </c>
      <c r="AI36" s="109" t="n">
        <f aca="false">IFERROR(MAX(0,AI33*ASSUMPTIONS!$B$86),0)</f>
        <v>198856.18</v>
      </c>
      <c r="AJ36" s="109" t="n">
        <f aca="false">IFERROR(MAX(0,AJ33*ASSUMPTIONS!$B$86),0)</f>
        <v>232312.39</v>
      </c>
      <c r="AK36" s="109" t="n">
        <f aca="false">IFERROR(MAX(0,AK33*ASSUMPTIONS!$B$86),0)</f>
        <v>270647.495</v>
      </c>
      <c r="AL36" s="109" t="n">
        <f aca="false">IFERROR(MAX(0,AL33*ASSUMPTIONS!$B$86),0)</f>
        <v>314565.71</v>
      </c>
      <c r="AM36" s="109" t="n">
        <f aca="false">IFERROR(MAX(0,AM33*ASSUMPTIONS!$B$86),0)</f>
        <v>364850.495</v>
      </c>
      <c r="AN36" s="110" t="n">
        <f aca="false">SUM(AB36:AM36)</f>
        <v>2131876.855</v>
      </c>
      <c r="AO36" s="109" t="n">
        <f aca="false">IFERROR(MAX(0,AO33*ASSUMPTIONS!$B$86),0)</f>
        <v>422514.055</v>
      </c>
      <c r="AP36" s="109" t="n">
        <f aca="false">IFERROR(MAX(0,AP33*ASSUMPTIONS!$B$86),0)</f>
        <v>488568.595</v>
      </c>
      <c r="AQ36" s="109" t="n">
        <f aca="false">IFERROR(MAX(0,AQ33*ASSUMPTIONS!$B$86),0)</f>
        <v>564180.315</v>
      </c>
      <c r="AR36" s="109" t="n">
        <f aca="false">IFERROR(MAX(0,AR33*ASSUMPTIONS!$B$86),0)</f>
        <v>650898.155</v>
      </c>
      <c r="AS36" s="109" t="n">
        <f aca="false">IFERROR(MAX(0,AS33*ASSUMPTIONS!$B$86),0)</f>
        <v>750271.055</v>
      </c>
      <c r="AT36" s="109" t="n">
        <f aca="false">IFERROR(MAX(0,AT33*ASSUMPTIONS!$B$86),0)</f>
        <v>864155.945</v>
      </c>
      <c r="AU36" s="109" t="n">
        <f aca="false">IFERROR(MAX(0,AU33*ASSUMPTIONS!$B$86),0)</f>
        <v>994788</v>
      </c>
      <c r="AV36" s="109" t="n">
        <f aca="false">IFERROR(MAX(0,AV33*ASSUMPTIONS!$B$86),0)</f>
        <v>1144560.885</v>
      </c>
      <c r="AW36" s="109" t="n">
        <f aca="false">IFERROR(MAX(0,AW33*ASSUMPTIONS!$B$86),0)</f>
        <v>1316325.755</v>
      </c>
      <c r="AX36" s="109" t="n">
        <f aca="false">IFERROR(MAX(0,AX33*ASSUMPTIONS!$B$86),0)</f>
        <v>1513386.76</v>
      </c>
      <c r="AY36" s="109" t="n">
        <f aca="false">IFERROR(MAX(0,AY33*ASSUMPTIONS!$B$86),0)</f>
        <v>1739430.79</v>
      </c>
      <c r="AZ36" s="109" t="n">
        <f aca="false">IFERROR(MAX(0,AZ33*ASSUMPTIONS!$B$86),0)</f>
        <v>1998826.475</v>
      </c>
      <c r="BA36" s="111" t="n">
        <f aca="false">SUM(AO36:AZ36)</f>
        <v>12447906.785</v>
      </c>
      <c r="BB36" s="109" t="n">
        <f aca="false">IFERROR(MAX(0,BB33*ASSUMPTIONS!$B$86),0)</f>
        <v>2296483.675</v>
      </c>
      <c r="BC36" s="109" t="n">
        <f aca="false">IFERROR(MAX(0,BC33*ASSUMPTIONS!$B$86),0)</f>
        <v>2638138.995</v>
      </c>
      <c r="BD36" s="109" t="n">
        <f aca="false">IFERROR(MAX(0,BD33*ASSUMPTIONS!$B$86),0)</f>
        <v>3030140.525</v>
      </c>
      <c r="BE36" s="109" t="n">
        <f aca="false">IFERROR(MAX(0,BE33*ASSUMPTIONS!$B$86),0)</f>
        <v>3480054.83</v>
      </c>
      <c r="BF36" s="109" t="n">
        <f aca="false">IFERROR(MAX(0,BF33*ASSUMPTIONS!$B$86),0)</f>
        <v>3996503.965</v>
      </c>
      <c r="BG36" s="109" t="n">
        <f aca="false">IFERROR(MAX(0,BG33*ASSUMPTIONS!$B$86),0)</f>
        <v>4589403.21</v>
      </c>
      <c r="BH36" s="109" t="n">
        <f aca="false">IFERROR(MAX(0,BH33*ASSUMPTIONS!$B$86),0)</f>
        <v>5270026.83</v>
      </c>
      <c r="BI36" s="109" t="n">
        <f aca="false">IFERROR(MAX(0,BI33*ASSUMPTIONS!$B$86),0)</f>
        <v>6051465.565</v>
      </c>
      <c r="BJ36" s="109" t="n">
        <f aca="false">IFERROR(MAX(0,BJ33*ASSUMPTIONS!$B$86),0)</f>
        <v>6948710.37</v>
      </c>
      <c r="BK36" s="109" t="n">
        <f aca="false">IFERROR(MAX(0,BK33*ASSUMPTIONS!$B$86),0)</f>
        <v>7978933.435</v>
      </c>
      <c r="BL36" s="109" t="n">
        <f aca="false">IFERROR(MAX(0,BL33*ASSUMPTIONS!$B$86),0)</f>
        <v>9161963.655</v>
      </c>
      <c r="BM36" s="109" t="n">
        <f aca="false">IFERROR(MAX(0,BM33*ASSUMPTIONS!$B$86),0)</f>
        <v>10520492.9</v>
      </c>
      <c r="BN36" s="111" t="n">
        <f aca="false">SUM(BB36:BM36)</f>
        <v>65962317.955</v>
      </c>
    </row>
    <row r="37" customFormat="false" ht="18" hidden="false" customHeight="true" outlineLevel="0" collapsed="false">
      <c r="A37" s="75" t="s">
        <v>260</v>
      </c>
      <c r="B37" s="76" t="n">
        <f aca="false">IFERROR(B33-B36,0)</f>
        <v>-26111.5</v>
      </c>
      <c r="C37" s="76" t="n">
        <f aca="false">IFERROR(C33-C36,0)</f>
        <v>-25895.08</v>
      </c>
      <c r="D37" s="76" t="n">
        <f aca="false">IFERROR(D33-D36,0)</f>
        <v>-43512.74</v>
      </c>
      <c r="E37" s="76" t="n">
        <f aca="false">IFERROR(E33-E36,0)</f>
        <v>-40736.5</v>
      </c>
      <c r="F37" s="76" t="n">
        <f aca="false">IFERROR(F33-F36,0)</f>
        <v>-37571.36</v>
      </c>
      <c r="G37" s="76" t="n">
        <f aca="false">IFERROR(G33-G36,0)</f>
        <v>-70433.32</v>
      </c>
      <c r="H37" s="76" t="n">
        <f aca="false">IFERROR(H33-H36,0)</f>
        <v>-66191.38</v>
      </c>
      <c r="I37" s="76" t="n">
        <f aca="false">IFERROR(I33-I36,0)</f>
        <v>-61225.58</v>
      </c>
      <c r="J37" s="76" t="n">
        <f aca="false">IFERROR(J33-J36,0)</f>
        <v>-75749.92</v>
      </c>
      <c r="K37" s="76" t="n">
        <f aca="false">IFERROR(K33-K36,0)</f>
        <v>-69635.4</v>
      </c>
      <c r="L37" s="76" t="n">
        <f aca="false">IFERROR(L33-L36,0)</f>
        <v>-62480.04</v>
      </c>
      <c r="M37" s="76" t="n">
        <f aca="false">IFERROR(M33-M36,0)</f>
        <v>-70496.86</v>
      </c>
      <c r="N37" s="76" t="n">
        <f aca="false">SUM(B37:M37)</f>
        <v>-650039.68</v>
      </c>
      <c r="O37" s="76" t="n">
        <f aca="false">IFERROR(O33-O36,0)</f>
        <v>-61205.88</v>
      </c>
      <c r="P37" s="76" t="n">
        <f aca="false">IFERROR(P33-P36,0)</f>
        <v>-50820.12</v>
      </c>
      <c r="Q37" s="76" t="n">
        <f aca="false">IFERROR(Q33-Q36,0)</f>
        <v>-38741.58</v>
      </c>
      <c r="R37" s="76" t="n">
        <f aca="false">IFERROR(R33-R36,0)</f>
        <v>-24934.3</v>
      </c>
      <c r="S37" s="76" t="n">
        <f aca="false">IFERROR(S33-S36,0)</f>
        <v>-9380.3</v>
      </c>
      <c r="T37" s="76" t="n">
        <f aca="false">IFERROR(T33-T36,0)</f>
        <v>6415.785</v>
      </c>
      <c r="U37" s="76" t="n">
        <f aca="false">IFERROR(U33-U36,0)</f>
        <v>21652.305</v>
      </c>
      <c r="V37" s="76" t="n">
        <f aca="false">IFERROR(V33-V36,0)</f>
        <v>38939.04</v>
      </c>
      <c r="W37" s="76" t="n">
        <f aca="false">IFERROR(W33-W36,0)</f>
        <v>58751.46</v>
      </c>
      <c r="X37" s="76" t="n">
        <f aca="false">IFERROR(X33-X36,0)</f>
        <v>81565.035</v>
      </c>
      <c r="Y37" s="76" t="n">
        <f aca="false">IFERROR(Y33-Y36,0)</f>
        <v>107630.985</v>
      </c>
      <c r="Z37" s="76" t="n">
        <f aca="false">IFERROR(Z33-Z36,0)</f>
        <v>137424.78</v>
      </c>
      <c r="AA37" s="76" t="n">
        <f aca="false">SUM(O37:Z37)</f>
        <v>267297.21</v>
      </c>
      <c r="AB37" s="76" t="n">
        <f aca="false">IFERROR(AB33-AB36,0)</f>
        <v>171673.11</v>
      </c>
      <c r="AC37" s="76" t="n">
        <f aca="false">IFERROR(AC33-AC36,0)</f>
        <v>210851.445</v>
      </c>
      <c r="AD37" s="76" t="n">
        <f aca="false">IFERROR(AD33-AD36,0)</f>
        <v>255686.475</v>
      </c>
      <c r="AE37" s="76" t="n">
        <f aca="false">IFERROR(AE33-AE36,0)</f>
        <v>306891.405</v>
      </c>
      <c r="AF37" s="76" t="n">
        <f aca="false">IFERROR(AF33-AF36,0)</f>
        <v>365417.175</v>
      </c>
      <c r="AG37" s="76" t="n">
        <f aca="false">IFERROR(AG33-AG36,0)</f>
        <v>432452.46</v>
      </c>
      <c r="AH37" s="76" t="n">
        <f aca="false">IFERROR(AH33-AH36,0)</f>
        <v>508961.685</v>
      </c>
      <c r="AI37" s="76" t="n">
        <f aca="false">IFERROR(AI33-AI36,0)</f>
        <v>596568.54</v>
      </c>
      <c r="AJ37" s="76" t="n">
        <f aca="false">IFERROR(AJ33-AJ36,0)</f>
        <v>696937.17</v>
      </c>
      <c r="AK37" s="76" t="n">
        <f aca="false">IFERROR(AK33-AK36,0)</f>
        <v>811942.485</v>
      </c>
      <c r="AL37" s="76" t="n">
        <f aca="false">IFERROR(AL33-AL36,0)</f>
        <v>943697.13</v>
      </c>
      <c r="AM37" s="76" t="n">
        <f aca="false">IFERROR(AM33-AM36,0)</f>
        <v>1094551.485</v>
      </c>
      <c r="AN37" s="76" t="n">
        <f aca="false">SUM(AB37:AM37)</f>
        <v>6395630.565</v>
      </c>
      <c r="AO37" s="76" t="n">
        <f aca="false">IFERROR(AO33-AO36,0)</f>
        <v>1267542.165</v>
      </c>
      <c r="AP37" s="76" t="n">
        <f aca="false">IFERROR(AP33-AP36,0)</f>
        <v>1465705.785</v>
      </c>
      <c r="AQ37" s="76" t="n">
        <f aca="false">IFERROR(AQ33-AQ36,0)</f>
        <v>1692540.945</v>
      </c>
      <c r="AR37" s="76" t="n">
        <f aca="false">IFERROR(AR33-AR36,0)</f>
        <v>1952694.465</v>
      </c>
      <c r="AS37" s="76" t="n">
        <f aca="false">IFERROR(AS33-AS36,0)</f>
        <v>2250813.165</v>
      </c>
      <c r="AT37" s="76" t="n">
        <f aca="false">IFERROR(AT33-AT36,0)</f>
        <v>2592467.835</v>
      </c>
      <c r="AU37" s="76" t="n">
        <f aca="false">IFERROR(AU33-AU36,0)</f>
        <v>2984364</v>
      </c>
      <c r="AV37" s="76" t="n">
        <f aca="false">IFERROR(AV33-AV36,0)</f>
        <v>3433682.655</v>
      </c>
      <c r="AW37" s="76" t="n">
        <f aca="false">IFERROR(AW33-AW36,0)</f>
        <v>3948977.265</v>
      </c>
      <c r="AX37" s="76" t="n">
        <f aca="false">IFERROR(AX33-AX36,0)</f>
        <v>4540160.28</v>
      </c>
      <c r="AY37" s="76" t="n">
        <f aca="false">IFERROR(AY33-AY36,0)</f>
        <v>5218292.37</v>
      </c>
      <c r="AZ37" s="76" t="n">
        <f aca="false">IFERROR(AZ33-AZ36,0)</f>
        <v>5996479.425</v>
      </c>
      <c r="BA37" s="77" t="n">
        <f aca="false">SUM(AO37:AZ37)</f>
        <v>37343720.355</v>
      </c>
      <c r="BB37" s="76" t="n">
        <f aca="false">IFERROR(BB33-BB36,0)</f>
        <v>6889451.025</v>
      </c>
      <c r="BC37" s="76" t="n">
        <f aca="false">IFERROR(BC33-BC36,0)</f>
        <v>7914416.985</v>
      </c>
      <c r="BD37" s="76" t="n">
        <f aca="false">IFERROR(BD33-BD36,0)</f>
        <v>9090421.575</v>
      </c>
      <c r="BE37" s="76" t="n">
        <f aca="false">IFERROR(BE33-BE36,0)</f>
        <v>10440164.49</v>
      </c>
      <c r="BF37" s="76" t="n">
        <f aca="false">IFERROR(BF33-BF36,0)</f>
        <v>11989511.895</v>
      </c>
      <c r="BG37" s="76" t="n">
        <f aca="false">IFERROR(BG33-BG36,0)</f>
        <v>13768209.63</v>
      </c>
      <c r="BH37" s="76" t="n">
        <f aca="false">IFERROR(BH33-BH36,0)</f>
        <v>15810080.49</v>
      </c>
      <c r="BI37" s="76" t="n">
        <f aca="false">IFERROR(BI33-BI36,0)</f>
        <v>18154396.695</v>
      </c>
      <c r="BJ37" s="76" t="n">
        <f aca="false">IFERROR(BJ33-BJ36,0)</f>
        <v>20846131.11</v>
      </c>
      <c r="BK37" s="76" t="n">
        <f aca="false">IFERROR(BK33-BK36,0)</f>
        <v>23936800.305</v>
      </c>
      <c r="BL37" s="76" t="n">
        <f aca="false">IFERROR(BL33-BL36,0)</f>
        <v>27485890.965</v>
      </c>
      <c r="BM37" s="76" t="n">
        <f aca="false">IFERROR(BM33-BM36,0)</f>
        <v>31561478.7</v>
      </c>
      <c r="BN37" s="77" t="n">
        <f aca="false">SUM(BB37:BM37)</f>
        <v>197886953.865</v>
      </c>
    </row>
    <row r="38" customFormat="false" ht="18" hidden="false" customHeight="true" outlineLevel="0" collapsed="false">
      <c r="A38" s="43" t="s">
        <v>261</v>
      </c>
      <c r="B38" s="112" t="n">
        <f aca="false">IFERROR(B37/B10,0)</f>
        <v>-1.09943157894737</v>
      </c>
      <c r="C38" s="112" t="n">
        <f aca="false">IFERROR(C37/C10,0)</f>
        <v>-1.07770434493091</v>
      </c>
      <c r="D38" s="112" t="n">
        <f aca="false">IFERROR(D37/D10,0)</f>
        <v>-1.63501822417615</v>
      </c>
      <c r="E38" s="112" t="n">
        <f aca="false">IFERROR(E37/E10,0)</f>
        <v>-1.37012309969057</v>
      </c>
      <c r="F38" s="112" t="n">
        <f aca="false">IFERROR(F37/F10,0)</f>
        <v>-1.12877752741475</v>
      </c>
      <c r="G38" s="112" t="n">
        <f aca="false">IFERROR(G37/G10,0)</f>
        <v>-1.88971131144022</v>
      </c>
      <c r="H38" s="112" t="n">
        <f aca="false">IFERROR(H37/H10,0)</f>
        <v>-1.57628548294913</v>
      </c>
      <c r="I38" s="112" t="n">
        <f aca="false">IFERROR(I37/I10,0)</f>
        <v>-1.2889867155098</v>
      </c>
      <c r="J38" s="112" t="n">
        <f aca="false">IFERROR(J37/J10,0)</f>
        <v>-1.41604516394362</v>
      </c>
      <c r="K38" s="112" t="n">
        <f aca="false">IFERROR(K37/K10,0)</f>
        <v>-1.15527573163448</v>
      </c>
      <c r="L38" s="112" t="n">
        <f aca="false">IFERROR(L37/L10,0)</f>
        <v>-0.916519341068783</v>
      </c>
      <c r="M38" s="112" t="n">
        <f aca="false">IFERROR(M37/M10,0)</f>
        <v>-0.916650760008842</v>
      </c>
      <c r="N38" s="87" t="n">
        <f aca="false">M38</f>
        <v>-0.916650760008842</v>
      </c>
      <c r="O38" s="112" t="n">
        <f aca="false">IFERROR(O37/O10,0)</f>
        <v>-0.70263554856559</v>
      </c>
      <c r="P38" s="112" t="n">
        <f aca="false">IFERROR(P37/P10,0)</f>
        <v>-0.515914116034719</v>
      </c>
      <c r="Q38" s="112" t="n">
        <f aca="false">IFERROR(Q37/Q10,0)</f>
        <v>-0.346857726088475</v>
      </c>
      <c r="R38" s="112" t="n">
        <f aca="false">IFERROR(R37/R10,0)</f>
        <v>-0.196756018843656</v>
      </c>
      <c r="S38" s="112" t="n">
        <f aca="false">IFERROR(S37/S10,0)</f>
        <v>-0.0653069607474554</v>
      </c>
      <c r="T38" s="112" t="n">
        <f aca="false">IFERROR(T37/T10,0)</f>
        <v>0.0393447131836189</v>
      </c>
      <c r="U38" s="112" t="n">
        <f aca="false">IFERROR(U37/U10,0)</f>
        <v>0.11702493744021</v>
      </c>
      <c r="V38" s="112" t="n">
        <f aca="false">IFERROR(V37/V10,0)</f>
        <v>0.18552559735093</v>
      </c>
      <c r="W38" s="112" t="n">
        <f aca="false">IFERROR(W37/W10,0)</f>
        <v>0.246539965758023</v>
      </c>
      <c r="X38" s="112" t="n">
        <f aca="false">IFERROR(X37/X10,0)</f>
        <v>0.301053530037057</v>
      </c>
      <c r="Y38" s="112" t="n">
        <f aca="false">IFERROR(Y37/Y10,0)</f>
        <v>0.349312885804973</v>
      </c>
      <c r="Z38" s="112" t="n">
        <f aca="false">IFERROR(Z37/Z10,0)</f>
        <v>0.392053028876603</v>
      </c>
      <c r="AA38" s="87" t="n">
        <f aca="false">Z38</f>
        <v>0.392053028876603</v>
      </c>
      <c r="AB38" s="112" t="n">
        <f aca="false">IFERROR(AB37/AB10,0)</f>
        <v>0.430097808086704</v>
      </c>
      <c r="AC38" s="112" t="n">
        <f aca="false">IFERROR(AC37/AC10,0)</f>
        <v>0.463773653174029</v>
      </c>
      <c r="AD38" s="112" t="n">
        <f aca="false">IFERROR(AD37/AD10,0)</f>
        <v>0.493590846175675</v>
      </c>
      <c r="AE38" s="112" t="n">
        <f aca="false">IFERROR(AE37/AE10,0)</f>
        <v>0.519946064038683</v>
      </c>
      <c r="AF38" s="112" t="n">
        <f aca="false">IFERROR(AF37/AF10,0)</f>
        <v>0.543275130497354</v>
      </c>
      <c r="AG38" s="112" t="n">
        <f aca="false">IFERROR(AG37/AG10,0)</f>
        <v>0.563978434745412</v>
      </c>
      <c r="AH38" s="112" t="n">
        <f aca="false">IFERROR(AH37/AH10,0)</f>
        <v>0.582284058173298</v>
      </c>
      <c r="AI38" s="112" t="n">
        <f aca="false">IFERROR(AI37/AI10,0)</f>
        <v>0.598551541256182</v>
      </c>
      <c r="AJ38" s="112" t="n">
        <f aca="false">IFERROR(AJ37/AJ10,0)</f>
        <v>0.613016444747022</v>
      </c>
      <c r="AK38" s="112" t="n">
        <f aca="false">IFERROR(AK37/AK10,0)</f>
        <v>0.625887914188697</v>
      </c>
      <c r="AL38" s="112" t="n">
        <f aca="false">IFERROR(AL37/AL10,0)</f>
        <v>0.637345529180073</v>
      </c>
      <c r="AM38" s="112" t="n">
        <f aca="false">IFERROR(AM37/AM10,0)</f>
        <v>0.647543670905921</v>
      </c>
      <c r="AN38" s="87" t="n">
        <f aca="false">AM38</f>
        <v>0.647543670905921</v>
      </c>
      <c r="AO38" s="112" t="n">
        <f aca="false">IFERROR(AO37/AO10,0)</f>
        <v>0.656645322302404</v>
      </c>
      <c r="AP38" s="112" t="n">
        <f aca="false">IFERROR(AP37/AP10,0)</f>
        <v>0.664764700439803</v>
      </c>
      <c r="AQ38" s="112" t="n">
        <f aca="false">IFERROR(AQ37/AQ10,0)</f>
        <v>0.672009904213609</v>
      </c>
      <c r="AR38" s="112" t="n">
        <f aca="false">IFERROR(AR37/AR10,0)</f>
        <v>0.678499043767777</v>
      </c>
      <c r="AS38" s="112" t="n">
        <f aca="false">IFERROR(AS37/AS10,0)</f>
        <v>0.684311625993718</v>
      </c>
      <c r="AT38" s="112" t="n">
        <f aca="false">IFERROR(AT37/AT10,0)</f>
        <v>0.689525553987795</v>
      </c>
      <c r="AU38" s="112" t="n">
        <f aca="false">IFERROR(AU37/AU10,0)</f>
        <v>0.694215568118456</v>
      </c>
      <c r="AV38" s="112" t="n">
        <f aca="false">IFERROR(AV37/AV10,0)</f>
        <v>0.698436743324167</v>
      </c>
      <c r="AW38" s="112" t="n">
        <f aca="false">IFERROR(AW37/AW10,0)</f>
        <v>0.702242898307743</v>
      </c>
      <c r="AX38" s="112" t="n">
        <f aca="false">IFERROR(AX37/AX10,0)</f>
        <v>0.705682859288697</v>
      </c>
      <c r="AY38" s="112" t="n">
        <f aca="false">IFERROR(AY37/AY10,0)</f>
        <v>0.708796402645518</v>
      </c>
      <c r="AZ38" s="112" t="n">
        <f aca="false">IFERROR(AZ37/AZ10,0)</f>
        <v>0.711621854846682</v>
      </c>
      <c r="BA38" s="88" t="n">
        <f aca="false">AZ38</f>
        <v>0.711621854846682</v>
      </c>
      <c r="BB38" s="112" t="n">
        <f aca="false">IFERROR(BB37/BB10,0)</f>
        <v>0.714189486873571</v>
      </c>
      <c r="BC38" s="112" t="n">
        <f aca="false">IFERROR(BC37/BC10,0)</f>
        <v>0.716528759952698</v>
      </c>
      <c r="BD38" s="112" t="n">
        <f aca="false">IFERROR(BD37/BD10,0)</f>
        <v>0.718662724377008</v>
      </c>
      <c r="BE38" s="112" t="n">
        <f aca="false">IFERROR(BE37/BE10,0)</f>
        <v>0.720613976212107</v>
      </c>
      <c r="BF38" s="112" t="n">
        <f aca="false">IFERROR(BF37/BF10,0)</f>
        <v>0.722402361899997</v>
      </c>
      <c r="BG38" s="112" t="n">
        <f aca="false">IFERROR(BG37/BG10,0)</f>
        <v>0.724044932067655</v>
      </c>
      <c r="BH38" s="112" t="n">
        <f aca="false">IFERROR(BH37/BH10,0)</f>
        <v>0.725556621627315</v>
      </c>
      <c r="BI38" s="112" t="n">
        <f aca="false">IFERROR(BI37/BI10,0)</f>
        <v>0.72695117576798</v>
      </c>
      <c r="BJ38" s="112" t="n">
        <f aca="false">IFERROR(BJ37/BJ10,0)</f>
        <v>0.728240039416801</v>
      </c>
      <c r="BK38" s="112" t="n">
        <f aca="false">IFERROR(BK37/BK10,0)</f>
        <v>0.729433882576407</v>
      </c>
      <c r="BL38" s="112" t="n">
        <f aca="false">IFERROR(BL37/BL10,0)</f>
        <v>0.730541823725188</v>
      </c>
      <c r="BM38" s="112" t="n">
        <f aca="false">IFERROR(BM37/BM10,0)</f>
        <v>0.731572123512517</v>
      </c>
      <c r="BN38" s="88" t="n">
        <f aca="false">BM38</f>
        <v>0.731572123512517</v>
      </c>
    </row>
    <row r="39" customFormat="false" ht="15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customFormat="false" ht="15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customFormat="false" ht="15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customFormat="false" ht="15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customFormat="false" ht="15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customFormat="false" ht="15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customFormat="false" ht="15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customFormat="false" ht="15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customFormat="false" ht="15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customFormat="false" ht="15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customFormat="false" ht="15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customFormat="false" ht="15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customFormat="false" ht="15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customFormat="false" ht="15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customFormat="false" ht="15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customFormat="false" ht="15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customFormat="false" ht="15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customFormat="false" ht="15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customFormat="false" ht="15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customFormat="false" ht="15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customFormat="false" ht="15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customFormat="false" ht="15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customFormat="false" ht="15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customFormat="false" ht="15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customFormat="false" ht="15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customFormat="false" ht="15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customFormat="false" ht="15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customFormat="false" ht="15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customFormat="false" ht="15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customFormat="false" ht="15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customFormat="false" ht="15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customFormat="false" ht="15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customFormat="false" ht="15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customFormat="false" ht="15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customFormat="false" ht="15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customFormat="false" ht="15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customFormat="false" ht="15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customFormat="false" ht="15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customFormat="false" ht="15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customFormat="false" ht="15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customFormat="false" ht="15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customFormat="false" ht="15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customFormat="false" ht="15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customFormat="false" ht="15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customFormat="false" ht="15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customFormat="false" ht="15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customFormat="false" ht="15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customFormat="false" ht="15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customFormat="false" ht="15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customFormat="false" ht="15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customFormat="false" ht="15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customFormat="false" ht="15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customFormat="false" ht="15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customFormat="false" ht="15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customFormat="false" ht="15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customFormat="false" ht="15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customFormat="false" ht="15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customFormat="false" ht="15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customFormat="false" ht="15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customFormat="false" ht="15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customFormat="false" ht="15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customFormat="false" ht="15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customFormat="false" ht="15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customFormat="false" ht="15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customFormat="false" ht="15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customFormat="false" ht="15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customFormat="false" ht="15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customFormat="false" ht="15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customFormat="false" ht="15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customFormat="false" ht="15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customFormat="false" ht="15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customFormat="false" ht="15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customFormat="false" ht="15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customFormat="false" ht="15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customFormat="false" ht="15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customFormat="false" ht="15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customFormat="false" ht="15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customFormat="false" ht="15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customFormat="false" ht="15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customFormat="false" ht="15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customFormat="false" ht="15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customFormat="false" ht="15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customFormat="false" ht="15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customFormat="false" ht="15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 customFormat="false" ht="15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customFormat="false" ht="15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customFormat="false" ht="15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customFormat="false" ht="15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customFormat="false" ht="15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customFormat="false" ht="15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customFormat="false" ht="15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customFormat="false" ht="15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customFormat="false" ht="15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customFormat="false" ht="15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customFormat="false" ht="15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customFormat="false" ht="15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customFormat="false" ht="15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customFormat="false" ht="15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customFormat="false" ht="15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customFormat="false" ht="15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customFormat="false" ht="15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customFormat="false" ht="15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customFormat="false" ht="15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customFormat="false" ht="15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customFormat="false" ht="15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customFormat="false" ht="15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customFormat="false" ht="15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customFormat="false" ht="15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customFormat="false" ht="15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customFormat="false" ht="15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customFormat="false" ht="15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customFormat="false" ht="15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customFormat="false" ht="15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customFormat="false" ht="15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customFormat="false" ht="15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customFormat="false" ht="15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customFormat="false" ht="15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customFormat="false" ht="15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customFormat="false" ht="15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customFormat="false" ht="15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customFormat="false" ht="15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customFormat="false" ht="15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customFormat="false" ht="15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customFormat="false" ht="15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customFormat="false" ht="15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customFormat="false" ht="15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customFormat="false" ht="15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customFormat="false" ht="15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customFormat="false" ht="15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customFormat="false" ht="15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customFormat="false" ht="15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customFormat="false" ht="15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customFormat="false" ht="15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customFormat="false" ht="15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customFormat="false" ht="15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customFormat="false" ht="15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customFormat="false" ht="15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customFormat="false" ht="15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customFormat="false" ht="15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customFormat="false" ht="15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customFormat="false" ht="15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customFormat="false" ht="15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customFormat="false" ht="15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customFormat="false" ht="15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customFormat="false" ht="15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customFormat="false" ht="15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customFormat="false" ht="15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customFormat="false" ht="15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customFormat="false" ht="15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customFormat="false" ht="15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customFormat="false" ht="15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customFormat="false" ht="15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customFormat="false" ht="15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customFormat="false" ht="15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customFormat="false" ht="15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customFormat="false" ht="15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customFormat="false" ht="15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customFormat="false" ht="15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customFormat="false" ht="15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customFormat="false" ht="15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customFormat="false" ht="15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customFormat="false" ht="15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customFormat="false" ht="15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customFormat="false" ht="15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customFormat="false" ht="15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customFormat="false" ht="15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customFormat="false" ht="15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customFormat="false" ht="15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customFormat="false" ht="15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customFormat="false" ht="15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customFormat="false" ht="15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customFormat="false" ht="15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customFormat="false" ht="15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customFormat="false" ht="15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customFormat="false" ht="15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customFormat="false" ht="15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customFormat="false" ht="15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</row>
  </sheetData>
  <mergeCells count="9">
    <mergeCell ref="A1:BN1"/>
    <mergeCell ref="A2:BN2"/>
    <mergeCell ref="AO4:AZ4"/>
    <mergeCell ref="BB4:BM4"/>
    <mergeCell ref="A6:BN6"/>
    <mergeCell ref="A12:BN12"/>
    <mergeCell ref="A17:BN17"/>
    <mergeCell ref="A18:BN18"/>
    <mergeCell ref="A26:BN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BN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3" min="2" style="0" width="9.57"/>
    <col collapsed="false" customWidth="true" hidden="false" outlineLevel="0" max="14" min="14" style="0" width="11"/>
    <col collapsed="false" customWidth="true" hidden="false" outlineLevel="0" max="26" min="15" style="0" width="9.57"/>
    <col collapsed="false" customWidth="true" hidden="false" outlineLevel="0" max="27" min="27" style="0" width="11"/>
    <col collapsed="false" customWidth="true" hidden="false" outlineLevel="0" max="39" min="28" style="0" width="9.57"/>
    <col collapsed="false" customWidth="true" hidden="false" outlineLevel="0" max="40" min="40" style="0" width="11"/>
    <col collapsed="false" customWidth="true" hidden="false" outlineLevel="0" max="41" min="41" style="0" width="9.57"/>
    <col collapsed="false" customWidth="true" hidden="false" outlineLevel="0" max="52" min="42" style="0" width="13"/>
    <col collapsed="false" customWidth="true" hidden="false" outlineLevel="0" max="53" min="53" style="0" width="11"/>
    <col collapsed="false" customWidth="true" hidden="false" outlineLevel="0" max="54" min="54" style="0" width="9.57"/>
    <col collapsed="false" customWidth="true" hidden="false" outlineLevel="0" max="65" min="55" style="0" width="13"/>
    <col collapsed="false" customWidth="true" hidden="false" outlineLevel="0" max="66" min="66" style="0" width="11"/>
  </cols>
  <sheetData>
    <row r="1" customFormat="false" ht="39.75" hidden="false" customHeight="true" outlineLevel="0" collapsed="false">
      <c r="A1" s="45" t="s">
        <v>262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</row>
    <row r="2" customFormat="false" ht="18" hidden="false" customHeight="true" outlineLevel="0" collapsed="false">
      <c r="A2" s="46" t="s">
        <v>263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46"/>
    </row>
    <row r="3" customFormat="false" ht="6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customFormat="false" ht="13.5" hidden="false" customHeight="true" outlineLevel="0" collapsed="false">
      <c r="A4" s="47"/>
      <c r="B4" s="16" t="s">
        <v>164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48" t="s">
        <v>165</v>
      </c>
      <c r="O4" s="49" t="s">
        <v>166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50" t="s">
        <v>167</v>
      </c>
      <c r="AB4" s="51" t="s">
        <v>168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52" t="s">
        <v>169</v>
      </c>
      <c r="AO4" s="53" t="s">
        <v>170</v>
      </c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4" t="s">
        <v>171</v>
      </c>
      <c r="BB4" s="53" t="s">
        <v>172</v>
      </c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4" t="s">
        <v>173</v>
      </c>
    </row>
    <row r="5" customFormat="false" ht="21.75" hidden="false" customHeight="true" outlineLevel="0" collapsed="false">
      <c r="A5" s="47"/>
      <c r="B5" s="55" t="s">
        <v>174</v>
      </c>
      <c r="C5" s="55" t="s">
        <v>175</v>
      </c>
      <c r="D5" s="55" t="s">
        <v>176</v>
      </c>
      <c r="E5" s="55" t="s">
        <v>177</v>
      </c>
      <c r="F5" s="55" t="s">
        <v>178</v>
      </c>
      <c r="G5" s="55" t="s">
        <v>179</v>
      </c>
      <c r="H5" s="55" t="s">
        <v>180</v>
      </c>
      <c r="I5" s="55" t="s">
        <v>181</v>
      </c>
      <c r="J5" s="55" t="s">
        <v>182</v>
      </c>
      <c r="K5" s="55" t="s">
        <v>183</v>
      </c>
      <c r="L5" s="55" t="s">
        <v>184</v>
      </c>
      <c r="M5" s="55" t="s">
        <v>185</v>
      </c>
      <c r="N5" s="55" t="s">
        <v>186</v>
      </c>
      <c r="O5" s="39" t="s">
        <v>174</v>
      </c>
      <c r="P5" s="39" t="s">
        <v>175</v>
      </c>
      <c r="Q5" s="39" t="s">
        <v>176</v>
      </c>
      <c r="R5" s="39" t="s">
        <v>177</v>
      </c>
      <c r="S5" s="39" t="s">
        <v>178</v>
      </c>
      <c r="T5" s="39" t="s">
        <v>179</v>
      </c>
      <c r="U5" s="39" t="s">
        <v>180</v>
      </c>
      <c r="V5" s="39" t="s">
        <v>181</v>
      </c>
      <c r="W5" s="39" t="s">
        <v>182</v>
      </c>
      <c r="X5" s="39" t="s">
        <v>183</v>
      </c>
      <c r="Y5" s="39" t="s">
        <v>184</v>
      </c>
      <c r="Z5" s="39" t="s">
        <v>185</v>
      </c>
      <c r="AA5" s="39" t="s">
        <v>187</v>
      </c>
      <c r="AB5" s="56" t="s">
        <v>174</v>
      </c>
      <c r="AC5" s="56" t="s">
        <v>175</v>
      </c>
      <c r="AD5" s="56" t="s">
        <v>176</v>
      </c>
      <c r="AE5" s="56" t="s">
        <v>177</v>
      </c>
      <c r="AF5" s="56" t="s">
        <v>178</v>
      </c>
      <c r="AG5" s="56" t="s">
        <v>179</v>
      </c>
      <c r="AH5" s="56" t="s">
        <v>180</v>
      </c>
      <c r="AI5" s="56" t="s">
        <v>181</v>
      </c>
      <c r="AJ5" s="56" t="s">
        <v>182</v>
      </c>
      <c r="AK5" s="56" t="s">
        <v>183</v>
      </c>
      <c r="AL5" s="56" t="s">
        <v>184</v>
      </c>
      <c r="AM5" s="56" t="s">
        <v>185</v>
      </c>
      <c r="AN5" s="56" t="s">
        <v>188</v>
      </c>
      <c r="AO5" s="56" t="s">
        <v>174</v>
      </c>
      <c r="AP5" s="56" t="s">
        <v>175</v>
      </c>
      <c r="AQ5" s="56" t="s">
        <v>176</v>
      </c>
      <c r="AR5" s="56" t="s">
        <v>177</v>
      </c>
      <c r="AS5" s="56" t="s">
        <v>178</v>
      </c>
      <c r="AT5" s="56" t="s">
        <v>179</v>
      </c>
      <c r="AU5" s="56" t="s">
        <v>180</v>
      </c>
      <c r="AV5" s="56" t="s">
        <v>181</v>
      </c>
      <c r="AW5" s="56" t="s">
        <v>182</v>
      </c>
      <c r="AX5" s="56" t="s">
        <v>183</v>
      </c>
      <c r="AY5" s="56" t="s">
        <v>184</v>
      </c>
      <c r="AZ5" s="56" t="s">
        <v>185</v>
      </c>
      <c r="BA5" s="56" t="s">
        <v>189</v>
      </c>
      <c r="BB5" s="56" t="s">
        <v>174</v>
      </c>
      <c r="BC5" s="56" t="s">
        <v>175</v>
      </c>
      <c r="BD5" s="56" t="s">
        <v>176</v>
      </c>
      <c r="BE5" s="56" t="s">
        <v>177</v>
      </c>
      <c r="BF5" s="56" t="s">
        <v>178</v>
      </c>
      <c r="BG5" s="56" t="s">
        <v>179</v>
      </c>
      <c r="BH5" s="56" t="s">
        <v>180</v>
      </c>
      <c r="BI5" s="56" t="s">
        <v>181</v>
      </c>
      <c r="BJ5" s="56" t="s">
        <v>182</v>
      </c>
      <c r="BK5" s="56" t="s">
        <v>183</v>
      </c>
      <c r="BL5" s="56" t="s">
        <v>184</v>
      </c>
      <c r="BM5" s="56" t="s">
        <v>185</v>
      </c>
      <c r="BN5" s="56" t="s">
        <v>190</v>
      </c>
    </row>
    <row r="6" customFormat="false" ht="18" hidden="false" customHeight="true" outlineLevel="0" collapsed="false">
      <c r="A6" s="113" t="s">
        <v>264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  <c r="AX6" s="113"/>
      <c r="AY6" s="113"/>
      <c r="AZ6" s="113"/>
      <c r="BA6" s="113"/>
      <c r="BB6" s="113"/>
      <c r="BC6" s="113"/>
      <c r="BD6" s="113"/>
      <c r="BE6" s="113"/>
      <c r="BF6" s="113"/>
      <c r="BG6" s="113"/>
      <c r="BH6" s="113"/>
      <c r="BI6" s="113"/>
      <c r="BJ6" s="113"/>
      <c r="BK6" s="113"/>
      <c r="BL6" s="113"/>
      <c r="BM6" s="113"/>
      <c r="BN6" s="113"/>
    </row>
    <row r="7" customFormat="false" ht="18" hidden="false" customHeight="true" outlineLevel="0" collapsed="false">
      <c r="A7" s="105" t="s">
        <v>146</v>
      </c>
      <c r="B7" s="103" t="n">
        <f aca="false">ASSUMPTIONS!$B$79</f>
        <v>500000</v>
      </c>
      <c r="C7" s="103" t="n">
        <f aca="false">IFERROR(B25,0)</f>
        <v>519791.666666667</v>
      </c>
      <c r="D7" s="103" t="n">
        <f aca="false">IFERROR(C25,0)</f>
        <v>493911.833333333</v>
      </c>
      <c r="E7" s="103" t="n">
        <f aca="false">IFERROR(D25,0)</f>
        <v>470170.92</v>
      </c>
      <c r="F7" s="103" t="n">
        <f aca="false">IFERROR(E25,0)</f>
        <v>429257.346666667</v>
      </c>
      <c r="G7" s="103" t="n">
        <f aca="false">IFERROR(F25,0)</f>
        <v>391481.68</v>
      </c>
      <c r="H7" s="103" t="n">
        <f aca="false">IFERROR(G25,0)</f>
        <v>1857232.82</v>
      </c>
      <c r="I7" s="103" t="n">
        <f aca="false">IFERROR(H25,0)</f>
        <v>1790732.83333333</v>
      </c>
      <c r="J7" s="103" t="n">
        <f aca="false">IFERROR(I25,0)</f>
        <v>1729130.62</v>
      </c>
      <c r="K7" s="103" t="n">
        <f aca="false">IFERROR(J25,0)</f>
        <v>1672900.87333333</v>
      </c>
      <c r="L7" s="103" t="n">
        <f aca="false">IFERROR(K25,0)</f>
        <v>1602802.62</v>
      </c>
      <c r="M7" s="103" t="n">
        <f aca="false">IFERROR(L25,0)</f>
        <v>1539746.38666667</v>
      </c>
      <c r="N7" s="107" t="n">
        <f aca="false">M7</f>
        <v>1539746.38666667</v>
      </c>
      <c r="O7" s="103" t="n">
        <f aca="false">IFERROR(M25,0)</f>
        <v>1484546.34666667</v>
      </c>
      <c r="P7" s="103" t="n">
        <f aca="false">IFERROR(O25,0)</f>
        <v>1422551.15333333</v>
      </c>
      <c r="Q7" s="103" t="n">
        <f aca="false">IFERROR(P25,0)</f>
        <v>1370841.94</v>
      </c>
      <c r="R7" s="103" t="n">
        <f aca="false">IFERROR(Q25,0)</f>
        <v>1331011.82</v>
      </c>
      <c r="S7" s="103" t="n">
        <f aca="false">IFERROR(R25,0)</f>
        <v>1304798.57333333</v>
      </c>
      <c r="T7" s="103" t="n">
        <f aca="false">IFERROR(S25,0)</f>
        <v>1293953.44</v>
      </c>
      <c r="U7" s="103" t="n">
        <f aca="false">IFERROR(T25,0)</f>
        <v>4300766.47333333</v>
      </c>
      <c r="V7" s="103" t="n">
        <f aca="false">IFERROR(U25,0)</f>
        <v>4327618.35333333</v>
      </c>
      <c r="W7" s="103" t="n">
        <f aca="false">IFERROR(V25,0)</f>
        <v>4377206.42666667</v>
      </c>
      <c r="X7" s="103" t="n">
        <f aca="false">IFERROR(W25,0)</f>
        <v>4452807.64666667</v>
      </c>
      <c r="Y7" s="103" t="n">
        <f aca="false">IFERROR(X25,0)</f>
        <v>4558332.92666667</v>
      </c>
      <c r="Z7" s="103" t="n">
        <f aca="false">IFERROR(Y25,0)</f>
        <v>4698077.97333333</v>
      </c>
      <c r="AA7" s="107" t="n">
        <f aca="false">Z7</f>
        <v>4698077.97333333</v>
      </c>
      <c r="AB7" s="103" t="n">
        <f aca="false">IFERROR(Z25,0)</f>
        <v>4876922.62</v>
      </c>
      <c r="AC7" s="103" t="n">
        <f aca="false">IFERROR(AB25,0)</f>
        <v>5100674.82666667</v>
      </c>
      <c r="AD7" s="103" t="n">
        <f aca="false">IFERROR(AC25,0)</f>
        <v>5375817.30666667</v>
      </c>
      <c r="AE7" s="103" t="n">
        <f aca="false">IFERROR(AD25,0)</f>
        <v>5709760.9</v>
      </c>
      <c r="AF7" s="103" t="n">
        <f aca="false">IFERROR(AE25,0)</f>
        <v>6110862.86666667</v>
      </c>
      <c r="AG7" s="103" t="n">
        <f aca="false">IFERROR(AF25,0)</f>
        <v>6588703.07333333</v>
      </c>
      <c r="AH7" s="103" t="n">
        <f aca="false">IFERROR(AG25,0)</f>
        <v>7154400.97333334</v>
      </c>
      <c r="AI7" s="103" t="n">
        <f aca="false">IFERROR(AH25,0)</f>
        <v>7820411.75333334</v>
      </c>
      <c r="AJ7" s="103" t="n">
        <f aca="false">IFERROR(AI25,0)</f>
        <v>8601201.5</v>
      </c>
      <c r="AK7" s="103" t="n">
        <f aca="false">IFERROR(AJ25,0)</f>
        <v>9513468.72</v>
      </c>
      <c r="AL7" s="103" t="n">
        <f aca="false">IFERROR(AK25,0)</f>
        <v>10576357.4466667</v>
      </c>
      <c r="AM7" s="103" t="n">
        <f aca="false">IFERROR(AL25,0)</f>
        <v>11811783.26</v>
      </c>
      <c r="AN7" s="107" t="n">
        <f aca="false">AM7</f>
        <v>11811783.26</v>
      </c>
      <c r="AO7" s="103" t="n">
        <f aca="false">IFERROR(AM25,0)</f>
        <v>13244750.2666667</v>
      </c>
      <c r="AP7" s="103" t="n">
        <f aca="false">IFERROR(AO25,0)</f>
        <v>14904166.4133333</v>
      </c>
      <c r="AQ7" s="103" t="n">
        <f aca="false">IFERROR(AP25,0)</f>
        <v>16822988.4666667</v>
      </c>
      <c r="AR7" s="103" t="n">
        <f aca="false">IFERROR(AQ25,0)</f>
        <v>19038742.8466667</v>
      </c>
      <c r="AS7" s="103" t="n">
        <f aca="false">IFERROR(AR25,0)</f>
        <v>21594911.6066667</v>
      </c>
      <c r="AT7" s="103" t="n">
        <f aca="false">IFERROR(AS25,0)</f>
        <v>24541172.56</v>
      </c>
      <c r="AU7" s="103" t="n">
        <f aca="false">IFERROR(AT25,0)</f>
        <v>27934440.9466667</v>
      </c>
      <c r="AV7" s="103" t="n">
        <f aca="false">IFERROR(AU25,0)</f>
        <v>31840328.06</v>
      </c>
      <c r="AW7" s="103" t="n">
        <f aca="false">IFERROR(AV25,0)</f>
        <v>36333929.2266667</v>
      </c>
      <c r="AX7" s="103" t="n">
        <f aca="false">IFERROR(AW25,0)</f>
        <v>41501454.4333333</v>
      </c>
      <c r="AY7" s="103" t="n">
        <f aca="false">IFERROR(AX25,0)</f>
        <v>47442035.7866667</v>
      </c>
      <c r="AZ7" s="103" t="n">
        <f aca="false">IFERROR(AY25,0)</f>
        <v>54269312.8266667</v>
      </c>
      <c r="BA7" s="71" t="n">
        <f aca="false">AZ7</f>
        <v>54269312.8266667</v>
      </c>
      <c r="BB7" s="103" t="n">
        <f aca="false">IFERROR(AZ25,0)</f>
        <v>62113960.1533333</v>
      </c>
      <c r="BC7" s="103" t="n">
        <f aca="false">IFERROR(BB25,0)</f>
        <v>71125961.0533333</v>
      </c>
      <c r="BD7" s="103" t="n">
        <f aca="false">IFERROR(BC25,0)</f>
        <v>81477701.5866667</v>
      </c>
      <c r="BE7" s="103" t="n">
        <f aca="false">IFERROR(BD25,0)</f>
        <v>93366575.0666667</v>
      </c>
      <c r="BF7" s="103" t="n">
        <f aca="false">IFERROR(BE25,0)</f>
        <v>107019466.333333</v>
      </c>
      <c r="BG7" s="103" t="n">
        <f aca="false">IFERROR(BF25,0)</f>
        <v>122697059.82</v>
      </c>
      <c r="BH7" s="103" t="n">
        <f aca="false">IFERROR(BG25,0)</f>
        <v>140698876.513333</v>
      </c>
      <c r="BI7" s="103" t="n">
        <f aca="false">IFERROR(BH25,0)</f>
        <v>161368651.02</v>
      </c>
      <c r="BJ7" s="103" t="n">
        <f aca="false">IFERROR(BI25,0)</f>
        <v>185101307.506667</v>
      </c>
      <c r="BK7" s="103" t="n">
        <f aca="false">IFERROR(BJ25,0)</f>
        <v>212350519.766667</v>
      </c>
      <c r="BL7" s="103" t="n">
        <f aca="false">IFERROR(BK25,0)</f>
        <v>243637218.746667</v>
      </c>
      <c r="BM7" s="103" t="n">
        <f aca="false">IFERROR(BL25,0)</f>
        <v>279559947.486667</v>
      </c>
      <c r="BN7" s="71" t="n">
        <f aca="false">BM7</f>
        <v>279559947.486667</v>
      </c>
    </row>
    <row r="8" customFormat="false" ht="6" hidden="false" customHeight="tru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66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66"/>
    </row>
    <row r="9" customFormat="false" ht="19.5" hidden="false" customHeight="true" outlineLevel="0" collapsed="false">
      <c r="A9" s="57" t="s">
        <v>265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</row>
    <row r="10" customFormat="false" ht="18" hidden="false" customHeight="true" outlineLevel="0" collapsed="false">
      <c r="A10" s="74" t="s">
        <v>266</v>
      </c>
      <c r="B10" s="94" t="n">
        <f aca="false">IFERROR('P&amp;L'!B33,0)</f>
        <v>-26111.5</v>
      </c>
      <c r="C10" s="94" t="n">
        <f aca="false">IFERROR('P&amp;L'!C33,0)</f>
        <v>-25895.08</v>
      </c>
      <c r="D10" s="94" t="n">
        <f aca="false">IFERROR('P&amp;L'!D33,0)</f>
        <v>-43512.74</v>
      </c>
      <c r="E10" s="94" t="n">
        <f aca="false">IFERROR('P&amp;L'!E33,0)</f>
        <v>-40736.5</v>
      </c>
      <c r="F10" s="94" t="n">
        <f aca="false">IFERROR('P&amp;L'!F33,0)</f>
        <v>-37571.36</v>
      </c>
      <c r="G10" s="94" t="n">
        <f aca="false">IFERROR('P&amp;L'!G33,0)</f>
        <v>-70433.32</v>
      </c>
      <c r="H10" s="94" t="n">
        <f aca="false">IFERROR('P&amp;L'!H33,0)</f>
        <v>-66191.38</v>
      </c>
      <c r="I10" s="94" t="n">
        <f aca="false">IFERROR('P&amp;L'!I33,0)</f>
        <v>-61225.58</v>
      </c>
      <c r="J10" s="94" t="n">
        <f aca="false">IFERROR('P&amp;L'!J33,0)</f>
        <v>-75749.92</v>
      </c>
      <c r="K10" s="94" t="n">
        <f aca="false">IFERROR('P&amp;L'!K33,0)</f>
        <v>-69635.4</v>
      </c>
      <c r="L10" s="94" t="n">
        <f aca="false">IFERROR('P&amp;L'!L33,0)</f>
        <v>-62480.04</v>
      </c>
      <c r="M10" s="94" t="n">
        <f aca="false">IFERROR('P&amp;L'!M33,0)</f>
        <v>-70496.86</v>
      </c>
      <c r="N10" s="103" t="n">
        <f aca="false">SUM(B10:M10)</f>
        <v>-650039.68</v>
      </c>
      <c r="O10" s="94" t="n">
        <f aca="false">IFERROR('P&amp;L'!O33,0)</f>
        <v>-61205.88</v>
      </c>
      <c r="P10" s="94" t="n">
        <f aca="false">IFERROR('P&amp;L'!P33,0)</f>
        <v>-50820.12</v>
      </c>
      <c r="Q10" s="94" t="n">
        <f aca="false">IFERROR('P&amp;L'!Q33,0)</f>
        <v>-38741.58</v>
      </c>
      <c r="R10" s="94" t="n">
        <f aca="false">IFERROR('P&amp;L'!R33,0)</f>
        <v>-24934.3</v>
      </c>
      <c r="S10" s="94" t="n">
        <f aca="false">IFERROR('P&amp;L'!S33,0)</f>
        <v>-9380.3</v>
      </c>
      <c r="T10" s="94" t="n">
        <f aca="false">IFERROR('P&amp;L'!T33,0)</f>
        <v>8554.38000000001</v>
      </c>
      <c r="U10" s="94" t="n">
        <f aca="false">IFERROR('P&amp;L'!U33,0)</f>
        <v>28869.74</v>
      </c>
      <c r="V10" s="94" t="n">
        <f aca="false">IFERROR('P&amp;L'!V33,0)</f>
        <v>51918.72</v>
      </c>
      <c r="W10" s="94" t="n">
        <f aca="false">IFERROR('P&amp;L'!W33,0)</f>
        <v>78335.28</v>
      </c>
      <c r="X10" s="94" t="n">
        <f aca="false">IFERROR('P&amp;L'!X33,0)</f>
        <v>108753.38</v>
      </c>
      <c r="Y10" s="94" t="n">
        <f aca="false">IFERROR('P&amp;L'!Y33,0)</f>
        <v>143507.98</v>
      </c>
      <c r="Z10" s="94" t="n">
        <f aca="false">IFERROR('P&amp;L'!Z33,0)</f>
        <v>183233.04</v>
      </c>
      <c r="AA10" s="103" t="n">
        <f aca="false">SUM(O10:Z10)</f>
        <v>418090.34</v>
      </c>
      <c r="AB10" s="94" t="n">
        <f aca="false">IFERROR('P&amp;L'!AB33,0)</f>
        <v>228897.48</v>
      </c>
      <c r="AC10" s="94" t="n">
        <f aca="false">IFERROR('P&amp;L'!AC33,0)</f>
        <v>281135.26</v>
      </c>
      <c r="AD10" s="94" t="n">
        <f aca="false">IFERROR('P&amp;L'!AD33,0)</f>
        <v>340915.3</v>
      </c>
      <c r="AE10" s="94" t="n">
        <f aca="false">IFERROR('P&amp;L'!AE33,0)</f>
        <v>409188.54</v>
      </c>
      <c r="AF10" s="94" t="n">
        <f aca="false">IFERROR('P&amp;L'!AF33,0)</f>
        <v>487222.9</v>
      </c>
      <c r="AG10" s="94" t="n">
        <f aca="false">IFERROR('P&amp;L'!AG33,0)</f>
        <v>576603.28</v>
      </c>
      <c r="AH10" s="94" t="n">
        <f aca="false">IFERROR('P&amp;L'!AH33,0)</f>
        <v>678615.58</v>
      </c>
      <c r="AI10" s="94" t="n">
        <f aca="false">IFERROR('P&amp;L'!AI33,0)</f>
        <v>795424.72</v>
      </c>
      <c r="AJ10" s="94" t="n">
        <f aca="false">IFERROR('P&amp;L'!AJ33,0)</f>
        <v>929249.56</v>
      </c>
      <c r="AK10" s="94" t="n">
        <f aca="false">IFERROR('P&amp;L'!AK33,0)</f>
        <v>1082589.98</v>
      </c>
      <c r="AL10" s="94" t="n">
        <f aca="false">IFERROR('P&amp;L'!AL33,0)</f>
        <v>1258262.84</v>
      </c>
      <c r="AM10" s="94" t="n">
        <f aca="false">IFERROR('P&amp;L'!AM33,0)</f>
        <v>1459401.98</v>
      </c>
      <c r="AN10" s="103" t="n">
        <f aca="false">SUM(AB10:AM10)</f>
        <v>8527507.42</v>
      </c>
      <c r="AO10" s="94" t="n">
        <f aca="false">IFERROR('P&amp;L'!AO33,0)</f>
        <v>1690056.22</v>
      </c>
      <c r="AP10" s="94" t="n">
        <f aca="false">IFERROR('P&amp;L'!AP33,0)</f>
        <v>1954274.38</v>
      </c>
      <c r="AQ10" s="94" t="n">
        <f aca="false">IFERROR('P&amp;L'!AQ33,0)</f>
        <v>2256721.26</v>
      </c>
      <c r="AR10" s="94" t="n">
        <f aca="false">IFERROR('P&amp;L'!AR33,0)</f>
        <v>2603592.62</v>
      </c>
      <c r="AS10" s="94" t="n">
        <f aca="false">IFERROR('P&amp;L'!AS33,0)</f>
        <v>3001084.22</v>
      </c>
      <c r="AT10" s="94" t="n">
        <f aca="false">IFERROR('P&amp;L'!AT33,0)</f>
        <v>3456623.78</v>
      </c>
      <c r="AU10" s="94" t="n">
        <f aca="false">IFERROR('P&amp;L'!AU33,0)</f>
        <v>3979152</v>
      </c>
      <c r="AV10" s="94" t="n">
        <f aca="false">IFERROR('P&amp;L'!AV33,0)</f>
        <v>4578243.54</v>
      </c>
      <c r="AW10" s="94" t="n">
        <f aca="false">IFERROR('P&amp;L'!AW33,0)</f>
        <v>5265303.02</v>
      </c>
      <c r="AX10" s="94" t="n">
        <f aca="false">IFERROR('P&amp;L'!AX33,0)</f>
        <v>6053547.04</v>
      </c>
      <c r="AY10" s="94" t="n">
        <f aca="false">IFERROR('P&amp;L'!AY33,0)</f>
        <v>6957723.16</v>
      </c>
      <c r="AZ10" s="94" t="n">
        <f aca="false">IFERROR('P&amp;L'!AZ33,0)</f>
        <v>7995305.9</v>
      </c>
      <c r="BA10" s="71" t="n">
        <f aca="false">SUM(AO10:AZ10)</f>
        <v>49791627.14</v>
      </c>
      <c r="BB10" s="94" t="n">
        <f aca="false">IFERROR('P&amp;L'!BB33,0)</f>
        <v>9185934.7</v>
      </c>
      <c r="BC10" s="94" t="n">
        <f aca="false">IFERROR('P&amp;L'!BC33,0)</f>
        <v>10552555.98</v>
      </c>
      <c r="BD10" s="94" t="n">
        <f aca="false">IFERROR('P&amp;L'!BD33,0)</f>
        <v>12120562.1</v>
      </c>
      <c r="BE10" s="94" t="n">
        <f aca="false">IFERROR('P&amp;L'!BE33,0)</f>
        <v>13920219.32</v>
      </c>
      <c r="BF10" s="94" t="n">
        <f aca="false">IFERROR('P&amp;L'!BF33,0)</f>
        <v>15986015.86</v>
      </c>
      <c r="BG10" s="94" t="n">
        <f aca="false">IFERROR('P&amp;L'!BG33,0)</f>
        <v>18357612.84</v>
      </c>
      <c r="BH10" s="94" t="n">
        <f aca="false">IFERROR('P&amp;L'!BH33,0)</f>
        <v>21080107.32</v>
      </c>
      <c r="BI10" s="94" t="n">
        <f aca="false">IFERROR('P&amp;L'!BI33,0)</f>
        <v>24205862.26</v>
      </c>
      <c r="BJ10" s="94" t="n">
        <f aca="false">IFERROR('P&amp;L'!BJ33,0)</f>
        <v>27794841.48</v>
      </c>
      <c r="BK10" s="94" t="n">
        <f aca="false">IFERROR('P&amp;L'!BK33,0)</f>
        <v>31915733.74</v>
      </c>
      <c r="BL10" s="94" t="n">
        <f aca="false">IFERROR('P&amp;L'!BL33,0)</f>
        <v>36647854.62</v>
      </c>
      <c r="BM10" s="94" t="n">
        <f aca="false">IFERROR('P&amp;L'!BM33,0)</f>
        <v>42081971.6</v>
      </c>
      <c r="BN10" s="71" t="n">
        <f aca="false">SUM(BB10:BM10)</f>
        <v>263849271.82</v>
      </c>
    </row>
    <row r="11" customFormat="false" ht="18" hidden="false" customHeight="true" outlineLevel="0" collapsed="false">
      <c r="A11" s="72" t="s">
        <v>267</v>
      </c>
      <c r="B11" s="81" t="n">
        <f aca="false">IFERROR(-(('P&amp;L'!B10-0)*ASSUMPTIONS!$B$84/30),0)</f>
        <v>-3958.33333333333</v>
      </c>
      <c r="C11" s="81" t="n">
        <f aca="false">IFERROR(-(('P&amp;L'!C10-'P&amp;L'!B10)*ASSUMPTIONS!$B$84/30),0)</f>
        <v>-46.3333333333333</v>
      </c>
      <c r="D11" s="81" t="n">
        <f aca="false">IFERROR(-(('P&amp;L'!D10-'P&amp;L'!C10)*ASSUMPTIONS!$B$84/30),0)</f>
        <v>-430.833333333333</v>
      </c>
      <c r="E11" s="81" t="n">
        <f aca="false">IFERROR(-(('P&amp;L'!E10-'P&amp;L'!D10)*ASSUMPTIONS!$B$84/30),0)</f>
        <v>-519.833333333333</v>
      </c>
      <c r="F11" s="81" t="n">
        <f aca="false">IFERROR(-(('P&amp;L'!F10-'P&amp;L'!E10)*ASSUMPTIONS!$B$84/30),0)</f>
        <v>-592.166666666667</v>
      </c>
      <c r="G11" s="81" t="n">
        <f aca="false">IFERROR(-(('P&amp;L'!G10-'P&amp;L'!F10)*ASSUMPTIONS!$B$84/30),0)</f>
        <v>-664.5</v>
      </c>
      <c r="H11" s="81" t="n">
        <f aca="false">IFERROR(-(('P&amp;L'!H10-'P&amp;L'!G10)*ASSUMPTIONS!$B$84/30),0)</f>
        <v>-786.666666666667</v>
      </c>
      <c r="I11" s="81" t="n">
        <f aca="false">IFERROR(-(('P&amp;L'!I10-'P&amp;L'!H10)*ASSUMPTIONS!$B$84/30),0)</f>
        <v>-917.833333333333</v>
      </c>
      <c r="J11" s="81" t="n">
        <f aca="false">IFERROR(-(('P&amp;L'!J10-'P&amp;L'!I10)*ASSUMPTIONS!$B$84/30),0)</f>
        <v>-999.166666666667</v>
      </c>
      <c r="K11" s="81" t="n">
        <f aca="false">IFERROR(-(('P&amp;L'!K10-'P&amp;L'!J10)*ASSUMPTIONS!$B$84/30),0)</f>
        <v>-1130.33333333333</v>
      </c>
      <c r="L11" s="81" t="n">
        <f aca="false">IFERROR(-(('P&amp;L'!L10-'P&amp;L'!K10)*ASSUMPTIONS!$B$84/30),0)</f>
        <v>-1315.83333333333</v>
      </c>
      <c r="M11" s="81" t="n">
        <f aca="false">IFERROR(-(('P&amp;L'!M10-'P&amp;L'!L10)*ASSUMPTIONS!$B$84/30),0)</f>
        <v>-1456</v>
      </c>
      <c r="N11" s="82" t="n">
        <f aca="false">SUM(B11:M11)</f>
        <v>-12817.8333333333</v>
      </c>
      <c r="O11" s="81" t="n">
        <f aca="false">IFERROR(-(('P&amp;L'!O10-'P&amp;L'!M10)*ASSUMPTIONS!$B$84/30),0)</f>
        <v>-1700.33333333333</v>
      </c>
      <c r="P11" s="81" t="n">
        <f aca="false">IFERROR(-(('P&amp;L'!P10-'P&amp;L'!O10)*ASSUMPTIONS!$B$84/30),0)</f>
        <v>-1899.33333333333</v>
      </c>
      <c r="Q11" s="81" t="n">
        <f aca="false">IFERROR(-(('P&amp;L'!Q10-'P&amp;L'!P10)*ASSUMPTIONS!$B$84/30),0)</f>
        <v>-2198</v>
      </c>
      <c r="R11" s="81" t="n">
        <f aca="false">IFERROR(-(('P&amp;L'!R10-'P&amp;L'!Q10)*ASSUMPTIONS!$B$84/30),0)</f>
        <v>-2505.66666666667</v>
      </c>
      <c r="S11" s="81" t="n">
        <f aca="false">IFERROR(-(('P&amp;L'!S10-'P&amp;L'!R10)*ASSUMPTIONS!$B$84/30),0)</f>
        <v>-2817.83333333333</v>
      </c>
      <c r="T11" s="81" t="n">
        <f aca="false">IFERROR(-(('P&amp;L'!T10-'P&amp;L'!S10)*ASSUMPTIONS!$B$84/30),0)</f>
        <v>-3238.66666666667</v>
      </c>
      <c r="U11" s="81" t="n">
        <f aca="false">IFERROR(-(('P&amp;L'!U10-'P&amp;L'!T10)*ASSUMPTIONS!$B$84/30),0)</f>
        <v>-3659.5</v>
      </c>
      <c r="V11" s="81" t="n">
        <f aca="false">IFERROR(-(('P&amp;L'!V10-'P&amp;L'!U10)*ASSUMPTIONS!$B$84/30),0)</f>
        <v>-4143.66666666667</v>
      </c>
      <c r="W11" s="81" t="n">
        <f aca="false">IFERROR(-(('P&amp;L'!W10-'P&amp;L'!V10)*ASSUMPTIONS!$B$84/30),0)</f>
        <v>-4736.5</v>
      </c>
      <c r="X11" s="81" t="n">
        <f aca="false">IFERROR(-(('P&amp;L'!X10-'P&amp;L'!W10)*ASSUMPTIONS!$B$84/30),0)</f>
        <v>-5438</v>
      </c>
      <c r="Y11" s="81" t="n">
        <f aca="false">IFERROR(-(('P&amp;L'!Y10-'P&amp;L'!X10)*ASSUMPTIONS!$B$84/30),0)</f>
        <v>-6198.33333333333</v>
      </c>
      <c r="Z11" s="81" t="n">
        <f aca="false">IFERROR(-(('P&amp;L'!Z10-'P&amp;L'!Y10)*ASSUMPTIONS!$B$84/30),0)</f>
        <v>-7067.33333333333</v>
      </c>
      <c r="AA11" s="82" t="n">
        <f aca="false">SUM(O11:Z11)</f>
        <v>-45603.1666666667</v>
      </c>
      <c r="AB11" s="81" t="n">
        <f aca="false">IFERROR(-(('P&amp;L'!AB10-'P&amp;L'!Z10)*ASSUMPTIONS!$B$84/30),0)</f>
        <v>-8103.83333333333</v>
      </c>
      <c r="AC11" s="81" t="n">
        <f aca="false">IFERROR(-(('P&amp;L'!AC10-'P&amp;L'!AB10)*ASSUMPTIONS!$B$84/30),0)</f>
        <v>-9249</v>
      </c>
      <c r="AD11" s="81" t="n">
        <f aca="false">IFERROR(-(('P&amp;L'!AD10-'P&amp;L'!AC10)*ASSUMPTIONS!$B$84/30),0)</f>
        <v>-10561.6666666667</v>
      </c>
      <c r="AE11" s="81" t="n">
        <f aca="false">IFERROR(-(('P&amp;L'!AE10-'P&amp;L'!AD10)*ASSUMPTIONS!$B$84/30),0)</f>
        <v>-12037.3333333333</v>
      </c>
      <c r="AF11" s="81" t="n">
        <f aca="false">IFERROR(-(('P&amp;L'!AF10-'P&amp;L'!AE10)*ASSUMPTIONS!$B$84/30),0)</f>
        <v>-13730.3333333333</v>
      </c>
      <c r="AG11" s="81" t="n">
        <f aca="false">IFERROR(-(('P&amp;L'!AG10-'P&amp;L'!AF10)*ASSUMPTIONS!$B$84/30),0)</f>
        <v>-15695</v>
      </c>
      <c r="AH11" s="81" t="n">
        <f aca="false">IFERROR(-(('P&amp;L'!AH10-'P&amp;L'!AG10)*ASSUMPTIONS!$B$84/30),0)</f>
        <v>-17881.5</v>
      </c>
      <c r="AI11" s="81" t="n">
        <f aca="false">IFERROR(-(('P&amp;L'!AI10-'P&amp;L'!AH10)*ASSUMPTIONS!$B$84/30),0)</f>
        <v>-20434.8333333333</v>
      </c>
      <c r="AJ11" s="81" t="n">
        <f aca="false">IFERROR(-(('P&amp;L'!AJ10-'P&amp;L'!AI10)*ASSUMPTIONS!$B$84/30),0)</f>
        <v>-23368.5</v>
      </c>
      <c r="AK11" s="81" t="n">
        <f aca="false">IFERROR(-(('P&amp;L'!AK10-'P&amp;L'!AJ10)*ASSUMPTIONS!$B$84/30),0)</f>
        <v>-26727.8333333333</v>
      </c>
      <c r="AL11" s="81" t="n">
        <f aca="false">IFERROR(-(('P&amp;L'!AL10-'P&amp;L'!AK10)*ASSUMPTIONS!$B$84/30),0)</f>
        <v>-30567.1666666667</v>
      </c>
      <c r="AM11" s="81" t="n">
        <f aca="false">IFERROR(-(('P&amp;L'!AM10-'P&amp;L'!AL10)*ASSUMPTIONS!$B$84/30),0)</f>
        <v>-34940.8333333333</v>
      </c>
      <c r="AN11" s="82" t="n">
        <f aca="false">SUM(AB11:AM11)</f>
        <v>-223297.833333333</v>
      </c>
      <c r="AO11" s="81" t="n">
        <f aca="false">IFERROR(-(('P&amp;L'!AO10-'P&amp;L'!AM10)*ASSUMPTIONS!$B$84/30),0)</f>
        <v>-40002.8333333333</v>
      </c>
      <c r="AP11" s="81" t="n">
        <f aca="false">IFERROR(-(('P&amp;L'!AP10-'P&amp;L'!AO10)*ASSUMPTIONS!$B$84/30),0)</f>
        <v>-45753.1666666667</v>
      </c>
      <c r="AQ11" s="81" t="n">
        <f aca="false">IFERROR(-(('P&amp;L'!AQ10-'P&amp;L'!AP10)*ASSUMPTIONS!$B$84/30),0)</f>
        <v>-52296</v>
      </c>
      <c r="AR11" s="81" t="n">
        <f aca="false">IFERROR(-(('P&amp;L'!AR10-'P&amp;L'!AQ10)*ASSUMPTIONS!$B$84/30),0)</f>
        <v>-59889.5</v>
      </c>
      <c r="AS11" s="81" t="n">
        <f aca="false">IFERROR(-(('P&amp;L'!AS10-'P&amp;L'!AR10)*ASSUMPTIONS!$B$84/30),0)</f>
        <v>-68533.6666666667</v>
      </c>
      <c r="AT11" s="81" t="n">
        <f aca="false">IFERROR(-(('P&amp;L'!AT10-'P&amp;L'!AS10)*ASSUMPTIONS!$B$84/30),0)</f>
        <v>-78436.8333333333</v>
      </c>
      <c r="AU11" s="81" t="n">
        <f aca="false">IFERROR(-(('P&amp;L'!AU10-'P&amp;L'!AT10)*ASSUMPTIONS!$B$84/30),0)</f>
        <v>-89852.6666666667</v>
      </c>
      <c r="AV11" s="81" t="n">
        <f aca="false">IFERROR(-(('P&amp;L'!AV10-'P&amp;L'!AU10)*ASSUMPTIONS!$B$84/30),0)</f>
        <v>-102889.833333333</v>
      </c>
      <c r="AW11" s="81" t="n">
        <f aca="false">IFERROR(-(('P&amp;L'!AW10-'P&amp;L'!AV10)*ASSUMPTIONS!$B$84/30),0)</f>
        <v>-117856.333333333</v>
      </c>
      <c r="AX11" s="81" t="n">
        <f aca="false">IFERROR(-(('P&amp;L'!AX10-'P&amp;L'!AW10)*ASSUMPTIONS!$B$84/30),0)</f>
        <v>-135055.666666667</v>
      </c>
      <c r="AY11" s="81" t="n">
        <f aca="false">IFERROR(-(('P&amp;L'!AY10-'P&amp;L'!AX10)*ASSUMPTIONS!$B$84/30),0)</f>
        <v>-154746</v>
      </c>
      <c r="AZ11" s="81" t="n">
        <f aca="false">IFERROR(-(('P&amp;L'!AZ10-'P&amp;L'!AY10)*ASSUMPTIONS!$B$84/30),0)</f>
        <v>-177384.833333333</v>
      </c>
      <c r="BA11" s="71" t="n">
        <f aca="false">SUM(AO11:AZ11)</f>
        <v>-1122697.33333333</v>
      </c>
      <c r="BB11" s="81" t="n">
        <f aca="false">IFERROR(-(('P&amp;L'!BB10-'P&amp;L'!AZ10)*ASSUMPTIONS!$B$84/30),0)</f>
        <v>-203339</v>
      </c>
      <c r="BC11" s="81" t="n">
        <f aca="false">IFERROR(-(('P&amp;L'!BC10-'P&amp;L'!BB10)*ASSUMPTIONS!$B$84/30),0)</f>
        <v>-233161.166666667</v>
      </c>
      <c r="BD11" s="81" t="n">
        <f aca="false">IFERROR(-(('P&amp;L'!BD10-'P&amp;L'!BC10)*ASSUMPTIONS!$B$84/30),0)</f>
        <v>-267263.5</v>
      </c>
      <c r="BE11" s="81" t="n">
        <f aca="false">IFERROR(-(('P&amp;L'!BE10-'P&amp;L'!BD10)*ASSUMPTIONS!$B$84/30),0)</f>
        <v>-306465.833333333</v>
      </c>
      <c r="BF11" s="81" t="n">
        <f aca="false">IFERROR(-(('P&amp;L'!BF10-'P&amp;L'!BE10)*ASSUMPTIONS!$B$84/30),0)</f>
        <v>-351474.833333333</v>
      </c>
      <c r="BG11" s="81" t="n">
        <f aca="false">IFERROR(-(('P&amp;L'!BG10-'P&amp;L'!BF10)*ASSUMPTIONS!$B$84/30),0)</f>
        <v>-403160.166666667</v>
      </c>
      <c r="BH11" s="81" t="n">
        <f aca="false">IFERROR(-(('P&amp;L'!BH10-'P&amp;L'!BG10)*ASSUMPTIONS!$B$84/30),0)</f>
        <v>-462432.333333333</v>
      </c>
      <c r="BI11" s="81" t="n">
        <f aca="false">IFERROR(-(('P&amp;L'!BI10-'P&amp;L'!BH10)*ASSUMPTIONS!$B$84/30),0)</f>
        <v>-530509.833333333</v>
      </c>
      <c r="BJ11" s="81" t="n">
        <f aca="false">IFERROR(-(('P&amp;L'!BJ10-'P&amp;L'!BI10)*ASSUMPTIONS!$B$84/30),0)</f>
        <v>-608670</v>
      </c>
      <c r="BK11" s="81" t="n">
        <f aca="false">IFERROR(-(('P&amp;L'!BK10-'P&amp;L'!BJ10)*ASSUMPTIONS!$B$84/30),0)</f>
        <v>-698371.5</v>
      </c>
      <c r="BL11" s="81" t="n">
        <f aca="false">IFERROR(-(('P&amp;L'!BL10-'P&amp;L'!BK10)*ASSUMPTIONS!$B$84/30),0)</f>
        <v>-801399</v>
      </c>
      <c r="BM11" s="81" t="n">
        <f aca="false">IFERROR(-(('P&amp;L'!BM10-'P&amp;L'!BL10)*ASSUMPTIONS!$B$84/30),0)</f>
        <v>-919668.666666667</v>
      </c>
      <c r="BN11" s="71" t="n">
        <f aca="false">SUM(BB11:BM11)</f>
        <v>-5785915.83333333</v>
      </c>
    </row>
    <row r="12" customFormat="false" ht="18" hidden="false" customHeight="true" outlineLevel="0" collapsed="false">
      <c r="A12" s="74" t="s">
        <v>268</v>
      </c>
      <c r="B12" s="94" t="n">
        <f aca="false">IFERROR((('P&amp;L'!B13+'P&amp;L'!B31)-0)*ASSUMPTIONS!$B$85/30,0)</f>
        <v>49861.5</v>
      </c>
      <c r="C12" s="94" t="n">
        <f aca="false">IFERROR((('P&amp;L'!C13+'P&amp;L'!C31)-('P&amp;L'!B13+'P&amp;L'!B31))*ASSUMPTIONS!$B$85/30,0)</f>
        <v>61.5800000000017</v>
      </c>
      <c r="D12" s="94" t="n">
        <f aca="false">IFERROR((('P&amp;L'!D13+'P&amp;L'!D31)-('P&amp;L'!C13+'P&amp;L'!C31))*ASSUMPTIONS!$B$85/30,0)</f>
        <v>20202.66</v>
      </c>
      <c r="E12" s="94" t="n">
        <f aca="false">IFERROR((('P&amp;L'!E13+'P&amp;L'!E31)-('P&amp;L'!D13+'P&amp;L'!D31))*ASSUMPTIONS!$B$85/30,0)</f>
        <v>342.759999999995</v>
      </c>
      <c r="F12" s="94" t="n">
        <f aca="false">IFERROR((('P&amp;L'!F13+'P&amp;L'!F31)-('P&amp;L'!E13+'P&amp;L'!E31))*ASSUMPTIONS!$B$85/30,0)</f>
        <v>387.860000000001</v>
      </c>
      <c r="G12" s="94" t="n">
        <f aca="false">IFERROR((('P&amp;L'!G13+'P&amp;L'!G31)-('P&amp;L'!F13+'P&amp;L'!F31))*ASSUMPTIONS!$B$85/30,0)</f>
        <v>36848.96</v>
      </c>
      <c r="H12" s="94" t="n">
        <f aca="false">IFERROR((('P&amp;L'!H13+'P&amp;L'!H31)-('P&amp;L'!G13+'P&amp;L'!G31))*ASSUMPTIONS!$B$85/30,0)</f>
        <v>478.059999999998</v>
      </c>
      <c r="I12" s="94" t="n">
        <f aca="false">IFERROR((('P&amp;L'!I13+'P&amp;L'!I31)-('P&amp;L'!H13+'P&amp;L'!H31))*ASSUMPTIONS!$B$85/30,0)</f>
        <v>541.199999999997</v>
      </c>
      <c r="J12" s="94" t="n">
        <f aca="false">IFERROR((('P&amp;L'!J13+'P&amp;L'!J31)-('P&amp;L'!I13+'P&amp;L'!I31))*ASSUMPTIONS!$B$85/30,0)</f>
        <v>20519.34</v>
      </c>
      <c r="K12" s="94" t="n">
        <f aca="false">IFERROR((('P&amp;L'!K13+'P&amp;L'!K31)-('P&amp;L'!J13+'P&amp;L'!J31))*ASSUMPTIONS!$B$85/30,0)</f>
        <v>667.479999999996</v>
      </c>
      <c r="L12" s="94" t="n">
        <f aca="false">IFERROR((('P&amp;L'!L13+'P&amp;L'!L31)-('P&amp;L'!K13+'P&amp;L'!K31))*ASSUMPTIONS!$B$85/30,0)</f>
        <v>739.639999999999</v>
      </c>
      <c r="M12" s="94" t="n">
        <f aca="false">IFERROR((('P&amp;L'!M13+'P&amp;L'!M31)-('P&amp;L'!L13+'P&amp;L'!L31))*ASSUMPTIONS!$B$85/30,0)</f>
        <v>16752.82</v>
      </c>
      <c r="N12" s="107" t="n">
        <f aca="false">SUM(B12:M12)</f>
        <v>147403.86</v>
      </c>
      <c r="O12" s="94" t="n">
        <f aca="false">IFERROR((('P&amp;L'!O13+'P&amp;L'!O31)-('P&amp;L'!M13+'P&amp;L'!M31))*ASSUMPTIONS!$B$85/30,0)</f>
        <v>911.020000000019</v>
      </c>
      <c r="P12" s="94" t="n">
        <f aca="false">IFERROR((('P&amp;L'!P13+'P&amp;L'!P31)-('P&amp;L'!O13+'P&amp;L'!O31))*ASSUMPTIONS!$B$85/30,0)</f>
        <v>1010.23999999999</v>
      </c>
      <c r="Q12" s="94" t="n">
        <f aca="false">IFERROR((('P&amp;L'!Q13+'P&amp;L'!Q31)-('P&amp;L'!P13+'P&amp;L'!P31))*ASSUMPTIONS!$B$85/30,0)</f>
        <v>1109.45999999999</v>
      </c>
      <c r="R12" s="94" t="n">
        <f aca="false">IFERROR((('P&amp;L'!R13+'P&amp;L'!R31)-('P&amp;L'!Q13+'P&amp;L'!Q31))*ASSUMPTIONS!$B$85/30,0)</f>
        <v>1226.72</v>
      </c>
      <c r="S12" s="94" t="n">
        <f aca="false">IFERROR((('P&amp;L'!S13+'P&amp;L'!S31)-('P&amp;L'!R13+'P&amp;L'!R31))*ASSUMPTIONS!$B$85/30,0)</f>
        <v>1353</v>
      </c>
      <c r="T12" s="94" t="n">
        <f aca="false">IFERROR((('P&amp;L'!T13+'P&amp;L'!T31)-('P&amp;L'!S13+'P&amp;L'!S31))*ASSUMPTIONS!$B$85/30,0)</f>
        <v>1497.32000000001</v>
      </c>
      <c r="U12" s="94" t="n">
        <f aca="false">IFERROR((('P&amp;L'!U13+'P&amp;L'!U31)-('P&amp;L'!T13+'P&amp;L'!T31))*ASSUMPTIONS!$B$85/30,0)</f>
        <v>1641.64000000001</v>
      </c>
      <c r="V12" s="94" t="n">
        <f aca="false">IFERROR((('P&amp;L'!V13+'P&amp;L'!V31)-('P&amp;L'!U13+'P&amp;L'!U31))*ASSUMPTIONS!$B$85/30,0)</f>
        <v>1813.01999999999</v>
      </c>
      <c r="W12" s="94" t="n">
        <f aca="false">IFERROR((('P&amp;L'!W13+'P&amp;L'!W31)-('P&amp;L'!V13+'P&amp;L'!V31))*ASSUMPTIONS!$B$85/30,0)</f>
        <v>2002.44</v>
      </c>
      <c r="X12" s="94" t="n">
        <f aca="false">IFERROR((('P&amp;L'!X13+'P&amp;L'!X31)-('P&amp;L'!W13+'P&amp;L'!W31))*ASSUMPTIONS!$B$85/30,0)</f>
        <v>2209.89999999999</v>
      </c>
      <c r="Y12" s="94" t="n">
        <f aca="false">IFERROR((('P&amp;L'!Y13+'P&amp;L'!Y31)-('P&amp;L'!X13+'P&amp;L'!X31))*ASSUMPTIONS!$B$85/30,0)</f>
        <v>2435.39999999999</v>
      </c>
      <c r="Z12" s="94" t="n">
        <f aca="false">IFERROR((('P&amp;L'!Z13+'P&amp;L'!Z31)-('P&amp;L'!Y13+'P&amp;L'!Y31))*ASSUMPTIONS!$B$85/30,0)</f>
        <v>2678.94</v>
      </c>
      <c r="AA12" s="107" t="n">
        <f aca="false">SUM(O12:Z12)</f>
        <v>19889.1</v>
      </c>
      <c r="AB12" s="94" t="n">
        <f aca="false">IFERROR((('P&amp;L'!AB13+'P&amp;L'!AB31)-('P&amp;L'!Z13+'P&amp;L'!Z31))*ASSUMPTIONS!$B$85/30,0)</f>
        <v>2958.56000000003</v>
      </c>
      <c r="AC12" s="94" t="n">
        <f aca="false">IFERROR((('P&amp;L'!AC13+'P&amp;L'!AC31)-('P&amp;L'!AB13+'P&amp;L'!AB31))*ASSUMPTIONS!$B$85/30,0)</f>
        <v>3256.21999999997</v>
      </c>
      <c r="AD12" s="94" t="n">
        <f aca="false">IFERROR((('P&amp;L'!AD13+'P&amp;L'!AD31)-('P&amp;L'!AC13+'P&amp;L'!AC31))*ASSUMPTIONS!$B$85/30,0)</f>
        <v>3589.96000000002</v>
      </c>
      <c r="AE12" s="94" t="n">
        <f aca="false">IFERROR((('P&amp;L'!AE13+'P&amp;L'!AE31)-('P&amp;L'!AD13+'P&amp;L'!AD31))*ASSUMPTIONS!$B$85/30,0)</f>
        <v>3950.75999999998</v>
      </c>
      <c r="AF12" s="94" t="n">
        <f aca="false">IFERROR((('P&amp;L'!AF13+'P&amp;L'!AF31)-('P&amp;L'!AE13+'P&amp;L'!AE31))*ASSUMPTIONS!$B$85/30,0)</f>
        <v>4347.64000000001</v>
      </c>
      <c r="AG12" s="94" t="n">
        <f aca="false">IFERROR((('P&amp;L'!AG13+'P&amp;L'!AG31)-('P&amp;L'!AF13+'P&amp;L'!AF31))*ASSUMPTIONS!$B$85/30,0)</f>
        <v>4789.62</v>
      </c>
      <c r="AH12" s="94" t="n">
        <f aca="false">IFERROR((('P&amp;L'!AH13+'P&amp;L'!AH31)-('P&amp;L'!AG13+'P&amp;L'!AG31))*ASSUMPTIONS!$B$85/30,0)</f>
        <v>5276.69999999998</v>
      </c>
      <c r="AI12" s="94" t="n">
        <f aca="false">IFERROR((('P&amp;L'!AI13+'P&amp;L'!AI31)-('P&amp;L'!AH13+'P&amp;L'!AH31))*ASSUMPTIONS!$B$85/30,0)</f>
        <v>5799.86000000002</v>
      </c>
      <c r="AJ12" s="94" t="n">
        <f aca="false">IFERROR((('P&amp;L'!AJ13+'P&amp;L'!AJ31)-('P&amp;L'!AI13+'P&amp;L'!AI31))*ASSUMPTIONS!$B$85/30,0)</f>
        <v>6386.16</v>
      </c>
      <c r="AK12" s="94" t="n">
        <f aca="false">IFERROR((('P&amp;L'!AK13+'P&amp;L'!AK31)-('P&amp;L'!AJ13+'P&amp;L'!AJ31))*ASSUMPTIONS!$B$85/30,0)</f>
        <v>7026.57999999999</v>
      </c>
      <c r="AL12" s="94" t="n">
        <f aca="false">IFERROR((('P&amp;L'!AL13+'P&amp;L'!AL31)-('P&amp;L'!AK13+'P&amp;L'!AK31))*ASSUMPTIONS!$B$85/30,0)</f>
        <v>7730.14000000001</v>
      </c>
      <c r="AM12" s="94" t="n">
        <f aca="false">IFERROR((('P&amp;L'!AM13+'P&amp;L'!AM31)-('P&amp;L'!AL13+'P&amp;L'!AL31))*ASSUMPTIONS!$B$85/30,0)</f>
        <v>8505.86000000002</v>
      </c>
      <c r="AN12" s="107" t="n">
        <f aca="false">SUM(AB12:AM12)</f>
        <v>63618.06</v>
      </c>
      <c r="AO12" s="94" t="n">
        <f aca="false">IFERROR((('P&amp;L'!AO13+'P&amp;L'!AO31)-('P&amp;L'!AM13+'P&amp;L'!AM31))*ASSUMPTIONS!$B$85/30,0)</f>
        <v>9362.75999999995</v>
      </c>
      <c r="AP12" s="94" t="n">
        <f aca="false">IFERROR((('P&amp;L'!AP13+'P&amp;L'!AP31)-('P&amp;L'!AO13+'P&amp;L'!AO31))*ASSUMPTIONS!$B$85/30,0)</f>
        <v>10300.84</v>
      </c>
      <c r="AQ12" s="94" t="n">
        <f aca="false">IFERROR((('P&amp;L'!AQ13+'P&amp;L'!AQ31)-('P&amp;L'!AP13+'P&amp;L'!AP31))*ASSUMPTIONS!$B$85/30,0)</f>
        <v>11329.12</v>
      </c>
      <c r="AR12" s="94" t="n">
        <f aca="false">IFERROR((('P&amp;L'!AR13+'P&amp;L'!AR31)-('P&amp;L'!AQ13+'P&amp;L'!AQ31))*ASSUMPTIONS!$B$85/30,0)</f>
        <v>12465.64</v>
      </c>
      <c r="AS12" s="94" t="n">
        <f aca="false">IFERROR((('P&amp;L'!AS13+'P&amp;L'!AS31)-('P&amp;L'!AR13+'P&amp;L'!AR31))*ASSUMPTIONS!$B$85/30,0)</f>
        <v>13710.4</v>
      </c>
      <c r="AT12" s="94" t="n">
        <f aca="false">IFERROR((('P&amp;L'!AT13+'P&amp;L'!AT31)-('P&amp;L'!AS13+'P&amp;L'!AS31))*ASSUMPTIONS!$B$85/30,0)</f>
        <v>15081.4399999999</v>
      </c>
      <c r="AU12" s="94" t="n">
        <f aca="false">IFERROR((('P&amp;L'!AU13+'P&amp;L'!AU31)-('P&amp;L'!AT13+'P&amp;L'!AT31))*ASSUMPTIONS!$B$85/30,0)</f>
        <v>16587.78</v>
      </c>
      <c r="AV12" s="94" t="n">
        <f aca="false">IFERROR((('P&amp;L'!AV13+'P&amp;L'!AV31)-('P&amp;L'!AU13+'P&amp;L'!AU31))*ASSUMPTIONS!$B$85/30,0)</f>
        <v>18247.46</v>
      </c>
      <c r="AW12" s="94" t="n">
        <f aca="false">IFERROR((('P&amp;L'!AW13+'P&amp;L'!AW31)-('P&amp;L'!AV13+'P&amp;L'!AV31))*ASSUMPTIONS!$B$85/30,0)</f>
        <v>20078.5200000001</v>
      </c>
      <c r="AX12" s="94" t="n">
        <f aca="false">IFERROR((('P&amp;L'!AX13+'P&amp;L'!AX31)-('P&amp;L'!AW13+'P&amp;L'!AW31))*ASSUMPTIONS!$B$85/30,0)</f>
        <v>22089.9799999999</v>
      </c>
      <c r="AY12" s="94" t="n">
        <f aca="false">IFERROR((('P&amp;L'!AY13+'P&amp;L'!AY31)-('P&amp;L'!AX13+'P&amp;L'!AX31))*ASSUMPTIONS!$B$85/30,0)</f>
        <v>24299.8800000001</v>
      </c>
      <c r="AZ12" s="94" t="n">
        <f aca="false">IFERROR((('P&amp;L'!AZ13+'P&amp;L'!AZ31)-('P&amp;L'!AY13+'P&amp;L'!AY31))*ASSUMPTIONS!$B$85/30,0)</f>
        <v>26726.26</v>
      </c>
      <c r="BA12" s="71" t="n">
        <f aca="false">SUM(AO12:AZ12)</f>
        <v>200280.08</v>
      </c>
      <c r="BB12" s="94" t="n">
        <f aca="false">IFERROR((('P&amp;L'!BB13+'P&amp;L'!BB31)-('P&amp;L'!AZ13+'P&amp;L'!AZ31))*ASSUMPTIONS!$B$85/30,0)</f>
        <v>29405.2000000001</v>
      </c>
      <c r="BC12" s="94" t="n">
        <f aca="false">IFERROR((('P&amp;L'!BC13+'P&amp;L'!BC31)-('P&amp;L'!BB13+'P&amp;L'!BB31))*ASSUMPTIONS!$B$85/30,0)</f>
        <v>32345.72</v>
      </c>
      <c r="BD12" s="94" t="n">
        <f aca="false">IFERROR((('P&amp;L'!BD13+'P&amp;L'!BD31)-('P&amp;L'!BC13+'P&amp;L'!BC31))*ASSUMPTIONS!$B$85/30,0)</f>
        <v>35574.88</v>
      </c>
      <c r="BE12" s="94" t="n">
        <f aca="false">IFERROR((('P&amp;L'!BE13+'P&amp;L'!BE31)-('P&amp;L'!BD13+'P&amp;L'!BD31))*ASSUMPTIONS!$B$85/30,0)</f>
        <v>39137.7799999999</v>
      </c>
      <c r="BF12" s="94" t="n">
        <f aca="false">IFERROR((('P&amp;L'!BF13+'P&amp;L'!BF31)-('P&amp;L'!BE13+'P&amp;L'!BE31))*ASSUMPTIONS!$B$85/30,0)</f>
        <v>43052.4600000001</v>
      </c>
      <c r="BG12" s="94" t="n">
        <f aca="false">IFERROR((('P&amp;L'!BG13+'P&amp;L'!BG31)-('P&amp;L'!BF13+'P&amp;L'!BF31))*ASSUMPTIONS!$B$85/30,0)</f>
        <v>47364.0199999999</v>
      </c>
      <c r="BH12" s="94" t="n">
        <f aca="false">IFERROR((('P&amp;L'!BH13+'P&amp;L'!BH31)-('P&amp;L'!BG13+'P&amp;L'!BG31))*ASSUMPTIONS!$B$85/30,0)</f>
        <v>52099.52</v>
      </c>
      <c r="BI12" s="94" t="n">
        <f aca="false">IFERROR((('P&amp;L'!BI13+'P&amp;L'!BI31)-('P&amp;L'!BH13+'P&amp;L'!BH31))*ASSUMPTIONS!$B$85/30,0)</f>
        <v>57304.0600000001</v>
      </c>
      <c r="BJ12" s="94" t="n">
        <f aca="false">IFERROR((('P&amp;L'!BJ13+'P&amp;L'!BJ31)-('P&amp;L'!BI13+'P&amp;L'!BI31))*ASSUMPTIONS!$B$85/30,0)</f>
        <v>63040.7799999999</v>
      </c>
      <c r="BK12" s="94" t="n">
        <f aca="false">IFERROR((('P&amp;L'!BK13+'P&amp;L'!BK31)-('P&amp;L'!BJ13+'P&amp;L'!BJ31))*ASSUMPTIONS!$B$85/30,0)</f>
        <v>69336.7400000002</v>
      </c>
      <c r="BL12" s="94" t="n">
        <f aca="false">IFERROR((('P&amp;L'!BL13+'P&amp;L'!BL31)-('P&amp;L'!BK13+'P&amp;L'!BK31))*ASSUMPTIONS!$B$85/30,0)</f>
        <v>76273.1199999999</v>
      </c>
      <c r="BM12" s="94" t="n">
        <f aca="false">IFERROR((('P&amp;L'!BM13+'P&amp;L'!BM31)-('P&amp;L'!BL13+'P&amp;L'!BL31))*ASSUMPTIONS!$B$85/30,0)</f>
        <v>83895.0199999999</v>
      </c>
      <c r="BN12" s="71" t="n">
        <f aca="false">SUM(BB12:BM12)</f>
        <v>628829.3</v>
      </c>
    </row>
    <row r="13" customFormat="false" ht="18" hidden="false" customHeight="true" outlineLevel="0" collapsed="false">
      <c r="A13" s="75" t="s">
        <v>269</v>
      </c>
      <c r="B13" s="76" t="n">
        <f aca="false">IFERROR(B10+B11+B12,0)</f>
        <v>19791.6666666667</v>
      </c>
      <c r="C13" s="76" t="n">
        <f aca="false">IFERROR(C10+C11+C12,0)</f>
        <v>-25879.8333333333</v>
      </c>
      <c r="D13" s="76" t="n">
        <f aca="false">IFERROR(D10+D11+D12,0)</f>
        <v>-23740.9133333333</v>
      </c>
      <c r="E13" s="76" t="n">
        <f aca="false">IFERROR(E10+E11+E12,0)</f>
        <v>-40913.5733333333</v>
      </c>
      <c r="F13" s="76" t="n">
        <f aca="false">IFERROR(F10+F11+F12,0)</f>
        <v>-37775.6666666667</v>
      </c>
      <c r="G13" s="76" t="n">
        <f aca="false">IFERROR(G10+G11+G12,0)</f>
        <v>-34248.86</v>
      </c>
      <c r="H13" s="76" t="n">
        <f aca="false">IFERROR(H10+H11+H12,0)</f>
        <v>-66499.9866666667</v>
      </c>
      <c r="I13" s="76" t="n">
        <f aca="false">IFERROR(I10+I11+I12,0)</f>
        <v>-61602.2133333333</v>
      </c>
      <c r="J13" s="76" t="n">
        <f aca="false">IFERROR(J10+J11+J12,0)</f>
        <v>-56229.7466666667</v>
      </c>
      <c r="K13" s="76" t="n">
        <f aca="false">IFERROR(K10+K11+K12,0)</f>
        <v>-70098.2533333333</v>
      </c>
      <c r="L13" s="76" t="n">
        <f aca="false">IFERROR(L10+L11+L12,0)</f>
        <v>-63056.2333333333</v>
      </c>
      <c r="M13" s="76" t="n">
        <f aca="false">IFERROR(M10+M11+M12,0)</f>
        <v>-55200.04</v>
      </c>
      <c r="N13" s="76" t="n">
        <f aca="false">SUM(B13:M13)</f>
        <v>-515453.653333333</v>
      </c>
      <c r="O13" s="76" t="n">
        <f aca="false">IFERROR(O10+O11+O12,0)</f>
        <v>-61995.1933333333</v>
      </c>
      <c r="P13" s="76" t="n">
        <f aca="false">IFERROR(P10+P11+P12,0)</f>
        <v>-51709.2133333333</v>
      </c>
      <c r="Q13" s="76" t="n">
        <f aca="false">IFERROR(Q10+Q11+Q12,0)</f>
        <v>-39830.12</v>
      </c>
      <c r="R13" s="76" t="n">
        <f aca="false">IFERROR(R10+R11+R12,0)</f>
        <v>-26213.2466666667</v>
      </c>
      <c r="S13" s="76" t="n">
        <f aca="false">IFERROR(S10+S11+S12,0)</f>
        <v>-10845.1333333333</v>
      </c>
      <c r="T13" s="76" t="n">
        <f aca="false">IFERROR(T10+T11+T12,0)</f>
        <v>6813.03333333335</v>
      </c>
      <c r="U13" s="76" t="n">
        <f aca="false">IFERROR(U10+U11+U12,0)</f>
        <v>26851.88</v>
      </c>
      <c r="V13" s="76" t="n">
        <f aca="false">IFERROR(V10+V11+V12,0)</f>
        <v>49588.0733333333</v>
      </c>
      <c r="W13" s="76" t="n">
        <f aca="false">IFERROR(W10+W11+W12,0)</f>
        <v>75601.22</v>
      </c>
      <c r="X13" s="76" t="n">
        <f aca="false">IFERROR(X10+X11+X12,0)</f>
        <v>105525.28</v>
      </c>
      <c r="Y13" s="76" t="n">
        <f aca="false">IFERROR(Y10+Y11+Y12,0)</f>
        <v>139745.046666667</v>
      </c>
      <c r="Z13" s="76" t="n">
        <f aca="false">IFERROR(Z10+Z11+Z12,0)</f>
        <v>178844.646666667</v>
      </c>
      <c r="AA13" s="76" t="n">
        <f aca="false">SUM(O13:Z13)</f>
        <v>392376.273333333</v>
      </c>
      <c r="AB13" s="76" t="n">
        <f aca="false">IFERROR(AB10+AB11+AB12,0)</f>
        <v>223752.206666667</v>
      </c>
      <c r="AC13" s="76" t="n">
        <f aca="false">IFERROR(AC10+AC11+AC12,0)</f>
        <v>275142.48</v>
      </c>
      <c r="AD13" s="76" t="n">
        <f aca="false">IFERROR(AD10+AD11+AD12,0)</f>
        <v>333943.593333333</v>
      </c>
      <c r="AE13" s="76" t="n">
        <f aca="false">IFERROR(AE10+AE11+AE12,0)</f>
        <v>401101.966666667</v>
      </c>
      <c r="AF13" s="76" t="n">
        <f aca="false">IFERROR(AF10+AF11+AF12,0)</f>
        <v>477840.206666667</v>
      </c>
      <c r="AG13" s="76" t="n">
        <f aca="false">IFERROR(AG10+AG11+AG12,0)</f>
        <v>565697.9</v>
      </c>
      <c r="AH13" s="76" t="n">
        <f aca="false">IFERROR(AH10+AH11+AH12,0)</f>
        <v>666010.78</v>
      </c>
      <c r="AI13" s="76" t="n">
        <f aca="false">IFERROR(AI10+AI11+AI12,0)</f>
        <v>780789.746666667</v>
      </c>
      <c r="AJ13" s="76" t="n">
        <f aca="false">IFERROR(AJ10+AJ11+AJ12,0)</f>
        <v>912267.22</v>
      </c>
      <c r="AK13" s="76" t="n">
        <f aca="false">IFERROR(AK10+AK11+AK12,0)</f>
        <v>1062888.72666667</v>
      </c>
      <c r="AL13" s="76" t="n">
        <f aca="false">IFERROR(AL10+AL11+AL12,0)</f>
        <v>1235425.81333333</v>
      </c>
      <c r="AM13" s="76" t="n">
        <f aca="false">IFERROR(AM10+AM11+AM12,0)</f>
        <v>1432967.00666667</v>
      </c>
      <c r="AN13" s="76" t="n">
        <f aca="false">SUM(AB13:AM13)</f>
        <v>8367827.64666667</v>
      </c>
      <c r="AO13" s="76" t="n">
        <f aca="false">IFERROR(AO10+AO11+AO12,0)</f>
        <v>1659416.14666667</v>
      </c>
      <c r="AP13" s="76" t="n">
        <f aca="false">IFERROR(AP10+AP11+AP12,0)</f>
        <v>1918822.05333333</v>
      </c>
      <c r="AQ13" s="76" t="n">
        <f aca="false">IFERROR(AQ10+AQ11+AQ12,0)</f>
        <v>2215754.38</v>
      </c>
      <c r="AR13" s="76" t="n">
        <f aca="false">IFERROR(AR10+AR11+AR12,0)</f>
        <v>2556168.76</v>
      </c>
      <c r="AS13" s="76" t="n">
        <f aca="false">IFERROR(AS10+AS11+AS12,0)</f>
        <v>2946260.95333333</v>
      </c>
      <c r="AT13" s="76" t="n">
        <f aca="false">IFERROR(AT10+AT11+AT12,0)</f>
        <v>3393268.38666667</v>
      </c>
      <c r="AU13" s="76" t="n">
        <f aca="false">IFERROR(AU10+AU11+AU12,0)</f>
        <v>3905887.11333333</v>
      </c>
      <c r="AV13" s="76" t="n">
        <f aca="false">IFERROR(AV10+AV11+AV12,0)</f>
        <v>4493601.16666667</v>
      </c>
      <c r="AW13" s="76" t="n">
        <f aca="false">IFERROR(AW10+AW11+AW12,0)</f>
        <v>5167525.20666667</v>
      </c>
      <c r="AX13" s="76" t="n">
        <f aca="false">IFERROR(AX10+AX11+AX12,0)</f>
        <v>5940581.35333333</v>
      </c>
      <c r="AY13" s="76" t="n">
        <f aca="false">IFERROR(AY10+AY11+AY12,0)</f>
        <v>6827277.04</v>
      </c>
      <c r="AZ13" s="76" t="n">
        <f aca="false">IFERROR(AZ10+AZ11+AZ12,0)</f>
        <v>7844647.32666667</v>
      </c>
      <c r="BA13" s="77" t="n">
        <f aca="false">SUM(AO13:AZ13)</f>
        <v>48869209.8866667</v>
      </c>
      <c r="BB13" s="76" t="n">
        <f aca="false">IFERROR(BB10+BB11+BB12,0)</f>
        <v>9012000.9</v>
      </c>
      <c r="BC13" s="76" t="n">
        <f aca="false">IFERROR(BC10+BC11+BC12,0)</f>
        <v>10351740.5333333</v>
      </c>
      <c r="BD13" s="76" t="n">
        <f aca="false">IFERROR(BD10+BD11+BD12,0)</f>
        <v>11888873.48</v>
      </c>
      <c r="BE13" s="76" t="n">
        <f aca="false">IFERROR(BE10+BE11+BE12,0)</f>
        <v>13652891.2666667</v>
      </c>
      <c r="BF13" s="76" t="n">
        <f aca="false">IFERROR(BF10+BF11+BF12,0)</f>
        <v>15677593.4866667</v>
      </c>
      <c r="BG13" s="76" t="n">
        <f aca="false">IFERROR(BG10+BG11+BG12,0)</f>
        <v>18001816.6933333</v>
      </c>
      <c r="BH13" s="76" t="n">
        <f aca="false">IFERROR(BH10+BH11+BH12,0)</f>
        <v>20669774.5066667</v>
      </c>
      <c r="BI13" s="76" t="n">
        <f aca="false">IFERROR(BI10+BI11+BI12,0)</f>
        <v>23732656.4866667</v>
      </c>
      <c r="BJ13" s="76" t="n">
        <f aca="false">IFERROR(BJ10+BJ11+BJ12,0)</f>
        <v>27249212.26</v>
      </c>
      <c r="BK13" s="76" t="n">
        <f aca="false">IFERROR(BK10+BK11+BK12,0)</f>
        <v>31286698.98</v>
      </c>
      <c r="BL13" s="76" t="n">
        <f aca="false">IFERROR(BL10+BL11+BL12,0)</f>
        <v>35922728.74</v>
      </c>
      <c r="BM13" s="76" t="n">
        <f aca="false">IFERROR(BM10+BM11+BM12,0)</f>
        <v>41246197.9533333</v>
      </c>
      <c r="BN13" s="77" t="n">
        <f aca="false">SUM(BB13:BM13)</f>
        <v>258692185.286667</v>
      </c>
    </row>
    <row r="14" customFormat="false" ht="6" hidden="false" customHeight="tru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66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66"/>
    </row>
    <row r="15" customFormat="false" ht="19.5" hidden="false" customHeight="true" outlineLevel="0" collapsed="false">
      <c r="A15" s="57" t="s">
        <v>270</v>
      </c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</row>
    <row r="16" customFormat="false" ht="18" hidden="false" customHeight="true" outlineLevel="0" collapsed="false">
      <c r="A16" s="74" t="s">
        <v>271</v>
      </c>
      <c r="B16" s="114"/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70" t="n">
        <f aca="false">SUM(B16:M16)</f>
        <v>0</v>
      </c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70" t="n">
        <f aca="false">SUM(O16:Z16)</f>
        <v>0</v>
      </c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70" t="n">
        <f aca="false">SUM(AB16:AM16)</f>
        <v>0</v>
      </c>
      <c r="AO16" s="114"/>
      <c r="AP16" s="114"/>
      <c r="AQ16" s="114"/>
      <c r="AR16" s="114"/>
      <c r="AS16" s="114"/>
      <c r="AT16" s="114"/>
      <c r="AU16" s="114"/>
      <c r="AV16" s="114"/>
      <c r="AW16" s="114"/>
      <c r="AX16" s="114"/>
      <c r="AY16" s="114"/>
      <c r="AZ16" s="114"/>
      <c r="BA16" s="71" t="n">
        <f aca="false">SUM(AO16:AZ16)</f>
        <v>0</v>
      </c>
      <c r="BB16" s="114"/>
      <c r="BC16" s="114"/>
      <c r="BD16" s="114"/>
      <c r="BE16" s="114"/>
      <c r="BF16" s="114"/>
      <c r="BG16" s="114"/>
      <c r="BH16" s="114"/>
      <c r="BI16" s="114"/>
      <c r="BJ16" s="114"/>
      <c r="BK16" s="114"/>
      <c r="BL16" s="114"/>
      <c r="BM16" s="114"/>
      <c r="BN16" s="71" t="n">
        <f aca="false">SUM(BB16:BM16)</f>
        <v>0</v>
      </c>
    </row>
    <row r="17" customFormat="false" ht="18" hidden="false" customHeight="true" outlineLevel="0" collapsed="false">
      <c r="A17" s="75" t="s">
        <v>272</v>
      </c>
      <c r="B17" s="76" t="n">
        <f aca="false">IFERROR(B16,0)</f>
        <v>0</v>
      </c>
      <c r="C17" s="76" t="n">
        <f aca="false">IFERROR(C16,0)</f>
        <v>0</v>
      </c>
      <c r="D17" s="76" t="n">
        <f aca="false">IFERROR(D16,0)</f>
        <v>0</v>
      </c>
      <c r="E17" s="76" t="n">
        <f aca="false">IFERROR(E16,0)</f>
        <v>0</v>
      </c>
      <c r="F17" s="76" t="n">
        <f aca="false">IFERROR(F16,0)</f>
        <v>0</v>
      </c>
      <c r="G17" s="76" t="n">
        <f aca="false">IFERROR(G16,0)</f>
        <v>0</v>
      </c>
      <c r="H17" s="76" t="n">
        <f aca="false">IFERROR(H16,0)</f>
        <v>0</v>
      </c>
      <c r="I17" s="76" t="n">
        <f aca="false">IFERROR(I16,0)</f>
        <v>0</v>
      </c>
      <c r="J17" s="76" t="n">
        <f aca="false">IFERROR(J16,0)</f>
        <v>0</v>
      </c>
      <c r="K17" s="76" t="n">
        <f aca="false">IFERROR(K16,0)</f>
        <v>0</v>
      </c>
      <c r="L17" s="76" t="n">
        <f aca="false">IFERROR(L16,0)</f>
        <v>0</v>
      </c>
      <c r="M17" s="76" t="n">
        <f aca="false">IFERROR(M16,0)</f>
        <v>0</v>
      </c>
      <c r="N17" s="76" t="n">
        <f aca="false">SUM(B17:M17)</f>
        <v>0</v>
      </c>
      <c r="O17" s="76" t="n">
        <f aca="false">IFERROR(O16,0)</f>
        <v>0</v>
      </c>
      <c r="P17" s="76" t="n">
        <f aca="false">IFERROR(P16,0)</f>
        <v>0</v>
      </c>
      <c r="Q17" s="76" t="n">
        <f aca="false">IFERROR(Q16,0)</f>
        <v>0</v>
      </c>
      <c r="R17" s="76" t="n">
        <f aca="false">IFERROR(R16,0)</f>
        <v>0</v>
      </c>
      <c r="S17" s="76" t="n">
        <f aca="false">IFERROR(S16,0)</f>
        <v>0</v>
      </c>
      <c r="T17" s="76" t="n">
        <f aca="false">IFERROR(T16,0)</f>
        <v>0</v>
      </c>
      <c r="U17" s="76" t="n">
        <f aca="false">IFERROR(U16,0)</f>
        <v>0</v>
      </c>
      <c r="V17" s="76" t="n">
        <f aca="false">IFERROR(V16,0)</f>
        <v>0</v>
      </c>
      <c r="W17" s="76" t="n">
        <f aca="false">IFERROR(W16,0)</f>
        <v>0</v>
      </c>
      <c r="X17" s="76" t="n">
        <f aca="false">IFERROR(X16,0)</f>
        <v>0</v>
      </c>
      <c r="Y17" s="76" t="n">
        <f aca="false">IFERROR(Y16,0)</f>
        <v>0</v>
      </c>
      <c r="Z17" s="76" t="n">
        <f aca="false">IFERROR(Z16,0)</f>
        <v>0</v>
      </c>
      <c r="AA17" s="76" t="n">
        <f aca="false">SUM(O17:Z17)</f>
        <v>0</v>
      </c>
      <c r="AB17" s="76" t="n">
        <f aca="false">IFERROR(AB16,0)</f>
        <v>0</v>
      </c>
      <c r="AC17" s="76" t="n">
        <f aca="false">IFERROR(AC16,0)</f>
        <v>0</v>
      </c>
      <c r="AD17" s="76" t="n">
        <f aca="false">IFERROR(AD16,0)</f>
        <v>0</v>
      </c>
      <c r="AE17" s="76" t="n">
        <f aca="false">IFERROR(AE16,0)</f>
        <v>0</v>
      </c>
      <c r="AF17" s="76" t="n">
        <f aca="false">IFERROR(AF16,0)</f>
        <v>0</v>
      </c>
      <c r="AG17" s="76" t="n">
        <f aca="false">IFERROR(AG16,0)</f>
        <v>0</v>
      </c>
      <c r="AH17" s="76" t="n">
        <f aca="false">IFERROR(AH16,0)</f>
        <v>0</v>
      </c>
      <c r="AI17" s="76" t="n">
        <f aca="false">IFERROR(AI16,0)</f>
        <v>0</v>
      </c>
      <c r="AJ17" s="76" t="n">
        <f aca="false">IFERROR(AJ16,0)</f>
        <v>0</v>
      </c>
      <c r="AK17" s="76" t="n">
        <f aca="false">IFERROR(AK16,0)</f>
        <v>0</v>
      </c>
      <c r="AL17" s="76" t="n">
        <f aca="false">IFERROR(AL16,0)</f>
        <v>0</v>
      </c>
      <c r="AM17" s="76" t="n">
        <f aca="false">IFERROR(AM16,0)</f>
        <v>0</v>
      </c>
      <c r="AN17" s="76" t="n">
        <f aca="false">SUM(AB17:AM17)</f>
        <v>0</v>
      </c>
      <c r="AO17" s="76" t="n">
        <f aca="false">IFERROR(AO16,0)</f>
        <v>0</v>
      </c>
      <c r="AP17" s="76" t="n">
        <f aca="false">IFERROR(AP16,0)</f>
        <v>0</v>
      </c>
      <c r="AQ17" s="76" t="n">
        <f aca="false">IFERROR(AQ16,0)</f>
        <v>0</v>
      </c>
      <c r="AR17" s="76" t="n">
        <f aca="false">IFERROR(AR16,0)</f>
        <v>0</v>
      </c>
      <c r="AS17" s="76" t="n">
        <f aca="false">IFERROR(AS16,0)</f>
        <v>0</v>
      </c>
      <c r="AT17" s="76" t="n">
        <f aca="false">IFERROR(AT16,0)</f>
        <v>0</v>
      </c>
      <c r="AU17" s="76" t="n">
        <f aca="false">IFERROR(AU16,0)</f>
        <v>0</v>
      </c>
      <c r="AV17" s="76" t="n">
        <f aca="false">IFERROR(AV16,0)</f>
        <v>0</v>
      </c>
      <c r="AW17" s="76" t="n">
        <f aca="false">IFERROR(AW16,0)</f>
        <v>0</v>
      </c>
      <c r="AX17" s="76" t="n">
        <f aca="false">IFERROR(AX16,0)</f>
        <v>0</v>
      </c>
      <c r="AY17" s="76" t="n">
        <f aca="false">IFERROR(AY16,0)</f>
        <v>0</v>
      </c>
      <c r="AZ17" s="76" t="n">
        <f aca="false">IFERROR(AZ16,0)</f>
        <v>0</v>
      </c>
      <c r="BA17" s="77" t="n">
        <f aca="false">SUM(AO17:AZ17)</f>
        <v>0</v>
      </c>
      <c r="BB17" s="76" t="n">
        <f aca="false">IFERROR(BB16,0)</f>
        <v>0</v>
      </c>
      <c r="BC17" s="76" t="n">
        <f aca="false">IFERROR(BC16,0)</f>
        <v>0</v>
      </c>
      <c r="BD17" s="76" t="n">
        <f aca="false">IFERROR(BD16,0)</f>
        <v>0</v>
      </c>
      <c r="BE17" s="76" t="n">
        <f aca="false">IFERROR(BE16,0)</f>
        <v>0</v>
      </c>
      <c r="BF17" s="76" t="n">
        <f aca="false">IFERROR(BF16,0)</f>
        <v>0</v>
      </c>
      <c r="BG17" s="76" t="n">
        <f aca="false">IFERROR(BG16,0)</f>
        <v>0</v>
      </c>
      <c r="BH17" s="76" t="n">
        <f aca="false">IFERROR(BH16,0)</f>
        <v>0</v>
      </c>
      <c r="BI17" s="76" t="n">
        <f aca="false">IFERROR(BI16,0)</f>
        <v>0</v>
      </c>
      <c r="BJ17" s="76" t="n">
        <f aca="false">IFERROR(BJ16,0)</f>
        <v>0</v>
      </c>
      <c r="BK17" s="76" t="n">
        <f aca="false">IFERROR(BK16,0)</f>
        <v>0</v>
      </c>
      <c r="BL17" s="76" t="n">
        <f aca="false">IFERROR(BL16,0)</f>
        <v>0</v>
      </c>
      <c r="BM17" s="76" t="n">
        <f aca="false">IFERROR(BM16,0)</f>
        <v>0</v>
      </c>
      <c r="BN17" s="77" t="n">
        <f aca="false">SUM(BB17:BM17)</f>
        <v>0</v>
      </c>
    </row>
    <row r="18" customFormat="false" ht="6" hidden="false" customHeight="tru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66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66"/>
    </row>
    <row r="19" customFormat="false" ht="19.5" hidden="false" customHeight="true" outlineLevel="0" collapsed="false">
      <c r="A19" s="57" t="s">
        <v>273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57"/>
      <c r="BI19" s="57"/>
      <c r="BJ19" s="57"/>
      <c r="BK19" s="57"/>
      <c r="BL19" s="57"/>
      <c r="BM19" s="57"/>
      <c r="BN19" s="57"/>
    </row>
    <row r="20" customFormat="false" ht="18" hidden="false" customHeight="true" outlineLevel="0" collapsed="false">
      <c r="A20" s="74" t="s">
        <v>274</v>
      </c>
      <c r="B20" s="94" t="n">
        <f aca="false">IFERROR(IF(1=ASSUMPTIONS!$B$81,ASSUMPTIONS!$B$80,0),0)</f>
        <v>0</v>
      </c>
      <c r="C20" s="94" t="n">
        <f aca="false">IFERROR(IF(2=ASSUMPTIONS!$B$81,ASSUMPTIONS!$B$80,0),0)</f>
        <v>0</v>
      </c>
      <c r="D20" s="94" t="n">
        <f aca="false">IFERROR(IF(3=ASSUMPTIONS!$B$81,ASSUMPTIONS!$B$80,0),0)</f>
        <v>0</v>
      </c>
      <c r="E20" s="94" t="n">
        <f aca="false">IFERROR(IF(4=ASSUMPTIONS!$B$81,ASSUMPTIONS!$B$80,0),0)</f>
        <v>0</v>
      </c>
      <c r="F20" s="94" t="n">
        <f aca="false">IFERROR(IF(5=ASSUMPTIONS!$B$81,ASSUMPTIONS!$B$80,0),0)</f>
        <v>0</v>
      </c>
      <c r="G20" s="94" t="n">
        <f aca="false">IFERROR(IF(6=ASSUMPTIONS!$B$81,ASSUMPTIONS!$B$80,0),0)</f>
        <v>1500000</v>
      </c>
      <c r="H20" s="94" t="n">
        <f aca="false">IFERROR(IF(7=ASSUMPTIONS!$B$81,ASSUMPTIONS!$B$80,0),0)</f>
        <v>0</v>
      </c>
      <c r="I20" s="94" t="n">
        <f aca="false">IFERROR(IF(8=ASSUMPTIONS!$B$81,ASSUMPTIONS!$B$80,0),0)</f>
        <v>0</v>
      </c>
      <c r="J20" s="94" t="n">
        <f aca="false">IFERROR(IF(9=ASSUMPTIONS!$B$81,ASSUMPTIONS!$B$80,0),0)</f>
        <v>0</v>
      </c>
      <c r="K20" s="94" t="n">
        <f aca="false">IFERROR(IF(10=ASSUMPTIONS!$B$81,ASSUMPTIONS!$B$80,0),0)</f>
        <v>0</v>
      </c>
      <c r="L20" s="94" t="n">
        <f aca="false">IFERROR(IF(11=ASSUMPTIONS!$B$81,ASSUMPTIONS!$B$80,0),0)</f>
        <v>0</v>
      </c>
      <c r="M20" s="94" t="n">
        <f aca="false">IFERROR(IF(12=ASSUMPTIONS!$B$81,ASSUMPTIONS!$B$80,0),0)</f>
        <v>0</v>
      </c>
      <c r="N20" s="107" t="n">
        <f aca="false">SUM(B20:M20)</f>
        <v>1500000</v>
      </c>
      <c r="O20" s="94" t="n">
        <f aca="false">IFERROR(IF(13=ASSUMPTIONS!$B$81,ASSUMPTIONS!$B$80,0),0)</f>
        <v>0</v>
      </c>
      <c r="P20" s="94" t="n">
        <f aca="false">IFERROR(IF(14=ASSUMPTIONS!$B$81,ASSUMPTIONS!$B$80,0),0)</f>
        <v>0</v>
      </c>
      <c r="Q20" s="94" t="n">
        <f aca="false">IFERROR(IF(15=ASSUMPTIONS!$B$81,ASSUMPTIONS!$B$80,0),0)</f>
        <v>0</v>
      </c>
      <c r="R20" s="94" t="n">
        <f aca="false">IFERROR(IF(16=ASSUMPTIONS!$B$81,ASSUMPTIONS!$B$80,0),0)</f>
        <v>0</v>
      </c>
      <c r="S20" s="94" t="n">
        <f aca="false">IFERROR(IF(17=ASSUMPTIONS!$B$81,ASSUMPTIONS!$B$80,0),0)</f>
        <v>0</v>
      </c>
      <c r="T20" s="94" t="n">
        <f aca="false">IFERROR(IF(18=ASSUMPTIONS!$B$81,ASSUMPTIONS!$B$80,0),0)</f>
        <v>0</v>
      </c>
      <c r="U20" s="94" t="n">
        <f aca="false">IFERROR(IF(19=ASSUMPTIONS!$B$81,ASSUMPTIONS!$B$80,0),0)</f>
        <v>0</v>
      </c>
      <c r="V20" s="94" t="n">
        <f aca="false">IFERROR(IF(20=ASSUMPTIONS!$B$81,ASSUMPTIONS!$B$80,0),0)</f>
        <v>0</v>
      </c>
      <c r="W20" s="94" t="n">
        <f aca="false">IFERROR(IF(21=ASSUMPTIONS!$B$81,ASSUMPTIONS!$B$80,0),0)</f>
        <v>0</v>
      </c>
      <c r="X20" s="94" t="n">
        <f aca="false">IFERROR(IF(22=ASSUMPTIONS!$B$81,ASSUMPTIONS!$B$80,0),0)</f>
        <v>0</v>
      </c>
      <c r="Y20" s="94" t="n">
        <f aca="false">IFERROR(IF(23=ASSUMPTIONS!$B$81,ASSUMPTIONS!$B$80,0),0)</f>
        <v>0</v>
      </c>
      <c r="Z20" s="94" t="n">
        <f aca="false">IFERROR(IF(24=ASSUMPTIONS!$B$81,ASSUMPTIONS!$B$80,0),0)</f>
        <v>0</v>
      </c>
      <c r="AA20" s="107" t="n">
        <f aca="false">SUM(O20:Z20)</f>
        <v>0</v>
      </c>
      <c r="AB20" s="94" t="n">
        <f aca="false">IFERROR(IF(25=ASSUMPTIONS!$B$81,ASSUMPTIONS!$B$80,0),0)</f>
        <v>0</v>
      </c>
      <c r="AC20" s="94" t="n">
        <f aca="false">IFERROR(IF(26=ASSUMPTIONS!$B$81,ASSUMPTIONS!$B$80,0),0)</f>
        <v>0</v>
      </c>
      <c r="AD20" s="94" t="n">
        <f aca="false">IFERROR(IF(27=ASSUMPTIONS!$B$81,ASSUMPTIONS!$B$80,0),0)</f>
        <v>0</v>
      </c>
      <c r="AE20" s="94" t="n">
        <f aca="false">IFERROR(IF(28=ASSUMPTIONS!$B$81,ASSUMPTIONS!$B$80,0),0)</f>
        <v>0</v>
      </c>
      <c r="AF20" s="94" t="n">
        <f aca="false">IFERROR(IF(29=ASSUMPTIONS!$B$81,ASSUMPTIONS!$B$80,0),0)</f>
        <v>0</v>
      </c>
      <c r="AG20" s="94" t="n">
        <f aca="false">IFERROR(IF(30=ASSUMPTIONS!$B$81,ASSUMPTIONS!$B$80,0),0)</f>
        <v>0</v>
      </c>
      <c r="AH20" s="94" t="n">
        <f aca="false">IFERROR(IF(31=ASSUMPTIONS!$B$81,ASSUMPTIONS!$B$80,0),0)</f>
        <v>0</v>
      </c>
      <c r="AI20" s="94" t="n">
        <f aca="false">IFERROR(IF(32=ASSUMPTIONS!$B$81,ASSUMPTIONS!$B$80,0),0)</f>
        <v>0</v>
      </c>
      <c r="AJ20" s="94" t="n">
        <f aca="false">IFERROR(IF(33=ASSUMPTIONS!$B$81,ASSUMPTIONS!$B$80,0),0)</f>
        <v>0</v>
      </c>
      <c r="AK20" s="94" t="n">
        <f aca="false">IFERROR(IF(34=ASSUMPTIONS!$B$81,ASSUMPTIONS!$B$80,0),0)</f>
        <v>0</v>
      </c>
      <c r="AL20" s="94" t="n">
        <f aca="false">IFERROR(IF(35=ASSUMPTIONS!$B$81,ASSUMPTIONS!$B$80,0),0)</f>
        <v>0</v>
      </c>
      <c r="AM20" s="94" t="n">
        <f aca="false">IFERROR(IF(36=ASSUMPTIONS!$B$81,ASSUMPTIONS!$B$80,0),0)</f>
        <v>0</v>
      </c>
      <c r="AN20" s="107" t="n">
        <f aca="false">SUM(AB20:AM20)</f>
        <v>0</v>
      </c>
      <c r="AO20" s="94" t="n">
        <f aca="false">IFERROR(IF(37=ASSUMPTIONS!$B$81,ASSUMPTIONS!$B$80,0),0)</f>
        <v>0</v>
      </c>
      <c r="AP20" s="94" t="n">
        <f aca="false">IFERROR(IF(38=ASSUMPTIONS!$B$81,ASSUMPTIONS!$B$80,0),0)</f>
        <v>0</v>
      </c>
      <c r="AQ20" s="94" t="n">
        <f aca="false">IFERROR(IF(39=ASSUMPTIONS!$B$81,ASSUMPTIONS!$B$80,0),0)</f>
        <v>0</v>
      </c>
      <c r="AR20" s="94" t="n">
        <f aca="false">IFERROR(IF(40=ASSUMPTIONS!$B$81,ASSUMPTIONS!$B$80,0),0)</f>
        <v>0</v>
      </c>
      <c r="AS20" s="94" t="n">
        <f aca="false">IFERROR(IF(41=ASSUMPTIONS!$B$81,ASSUMPTIONS!$B$80,0),0)</f>
        <v>0</v>
      </c>
      <c r="AT20" s="94" t="n">
        <f aca="false">IFERROR(IF(42=ASSUMPTIONS!$B$81,ASSUMPTIONS!$B$80,0),0)</f>
        <v>0</v>
      </c>
      <c r="AU20" s="94" t="n">
        <f aca="false">IFERROR(IF(43=ASSUMPTIONS!$B$81,ASSUMPTIONS!$B$80,0),0)</f>
        <v>0</v>
      </c>
      <c r="AV20" s="94" t="n">
        <f aca="false">IFERROR(IF(44=ASSUMPTIONS!$B$81,ASSUMPTIONS!$B$80,0),0)</f>
        <v>0</v>
      </c>
      <c r="AW20" s="94" t="n">
        <f aca="false">IFERROR(IF(45=ASSUMPTIONS!$B$81,ASSUMPTIONS!$B$80,0),0)</f>
        <v>0</v>
      </c>
      <c r="AX20" s="94" t="n">
        <f aca="false">IFERROR(IF(46=ASSUMPTIONS!$B$81,ASSUMPTIONS!$B$80,0),0)</f>
        <v>0</v>
      </c>
      <c r="AY20" s="94" t="n">
        <f aca="false">IFERROR(IF(47=ASSUMPTIONS!$B$81,ASSUMPTIONS!$B$80,0),0)</f>
        <v>0</v>
      </c>
      <c r="AZ20" s="94" t="n">
        <f aca="false">IFERROR(IF(48=ASSUMPTIONS!$B$81,ASSUMPTIONS!$B$80,0),0)</f>
        <v>0</v>
      </c>
      <c r="BA20" s="71" t="n">
        <f aca="false">SUM(AO20:AZ20)</f>
        <v>0</v>
      </c>
      <c r="BB20" s="94" t="n">
        <f aca="false">IFERROR(IF(49=ASSUMPTIONS!$B$81,ASSUMPTIONS!$B$80,0),0)</f>
        <v>0</v>
      </c>
      <c r="BC20" s="94" t="n">
        <f aca="false">IFERROR(IF(50=ASSUMPTIONS!$B$81,ASSUMPTIONS!$B$80,0),0)</f>
        <v>0</v>
      </c>
      <c r="BD20" s="94" t="n">
        <f aca="false">IFERROR(IF(51=ASSUMPTIONS!$B$81,ASSUMPTIONS!$B$80,0),0)</f>
        <v>0</v>
      </c>
      <c r="BE20" s="94" t="n">
        <f aca="false">IFERROR(IF(52=ASSUMPTIONS!$B$81,ASSUMPTIONS!$B$80,0),0)</f>
        <v>0</v>
      </c>
      <c r="BF20" s="94" t="n">
        <f aca="false">IFERROR(IF(53=ASSUMPTIONS!$B$81,ASSUMPTIONS!$B$80,0),0)</f>
        <v>0</v>
      </c>
      <c r="BG20" s="94" t="n">
        <f aca="false">IFERROR(IF(54=ASSUMPTIONS!$B$81,ASSUMPTIONS!$B$80,0),0)</f>
        <v>0</v>
      </c>
      <c r="BH20" s="94" t="n">
        <f aca="false">IFERROR(IF(55=ASSUMPTIONS!$B$81,ASSUMPTIONS!$B$80,0),0)</f>
        <v>0</v>
      </c>
      <c r="BI20" s="94" t="n">
        <f aca="false">IFERROR(IF(56=ASSUMPTIONS!$B$81,ASSUMPTIONS!$B$80,0),0)</f>
        <v>0</v>
      </c>
      <c r="BJ20" s="94" t="n">
        <f aca="false">IFERROR(IF(57=ASSUMPTIONS!$B$81,ASSUMPTIONS!$B$80,0),0)</f>
        <v>0</v>
      </c>
      <c r="BK20" s="94" t="n">
        <f aca="false">IFERROR(IF(58=ASSUMPTIONS!$B$81,ASSUMPTIONS!$B$80,0),0)</f>
        <v>0</v>
      </c>
      <c r="BL20" s="94" t="n">
        <f aca="false">IFERROR(IF(59=ASSUMPTIONS!$B$81,ASSUMPTIONS!$B$80,0),0)</f>
        <v>0</v>
      </c>
      <c r="BM20" s="94" t="n">
        <f aca="false">IFERROR(IF(60=ASSUMPTIONS!$B$81,ASSUMPTIONS!$B$80,0),0)</f>
        <v>0</v>
      </c>
      <c r="BN20" s="71" t="n">
        <f aca="false">SUM(BB20:BM20)</f>
        <v>0</v>
      </c>
    </row>
    <row r="21" customFormat="false" ht="18" hidden="false" customHeight="true" outlineLevel="0" collapsed="false">
      <c r="A21" s="72" t="s">
        <v>275</v>
      </c>
      <c r="B21" s="94" t="n">
        <f aca="false">IFERROR(IF(1=ASSUMPTIONS!$B$83,ASSUMPTIONS!$B$82,0),0)</f>
        <v>0</v>
      </c>
      <c r="C21" s="94" t="n">
        <f aca="false">IFERROR(IF(2=ASSUMPTIONS!$B$83,ASSUMPTIONS!$B$82,0),0)</f>
        <v>0</v>
      </c>
      <c r="D21" s="94" t="n">
        <f aca="false">IFERROR(IF(3=ASSUMPTIONS!$B$83,ASSUMPTIONS!$B$82,0),0)</f>
        <v>0</v>
      </c>
      <c r="E21" s="94" t="n">
        <f aca="false">IFERROR(IF(4=ASSUMPTIONS!$B$83,ASSUMPTIONS!$B$82,0),0)</f>
        <v>0</v>
      </c>
      <c r="F21" s="94" t="n">
        <f aca="false">IFERROR(IF(5=ASSUMPTIONS!$B$83,ASSUMPTIONS!$B$82,0),0)</f>
        <v>0</v>
      </c>
      <c r="G21" s="94" t="n">
        <f aca="false">IFERROR(IF(6=ASSUMPTIONS!$B$83,ASSUMPTIONS!$B$82,0),0)</f>
        <v>0</v>
      </c>
      <c r="H21" s="94" t="n">
        <f aca="false">IFERROR(IF(7=ASSUMPTIONS!$B$83,ASSUMPTIONS!$B$82,0),0)</f>
        <v>0</v>
      </c>
      <c r="I21" s="94" t="n">
        <f aca="false">IFERROR(IF(8=ASSUMPTIONS!$B$83,ASSUMPTIONS!$B$82,0),0)</f>
        <v>0</v>
      </c>
      <c r="J21" s="94" t="n">
        <f aca="false">IFERROR(IF(9=ASSUMPTIONS!$B$83,ASSUMPTIONS!$B$82,0),0)</f>
        <v>0</v>
      </c>
      <c r="K21" s="94" t="n">
        <f aca="false">IFERROR(IF(10=ASSUMPTIONS!$B$83,ASSUMPTIONS!$B$82,0),0)</f>
        <v>0</v>
      </c>
      <c r="L21" s="94" t="n">
        <f aca="false">IFERROR(IF(11=ASSUMPTIONS!$B$83,ASSUMPTIONS!$B$82,0),0)</f>
        <v>0</v>
      </c>
      <c r="M21" s="94" t="n">
        <f aca="false">IFERROR(IF(12=ASSUMPTIONS!$B$83,ASSUMPTIONS!$B$82,0),0)</f>
        <v>0</v>
      </c>
      <c r="N21" s="107" t="n">
        <f aca="false">SUM(B21:M21)</f>
        <v>0</v>
      </c>
      <c r="O21" s="94" t="n">
        <f aca="false">IFERROR(IF(13=ASSUMPTIONS!$B$83,ASSUMPTIONS!$B$82,0),0)</f>
        <v>0</v>
      </c>
      <c r="P21" s="94" t="n">
        <f aca="false">IFERROR(IF(14=ASSUMPTIONS!$B$83,ASSUMPTIONS!$B$82,0),0)</f>
        <v>0</v>
      </c>
      <c r="Q21" s="94" t="n">
        <f aca="false">IFERROR(IF(15=ASSUMPTIONS!$B$83,ASSUMPTIONS!$B$82,0),0)</f>
        <v>0</v>
      </c>
      <c r="R21" s="94" t="n">
        <f aca="false">IFERROR(IF(16=ASSUMPTIONS!$B$83,ASSUMPTIONS!$B$82,0),0)</f>
        <v>0</v>
      </c>
      <c r="S21" s="94" t="n">
        <f aca="false">IFERROR(IF(17=ASSUMPTIONS!$B$83,ASSUMPTIONS!$B$82,0),0)</f>
        <v>0</v>
      </c>
      <c r="T21" s="94" t="n">
        <f aca="false">IFERROR(IF(18=ASSUMPTIONS!$B$83,ASSUMPTIONS!$B$82,0),0)</f>
        <v>3000000</v>
      </c>
      <c r="U21" s="94" t="n">
        <f aca="false">IFERROR(IF(19=ASSUMPTIONS!$B$83,ASSUMPTIONS!$B$82,0),0)</f>
        <v>0</v>
      </c>
      <c r="V21" s="94" t="n">
        <f aca="false">IFERROR(IF(20=ASSUMPTIONS!$B$83,ASSUMPTIONS!$B$82,0),0)</f>
        <v>0</v>
      </c>
      <c r="W21" s="94" t="n">
        <f aca="false">IFERROR(IF(21=ASSUMPTIONS!$B$83,ASSUMPTIONS!$B$82,0),0)</f>
        <v>0</v>
      </c>
      <c r="X21" s="94" t="n">
        <f aca="false">IFERROR(IF(22=ASSUMPTIONS!$B$83,ASSUMPTIONS!$B$82,0),0)</f>
        <v>0</v>
      </c>
      <c r="Y21" s="94" t="n">
        <f aca="false">IFERROR(IF(23=ASSUMPTIONS!$B$83,ASSUMPTIONS!$B$82,0),0)</f>
        <v>0</v>
      </c>
      <c r="Z21" s="94" t="n">
        <f aca="false">IFERROR(IF(24=ASSUMPTIONS!$B$83,ASSUMPTIONS!$B$82,0),0)</f>
        <v>0</v>
      </c>
      <c r="AA21" s="107" t="n">
        <f aca="false">SUM(O21:Z21)</f>
        <v>3000000</v>
      </c>
      <c r="AB21" s="94" t="n">
        <f aca="false">IFERROR(IF(25=ASSUMPTIONS!$B$83,ASSUMPTIONS!$B$82,0),0)</f>
        <v>0</v>
      </c>
      <c r="AC21" s="94" t="n">
        <f aca="false">IFERROR(IF(26=ASSUMPTIONS!$B$83,ASSUMPTIONS!$B$82,0),0)</f>
        <v>0</v>
      </c>
      <c r="AD21" s="94" t="n">
        <f aca="false">IFERROR(IF(27=ASSUMPTIONS!$B$83,ASSUMPTIONS!$B$82,0),0)</f>
        <v>0</v>
      </c>
      <c r="AE21" s="94" t="n">
        <f aca="false">IFERROR(IF(28=ASSUMPTIONS!$B$83,ASSUMPTIONS!$B$82,0),0)</f>
        <v>0</v>
      </c>
      <c r="AF21" s="94" t="n">
        <f aca="false">IFERROR(IF(29=ASSUMPTIONS!$B$83,ASSUMPTIONS!$B$82,0),0)</f>
        <v>0</v>
      </c>
      <c r="AG21" s="94" t="n">
        <f aca="false">IFERROR(IF(30=ASSUMPTIONS!$B$83,ASSUMPTIONS!$B$82,0),0)</f>
        <v>0</v>
      </c>
      <c r="AH21" s="94" t="n">
        <f aca="false">IFERROR(IF(31=ASSUMPTIONS!$B$83,ASSUMPTIONS!$B$82,0),0)</f>
        <v>0</v>
      </c>
      <c r="AI21" s="94" t="n">
        <f aca="false">IFERROR(IF(32=ASSUMPTIONS!$B$83,ASSUMPTIONS!$B$82,0),0)</f>
        <v>0</v>
      </c>
      <c r="AJ21" s="94" t="n">
        <f aca="false">IFERROR(IF(33=ASSUMPTIONS!$B$83,ASSUMPTIONS!$B$82,0),0)</f>
        <v>0</v>
      </c>
      <c r="AK21" s="94" t="n">
        <f aca="false">IFERROR(IF(34=ASSUMPTIONS!$B$83,ASSUMPTIONS!$B$82,0),0)</f>
        <v>0</v>
      </c>
      <c r="AL21" s="94" t="n">
        <f aca="false">IFERROR(IF(35=ASSUMPTIONS!$B$83,ASSUMPTIONS!$B$82,0),0)</f>
        <v>0</v>
      </c>
      <c r="AM21" s="94" t="n">
        <f aca="false">IFERROR(IF(36=ASSUMPTIONS!$B$83,ASSUMPTIONS!$B$82,0),0)</f>
        <v>0</v>
      </c>
      <c r="AN21" s="107" t="n">
        <f aca="false">SUM(AB21:AM21)</f>
        <v>0</v>
      </c>
      <c r="AO21" s="94" t="n">
        <f aca="false">IFERROR(IF(37=ASSUMPTIONS!$B$83,ASSUMPTIONS!$B$82,0),0)</f>
        <v>0</v>
      </c>
      <c r="AP21" s="94" t="n">
        <f aca="false">IFERROR(IF(38=ASSUMPTIONS!$B$83,ASSUMPTIONS!$B$82,0),0)</f>
        <v>0</v>
      </c>
      <c r="AQ21" s="94" t="n">
        <f aca="false">IFERROR(IF(39=ASSUMPTIONS!$B$83,ASSUMPTIONS!$B$82,0),0)</f>
        <v>0</v>
      </c>
      <c r="AR21" s="94" t="n">
        <f aca="false">IFERROR(IF(40=ASSUMPTIONS!$B$83,ASSUMPTIONS!$B$82,0),0)</f>
        <v>0</v>
      </c>
      <c r="AS21" s="94" t="n">
        <f aca="false">IFERROR(IF(41=ASSUMPTIONS!$B$83,ASSUMPTIONS!$B$82,0),0)</f>
        <v>0</v>
      </c>
      <c r="AT21" s="94" t="n">
        <f aca="false">IFERROR(IF(42=ASSUMPTIONS!$B$83,ASSUMPTIONS!$B$82,0),0)</f>
        <v>0</v>
      </c>
      <c r="AU21" s="94" t="n">
        <f aca="false">IFERROR(IF(43=ASSUMPTIONS!$B$83,ASSUMPTIONS!$B$82,0),0)</f>
        <v>0</v>
      </c>
      <c r="AV21" s="94" t="n">
        <f aca="false">IFERROR(IF(44=ASSUMPTIONS!$B$83,ASSUMPTIONS!$B$82,0),0)</f>
        <v>0</v>
      </c>
      <c r="AW21" s="94" t="n">
        <f aca="false">IFERROR(IF(45=ASSUMPTIONS!$B$83,ASSUMPTIONS!$B$82,0),0)</f>
        <v>0</v>
      </c>
      <c r="AX21" s="94" t="n">
        <f aca="false">IFERROR(IF(46=ASSUMPTIONS!$B$83,ASSUMPTIONS!$B$82,0),0)</f>
        <v>0</v>
      </c>
      <c r="AY21" s="94" t="n">
        <f aca="false">IFERROR(IF(47=ASSUMPTIONS!$B$83,ASSUMPTIONS!$B$82,0),0)</f>
        <v>0</v>
      </c>
      <c r="AZ21" s="94" t="n">
        <f aca="false">IFERROR(IF(48=ASSUMPTIONS!$B$83,ASSUMPTIONS!$B$82,0),0)</f>
        <v>0</v>
      </c>
      <c r="BA21" s="71" t="n">
        <f aca="false">SUM(AO21:AZ21)</f>
        <v>0</v>
      </c>
      <c r="BB21" s="94" t="n">
        <f aca="false">IFERROR(IF(49=ASSUMPTIONS!$B$83,ASSUMPTIONS!$B$82,0),0)</f>
        <v>0</v>
      </c>
      <c r="BC21" s="94" t="n">
        <f aca="false">IFERROR(IF(50=ASSUMPTIONS!$B$83,ASSUMPTIONS!$B$82,0),0)</f>
        <v>0</v>
      </c>
      <c r="BD21" s="94" t="n">
        <f aca="false">IFERROR(IF(51=ASSUMPTIONS!$B$83,ASSUMPTIONS!$B$82,0),0)</f>
        <v>0</v>
      </c>
      <c r="BE21" s="94" t="n">
        <f aca="false">IFERROR(IF(52=ASSUMPTIONS!$B$83,ASSUMPTIONS!$B$82,0),0)</f>
        <v>0</v>
      </c>
      <c r="BF21" s="94" t="n">
        <f aca="false">IFERROR(IF(53=ASSUMPTIONS!$B$83,ASSUMPTIONS!$B$82,0),0)</f>
        <v>0</v>
      </c>
      <c r="BG21" s="94" t="n">
        <f aca="false">IFERROR(IF(54=ASSUMPTIONS!$B$83,ASSUMPTIONS!$B$82,0),0)</f>
        <v>0</v>
      </c>
      <c r="BH21" s="94" t="n">
        <f aca="false">IFERROR(IF(55=ASSUMPTIONS!$B$83,ASSUMPTIONS!$B$82,0),0)</f>
        <v>0</v>
      </c>
      <c r="BI21" s="94" t="n">
        <f aca="false">IFERROR(IF(56=ASSUMPTIONS!$B$83,ASSUMPTIONS!$B$82,0),0)</f>
        <v>0</v>
      </c>
      <c r="BJ21" s="94" t="n">
        <f aca="false">IFERROR(IF(57=ASSUMPTIONS!$B$83,ASSUMPTIONS!$B$82,0),0)</f>
        <v>0</v>
      </c>
      <c r="BK21" s="94" t="n">
        <f aca="false">IFERROR(IF(58=ASSUMPTIONS!$B$83,ASSUMPTIONS!$B$82,0),0)</f>
        <v>0</v>
      </c>
      <c r="BL21" s="94" t="n">
        <f aca="false">IFERROR(IF(59=ASSUMPTIONS!$B$83,ASSUMPTIONS!$B$82,0),0)</f>
        <v>0</v>
      </c>
      <c r="BM21" s="94" t="n">
        <f aca="false">IFERROR(IF(60=ASSUMPTIONS!$B$83,ASSUMPTIONS!$B$82,0),0)</f>
        <v>0</v>
      </c>
      <c r="BN21" s="71" t="n">
        <f aca="false">SUM(BB21:BM21)</f>
        <v>0</v>
      </c>
    </row>
    <row r="22" customFormat="false" ht="18" hidden="false" customHeight="true" outlineLevel="0" collapsed="false">
      <c r="A22" s="75" t="s">
        <v>276</v>
      </c>
      <c r="B22" s="76" t="n">
        <f aca="false">IFERROR(B20+B21,0)</f>
        <v>0</v>
      </c>
      <c r="C22" s="76" t="n">
        <f aca="false">IFERROR(C20+C21,0)</f>
        <v>0</v>
      </c>
      <c r="D22" s="76" t="n">
        <f aca="false">IFERROR(D20+D21,0)</f>
        <v>0</v>
      </c>
      <c r="E22" s="76" t="n">
        <f aca="false">IFERROR(E20+E21,0)</f>
        <v>0</v>
      </c>
      <c r="F22" s="76" t="n">
        <f aca="false">IFERROR(F20+F21,0)</f>
        <v>0</v>
      </c>
      <c r="G22" s="76" t="n">
        <f aca="false">IFERROR(G20+G21,0)</f>
        <v>1500000</v>
      </c>
      <c r="H22" s="76" t="n">
        <f aca="false">IFERROR(H20+H21,0)</f>
        <v>0</v>
      </c>
      <c r="I22" s="76" t="n">
        <f aca="false">IFERROR(I20+I21,0)</f>
        <v>0</v>
      </c>
      <c r="J22" s="76" t="n">
        <f aca="false">IFERROR(J20+J21,0)</f>
        <v>0</v>
      </c>
      <c r="K22" s="76" t="n">
        <f aca="false">IFERROR(K20+K21,0)</f>
        <v>0</v>
      </c>
      <c r="L22" s="76" t="n">
        <f aca="false">IFERROR(L20+L21,0)</f>
        <v>0</v>
      </c>
      <c r="M22" s="76" t="n">
        <f aca="false">IFERROR(M20+M21,0)</f>
        <v>0</v>
      </c>
      <c r="N22" s="76" t="n">
        <f aca="false">SUM(B22:M22)</f>
        <v>1500000</v>
      </c>
      <c r="O22" s="76" t="n">
        <f aca="false">IFERROR(O20+O21,0)</f>
        <v>0</v>
      </c>
      <c r="P22" s="76" t="n">
        <f aca="false">IFERROR(P20+P21,0)</f>
        <v>0</v>
      </c>
      <c r="Q22" s="76" t="n">
        <f aca="false">IFERROR(Q20+Q21,0)</f>
        <v>0</v>
      </c>
      <c r="R22" s="76" t="n">
        <f aca="false">IFERROR(R20+R21,0)</f>
        <v>0</v>
      </c>
      <c r="S22" s="76" t="n">
        <f aca="false">IFERROR(S20+S21,0)</f>
        <v>0</v>
      </c>
      <c r="T22" s="76" t="n">
        <f aca="false">IFERROR(T20+T21,0)</f>
        <v>3000000</v>
      </c>
      <c r="U22" s="76" t="n">
        <f aca="false">IFERROR(U20+U21,0)</f>
        <v>0</v>
      </c>
      <c r="V22" s="76" t="n">
        <f aca="false">IFERROR(V20+V21,0)</f>
        <v>0</v>
      </c>
      <c r="W22" s="76" t="n">
        <f aca="false">IFERROR(W20+W21,0)</f>
        <v>0</v>
      </c>
      <c r="X22" s="76" t="n">
        <f aca="false">IFERROR(X20+X21,0)</f>
        <v>0</v>
      </c>
      <c r="Y22" s="76" t="n">
        <f aca="false">IFERROR(Y20+Y21,0)</f>
        <v>0</v>
      </c>
      <c r="Z22" s="76" t="n">
        <f aca="false">IFERROR(Z20+Z21,0)</f>
        <v>0</v>
      </c>
      <c r="AA22" s="76" t="n">
        <f aca="false">SUM(O22:Z22)</f>
        <v>3000000</v>
      </c>
      <c r="AB22" s="76" t="n">
        <f aca="false">IFERROR(AB20+AB21,0)</f>
        <v>0</v>
      </c>
      <c r="AC22" s="76" t="n">
        <f aca="false">IFERROR(AC20+AC21,0)</f>
        <v>0</v>
      </c>
      <c r="AD22" s="76" t="n">
        <f aca="false">IFERROR(AD20+AD21,0)</f>
        <v>0</v>
      </c>
      <c r="AE22" s="76" t="n">
        <f aca="false">IFERROR(AE20+AE21,0)</f>
        <v>0</v>
      </c>
      <c r="AF22" s="76" t="n">
        <f aca="false">IFERROR(AF20+AF21,0)</f>
        <v>0</v>
      </c>
      <c r="AG22" s="76" t="n">
        <f aca="false">IFERROR(AG20+AG21,0)</f>
        <v>0</v>
      </c>
      <c r="AH22" s="76" t="n">
        <f aca="false">IFERROR(AH20+AH21,0)</f>
        <v>0</v>
      </c>
      <c r="AI22" s="76" t="n">
        <f aca="false">IFERROR(AI20+AI21,0)</f>
        <v>0</v>
      </c>
      <c r="AJ22" s="76" t="n">
        <f aca="false">IFERROR(AJ20+AJ21,0)</f>
        <v>0</v>
      </c>
      <c r="AK22" s="76" t="n">
        <f aca="false">IFERROR(AK20+AK21,0)</f>
        <v>0</v>
      </c>
      <c r="AL22" s="76" t="n">
        <f aca="false">IFERROR(AL20+AL21,0)</f>
        <v>0</v>
      </c>
      <c r="AM22" s="76" t="n">
        <f aca="false">IFERROR(AM20+AM21,0)</f>
        <v>0</v>
      </c>
      <c r="AN22" s="76" t="n">
        <f aca="false">SUM(AB22:AM22)</f>
        <v>0</v>
      </c>
      <c r="AO22" s="76" t="n">
        <f aca="false">IFERROR(AO20+AO21,0)</f>
        <v>0</v>
      </c>
      <c r="AP22" s="76" t="n">
        <f aca="false">IFERROR(AP20+AP21,0)</f>
        <v>0</v>
      </c>
      <c r="AQ22" s="76" t="n">
        <f aca="false">IFERROR(AQ20+AQ21,0)</f>
        <v>0</v>
      </c>
      <c r="AR22" s="76" t="n">
        <f aca="false">IFERROR(AR20+AR21,0)</f>
        <v>0</v>
      </c>
      <c r="AS22" s="76" t="n">
        <f aca="false">IFERROR(AS20+AS21,0)</f>
        <v>0</v>
      </c>
      <c r="AT22" s="76" t="n">
        <f aca="false">IFERROR(AT20+AT21,0)</f>
        <v>0</v>
      </c>
      <c r="AU22" s="76" t="n">
        <f aca="false">IFERROR(AU20+AU21,0)</f>
        <v>0</v>
      </c>
      <c r="AV22" s="76" t="n">
        <f aca="false">IFERROR(AV20+AV21,0)</f>
        <v>0</v>
      </c>
      <c r="AW22" s="76" t="n">
        <f aca="false">IFERROR(AW20+AW21,0)</f>
        <v>0</v>
      </c>
      <c r="AX22" s="76" t="n">
        <f aca="false">IFERROR(AX20+AX21,0)</f>
        <v>0</v>
      </c>
      <c r="AY22" s="76" t="n">
        <f aca="false">IFERROR(AY20+AY21,0)</f>
        <v>0</v>
      </c>
      <c r="AZ22" s="76" t="n">
        <f aca="false">IFERROR(AZ20+AZ21,0)</f>
        <v>0</v>
      </c>
      <c r="BA22" s="77" t="n">
        <f aca="false">SUM(AO22:AZ22)</f>
        <v>0</v>
      </c>
      <c r="BB22" s="76" t="n">
        <f aca="false">IFERROR(BB20+BB21,0)</f>
        <v>0</v>
      </c>
      <c r="BC22" s="76" t="n">
        <f aca="false">IFERROR(BC20+BC21,0)</f>
        <v>0</v>
      </c>
      <c r="BD22" s="76" t="n">
        <f aca="false">IFERROR(BD20+BD21,0)</f>
        <v>0</v>
      </c>
      <c r="BE22" s="76" t="n">
        <f aca="false">IFERROR(BE20+BE21,0)</f>
        <v>0</v>
      </c>
      <c r="BF22" s="76" t="n">
        <f aca="false">IFERROR(BF20+BF21,0)</f>
        <v>0</v>
      </c>
      <c r="BG22" s="76" t="n">
        <f aca="false">IFERROR(BG20+BG21,0)</f>
        <v>0</v>
      </c>
      <c r="BH22" s="76" t="n">
        <f aca="false">IFERROR(BH20+BH21,0)</f>
        <v>0</v>
      </c>
      <c r="BI22" s="76" t="n">
        <f aca="false">IFERROR(BI20+BI21,0)</f>
        <v>0</v>
      </c>
      <c r="BJ22" s="76" t="n">
        <f aca="false">IFERROR(BJ20+BJ21,0)</f>
        <v>0</v>
      </c>
      <c r="BK22" s="76" t="n">
        <f aca="false">IFERROR(BK20+BK21,0)</f>
        <v>0</v>
      </c>
      <c r="BL22" s="76" t="n">
        <f aca="false">IFERROR(BL20+BL21,0)</f>
        <v>0</v>
      </c>
      <c r="BM22" s="76" t="n">
        <f aca="false">IFERROR(BM20+BM21,0)</f>
        <v>0</v>
      </c>
      <c r="BN22" s="77" t="n">
        <f aca="false">SUM(BB22:BM22)</f>
        <v>0</v>
      </c>
    </row>
    <row r="23" customFormat="false" ht="6" hidden="false" customHeight="true" outlineLevel="0" collapsed="false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/>
      <c r="AW23" s="78"/>
      <c r="AX23" s="78"/>
      <c r="AY23" s="78"/>
      <c r="AZ23" s="78"/>
      <c r="BA23" s="79"/>
      <c r="BB23" s="78"/>
      <c r="BC23" s="78"/>
      <c r="BD23" s="78"/>
      <c r="BE23" s="78"/>
      <c r="BF23" s="78"/>
      <c r="BG23" s="78"/>
      <c r="BH23" s="78"/>
      <c r="BI23" s="78"/>
      <c r="BJ23" s="78"/>
      <c r="BK23" s="78"/>
      <c r="BL23" s="78"/>
      <c r="BM23" s="78"/>
      <c r="BN23" s="79"/>
    </row>
    <row r="24" customFormat="false" ht="18" hidden="false" customHeight="true" outlineLevel="0" collapsed="false">
      <c r="A24" s="75" t="s">
        <v>277</v>
      </c>
      <c r="B24" s="76" t="n">
        <f aca="false">IFERROR(B13+B17+B22,0)</f>
        <v>19791.6666666667</v>
      </c>
      <c r="C24" s="76" t="n">
        <f aca="false">IFERROR(C13+C17+C22,0)</f>
        <v>-25879.8333333333</v>
      </c>
      <c r="D24" s="76" t="n">
        <f aca="false">IFERROR(D13+D17+D22,0)</f>
        <v>-23740.9133333333</v>
      </c>
      <c r="E24" s="76" t="n">
        <f aca="false">IFERROR(E13+E17+E22,0)</f>
        <v>-40913.5733333333</v>
      </c>
      <c r="F24" s="76" t="n">
        <f aca="false">IFERROR(F13+F17+F22,0)</f>
        <v>-37775.6666666667</v>
      </c>
      <c r="G24" s="76" t="n">
        <f aca="false">IFERROR(G13+G17+G22,0)</f>
        <v>1465751.14</v>
      </c>
      <c r="H24" s="76" t="n">
        <f aca="false">IFERROR(H13+H17+H22,0)</f>
        <v>-66499.9866666667</v>
      </c>
      <c r="I24" s="76" t="n">
        <f aca="false">IFERROR(I13+I17+I22,0)</f>
        <v>-61602.2133333333</v>
      </c>
      <c r="J24" s="76" t="n">
        <f aca="false">IFERROR(J13+J17+J22,0)</f>
        <v>-56229.7466666667</v>
      </c>
      <c r="K24" s="76" t="n">
        <f aca="false">IFERROR(K13+K17+K22,0)</f>
        <v>-70098.2533333333</v>
      </c>
      <c r="L24" s="76" t="n">
        <f aca="false">IFERROR(L13+L17+L22,0)</f>
        <v>-63056.2333333333</v>
      </c>
      <c r="M24" s="76" t="n">
        <f aca="false">IFERROR(M13+M17+M22,0)</f>
        <v>-55200.04</v>
      </c>
      <c r="N24" s="76" t="n">
        <f aca="false">SUM(B24:M24)</f>
        <v>984546.346666666</v>
      </c>
      <c r="O24" s="76" t="n">
        <f aca="false">IFERROR(O13+O17+O22,0)</f>
        <v>-61995.1933333333</v>
      </c>
      <c r="P24" s="76" t="n">
        <f aca="false">IFERROR(P13+P17+P22,0)</f>
        <v>-51709.2133333333</v>
      </c>
      <c r="Q24" s="76" t="n">
        <f aca="false">IFERROR(Q13+Q17+Q22,0)</f>
        <v>-39830.12</v>
      </c>
      <c r="R24" s="76" t="n">
        <f aca="false">IFERROR(R13+R17+R22,0)</f>
        <v>-26213.2466666667</v>
      </c>
      <c r="S24" s="76" t="n">
        <f aca="false">IFERROR(S13+S17+S22,0)</f>
        <v>-10845.1333333333</v>
      </c>
      <c r="T24" s="76" t="n">
        <f aca="false">IFERROR(T13+T17+T22,0)</f>
        <v>3006813.03333333</v>
      </c>
      <c r="U24" s="76" t="n">
        <f aca="false">IFERROR(U13+U17+U22,0)</f>
        <v>26851.88</v>
      </c>
      <c r="V24" s="76" t="n">
        <f aca="false">IFERROR(V13+V17+V22,0)</f>
        <v>49588.0733333333</v>
      </c>
      <c r="W24" s="76" t="n">
        <f aca="false">IFERROR(W13+W17+W22,0)</f>
        <v>75601.22</v>
      </c>
      <c r="X24" s="76" t="n">
        <f aca="false">IFERROR(X13+X17+X22,0)</f>
        <v>105525.28</v>
      </c>
      <c r="Y24" s="76" t="n">
        <f aca="false">IFERROR(Y13+Y17+Y22,0)</f>
        <v>139745.046666667</v>
      </c>
      <c r="Z24" s="76" t="n">
        <f aca="false">IFERROR(Z13+Z17+Z22,0)</f>
        <v>178844.646666667</v>
      </c>
      <c r="AA24" s="76" t="n">
        <f aca="false">SUM(O24:Z24)</f>
        <v>3392376.27333333</v>
      </c>
      <c r="AB24" s="76" t="n">
        <f aca="false">IFERROR(AB13+AB17+AB22,0)</f>
        <v>223752.206666667</v>
      </c>
      <c r="AC24" s="76" t="n">
        <f aca="false">IFERROR(AC13+AC17+AC22,0)</f>
        <v>275142.48</v>
      </c>
      <c r="AD24" s="76" t="n">
        <f aca="false">IFERROR(AD13+AD17+AD22,0)</f>
        <v>333943.593333333</v>
      </c>
      <c r="AE24" s="76" t="n">
        <f aca="false">IFERROR(AE13+AE17+AE22,0)</f>
        <v>401101.966666667</v>
      </c>
      <c r="AF24" s="76" t="n">
        <f aca="false">IFERROR(AF13+AF17+AF22,0)</f>
        <v>477840.206666667</v>
      </c>
      <c r="AG24" s="76" t="n">
        <f aca="false">IFERROR(AG13+AG17+AG22,0)</f>
        <v>565697.9</v>
      </c>
      <c r="AH24" s="76" t="n">
        <f aca="false">IFERROR(AH13+AH17+AH22,0)</f>
        <v>666010.78</v>
      </c>
      <c r="AI24" s="76" t="n">
        <f aca="false">IFERROR(AI13+AI17+AI22,0)</f>
        <v>780789.746666667</v>
      </c>
      <c r="AJ24" s="76" t="n">
        <f aca="false">IFERROR(AJ13+AJ17+AJ22,0)</f>
        <v>912267.22</v>
      </c>
      <c r="AK24" s="76" t="n">
        <f aca="false">IFERROR(AK13+AK17+AK22,0)</f>
        <v>1062888.72666667</v>
      </c>
      <c r="AL24" s="76" t="n">
        <f aca="false">IFERROR(AL13+AL17+AL22,0)</f>
        <v>1235425.81333333</v>
      </c>
      <c r="AM24" s="76" t="n">
        <f aca="false">IFERROR(AM13+AM17+AM22,0)</f>
        <v>1432967.00666667</v>
      </c>
      <c r="AN24" s="76" t="n">
        <f aca="false">SUM(AB24:AM24)</f>
        <v>8367827.64666667</v>
      </c>
      <c r="AO24" s="76" t="n">
        <f aca="false">IFERROR(AO13+AO17+AO22,0)</f>
        <v>1659416.14666667</v>
      </c>
      <c r="AP24" s="76" t="n">
        <f aca="false">IFERROR(AP13+AP17+AP22,0)</f>
        <v>1918822.05333333</v>
      </c>
      <c r="AQ24" s="76" t="n">
        <f aca="false">IFERROR(AQ13+AQ17+AQ22,0)</f>
        <v>2215754.38</v>
      </c>
      <c r="AR24" s="76" t="n">
        <f aca="false">IFERROR(AR13+AR17+AR22,0)</f>
        <v>2556168.76</v>
      </c>
      <c r="AS24" s="76" t="n">
        <f aca="false">IFERROR(AS13+AS17+AS22,0)</f>
        <v>2946260.95333333</v>
      </c>
      <c r="AT24" s="76" t="n">
        <f aca="false">IFERROR(AT13+AT17+AT22,0)</f>
        <v>3393268.38666667</v>
      </c>
      <c r="AU24" s="76" t="n">
        <f aca="false">IFERROR(AU13+AU17+AU22,0)</f>
        <v>3905887.11333333</v>
      </c>
      <c r="AV24" s="76" t="n">
        <f aca="false">IFERROR(AV13+AV17+AV22,0)</f>
        <v>4493601.16666667</v>
      </c>
      <c r="AW24" s="76" t="n">
        <f aca="false">IFERROR(AW13+AW17+AW22,0)</f>
        <v>5167525.20666667</v>
      </c>
      <c r="AX24" s="76" t="n">
        <f aca="false">IFERROR(AX13+AX17+AX22,0)</f>
        <v>5940581.35333333</v>
      </c>
      <c r="AY24" s="76" t="n">
        <f aca="false">IFERROR(AY13+AY17+AY22,0)</f>
        <v>6827277.04</v>
      </c>
      <c r="AZ24" s="76" t="n">
        <f aca="false">IFERROR(AZ13+AZ17+AZ22,0)</f>
        <v>7844647.32666667</v>
      </c>
      <c r="BA24" s="77" t="n">
        <f aca="false">SUM(AO24:AZ24)</f>
        <v>48869209.8866667</v>
      </c>
      <c r="BB24" s="76" t="n">
        <f aca="false">IFERROR(BB13+BB17+BB22,0)</f>
        <v>9012000.9</v>
      </c>
      <c r="BC24" s="76" t="n">
        <f aca="false">IFERROR(BC13+BC17+BC22,0)</f>
        <v>10351740.5333333</v>
      </c>
      <c r="BD24" s="76" t="n">
        <f aca="false">IFERROR(BD13+BD17+BD22,0)</f>
        <v>11888873.48</v>
      </c>
      <c r="BE24" s="76" t="n">
        <f aca="false">IFERROR(BE13+BE17+BE22,0)</f>
        <v>13652891.2666667</v>
      </c>
      <c r="BF24" s="76" t="n">
        <f aca="false">IFERROR(BF13+BF17+BF22,0)</f>
        <v>15677593.4866667</v>
      </c>
      <c r="BG24" s="76" t="n">
        <f aca="false">IFERROR(BG13+BG17+BG22,0)</f>
        <v>18001816.6933333</v>
      </c>
      <c r="BH24" s="76" t="n">
        <f aca="false">IFERROR(BH13+BH17+BH22,0)</f>
        <v>20669774.5066667</v>
      </c>
      <c r="BI24" s="76" t="n">
        <f aca="false">IFERROR(BI13+BI17+BI22,0)</f>
        <v>23732656.4866667</v>
      </c>
      <c r="BJ24" s="76" t="n">
        <f aca="false">IFERROR(BJ13+BJ17+BJ22,0)</f>
        <v>27249212.26</v>
      </c>
      <c r="BK24" s="76" t="n">
        <f aca="false">IFERROR(BK13+BK17+BK22,0)</f>
        <v>31286698.98</v>
      </c>
      <c r="BL24" s="76" t="n">
        <f aca="false">IFERROR(BL13+BL17+BL22,0)</f>
        <v>35922728.74</v>
      </c>
      <c r="BM24" s="76" t="n">
        <f aca="false">IFERROR(BM13+BM17+BM22,0)</f>
        <v>41246197.9533333</v>
      </c>
      <c r="BN24" s="77" t="n">
        <f aca="false">SUM(BB24:BM24)</f>
        <v>258692185.286667</v>
      </c>
    </row>
    <row r="25" customFormat="false" ht="18" hidden="false" customHeight="true" outlineLevel="0" collapsed="false">
      <c r="A25" s="75" t="s">
        <v>278</v>
      </c>
      <c r="B25" s="76" t="n">
        <f aca="false">IFERROR(B7+B24,0)</f>
        <v>519791.666666667</v>
      </c>
      <c r="C25" s="76" t="n">
        <f aca="false">IFERROR(C7+C24,0)</f>
        <v>493911.833333333</v>
      </c>
      <c r="D25" s="76" t="n">
        <f aca="false">IFERROR(D7+D24,0)</f>
        <v>470170.92</v>
      </c>
      <c r="E25" s="76" t="n">
        <f aca="false">IFERROR(E7+E24,0)</f>
        <v>429257.346666667</v>
      </c>
      <c r="F25" s="76" t="n">
        <f aca="false">IFERROR(F7+F24,0)</f>
        <v>391481.68</v>
      </c>
      <c r="G25" s="76" t="n">
        <f aca="false">IFERROR(G7+G24,0)</f>
        <v>1857232.82</v>
      </c>
      <c r="H25" s="76" t="n">
        <f aca="false">IFERROR(H7+H24,0)</f>
        <v>1790732.83333333</v>
      </c>
      <c r="I25" s="76" t="n">
        <f aca="false">IFERROR(I7+I24,0)</f>
        <v>1729130.62</v>
      </c>
      <c r="J25" s="76" t="n">
        <f aca="false">IFERROR(J7+J24,0)</f>
        <v>1672900.87333333</v>
      </c>
      <c r="K25" s="76" t="n">
        <f aca="false">IFERROR(K7+K24,0)</f>
        <v>1602802.62</v>
      </c>
      <c r="L25" s="76" t="n">
        <f aca="false">IFERROR(L7+L24,0)</f>
        <v>1539746.38666667</v>
      </c>
      <c r="M25" s="76" t="n">
        <f aca="false">IFERROR(M7+M24,0)</f>
        <v>1484546.34666667</v>
      </c>
      <c r="N25" s="76" t="n">
        <f aca="false">SUM(B25:M25)</f>
        <v>13981705.9466667</v>
      </c>
      <c r="O25" s="76" t="n">
        <f aca="false">IFERROR(O7+O24,0)</f>
        <v>1422551.15333333</v>
      </c>
      <c r="P25" s="76" t="n">
        <f aca="false">IFERROR(P7+P24,0)</f>
        <v>1370841.94</v>
      </c>
      <c r="Q25" s="76" t="n">
        <f aca="false">IFERROR(Q7+Q24,0)</f>
        <v>1331011.82</v>
      </c>
      <c r="R25" s="76" t="n">
        <f aca="false">IFERROR(R7+R24,0)</f>
        <v>1304798.57333333</v>
      </c>
      <c r="S25" s="76" t="n">
        <f aca="false">IFERROR(S7+S24,0)</f>
        <v>1293953.44</v>
      </c>
      <c r="T25" s="76" t="n">
        <f aca="false">IFERROR(T7+T24,0)</f>
        <v>4300766.47333333</v>
      </c>
      <c r="U25" s="76" t="n">
        <f aca="false">IFERROR(U7+U24,0)</f>
        <v>4327618.35333333</v>
      </c>
      <c r="V25" s="76" t="n">
        <f aca="false">IFERROR(V7+V24,0)</f>
        <v>4377206.42666667</v>
      </c>
      <c r="W25" s="76" t="n">
        <f aca="false">IFERROR(W7+W24,0)</f>
        <v>4452807.64666667</v>
      </c>
      <c r="X25" s="76" t="n">
        <f aca="false">IFERROR(X7+X24,0)</f>
        <v>4558332.92666667</v>
      </c>
      <c r="Y25" s="76" t="n">
        <f aca="false">IFERROR(Y7+Y24,0)</f>
        <v>4698077.97333333</v>
      </c>
      <c r="Z25" s="76" t="n">
        <f aca="false">IFERROR(Z7+Z24,0)</f>
        <v>4876922.62</v>
      </c>
      <c r="AA25" s="76" t="n">
        <f aca="false">SUM(O25:Z25)</f>
        <v>38314889.3466667</v>
      </c>
      <c r="AB25" s="76" t="n">
        <f aca="false">IFERROR(AB7+AB24,0)</f>
        <v>5100674.82666667</v>
      </c>
      <c r="AC25" s="76" t="n">
        <f aca="false">IFERROR(AC7+AC24,0)</f>
        <v>5375817.30666667</v>
      </c>
      <c r="AD25" s="76" t="n">
        <f aca="false">IFERROR(AD7+AD24,0)</f>
        <v>5709760.9</v>
      </c>
      <c r="AE25" s="76" t="n">
        <f aca="false">IFERROR(AE7+AE24,0)</f>
        <v>6110862.86666667</v>
      </c>
      <c r="AF25" s="76" t="n">
        <f aca="false">IFERROR(AF7+AF24,0)</f>
        <v>6588703.07333333</v>
      </c>
      <c r="AG25" s="76" t="n">
        <f aca="false">IFERROR(AG7+AG24,0)</f>
        <v>7154400.97333334</v>
      </c>
      <c r="AH25" s="76" t="n">
        <f aca="false">IFERROR(AH7+AH24,0)</f>
        <v>7820411.75333334</v>
      </c>
      <c r="AI25" s="76" t="n">
        <f aca="false">IFERROR(AI7+AI24,0)</f>
        <v>8601201.5</v>
      </c>
      <c r="AJ25" s="76" t="n">
        <f aca="false">IFERROR(AJ7+AJ24,0)</f>
        <v>9513468.72</v>
      </c>
      <c r="AK25" s="76" t="n">
        <f aca="false">IFERROR(AK7+AK24,0)</f>
        <v>10576357.4466667</v>
      </c>
      <c r="AL25" s="76" t="n">
        <f aca="false">IFERROR(AL7+AL24,0)</f>
        <v>11811783.26</v>
      </c>
      <c r="AM25" s="76" t="n">
        <f aca="false">IFERROR(AM7+AM24,0)</f>
        <v>13244750.2666667</v>
      </c>
      <c r="AN25" s="76" t="n">
        <f aca="false">SUM(AB25:AM25)</f>
        <v>97608192.8933334</v>
      </c>
      <c r="AO25" s="76" t="n">
        <f aca="false">IFERROR(AO7+AO24,0)</f>
        <v>14904166.4133333</v>
      </c>
      <c r="AP25" s="76" t="n">
        <f aca="false">IFERROR(AP7+AP24,0)</f>
        <v>16822988.4666667</v>
      </c>
      <c r="AQ25" s="76" t="n">
        <f aca="false">IFERROR(AQ7+AQ24,0)</f>
        <v>19038742.8466667</v>
      </c>
      <c r="AR25" s="76" t="n">
        <f aca="false">IFERROR(AR7+AR24,0)</f>
        <v>21594911.6066667</v>
      </c>
      <c r="AS25" s="76" t="n">
        <f aca="false">IFERROR(AS7+AS24,0)</f>
        <v>24541172.56</v>
      </c>
      <c r="AT25" s="76" t="n">
        <f aca="false">IFERROR(AT7+AT24,0)</f>
        <v>27934440.9466667</v>
      </c>
      <c r="AU25" s="76" t="n">
        <f aca="false">IFERROR(AU7+AU24,0)</f>
        <v>31840328.06</v>
      </c>
      <c r="AV25" s="76" t="n">
        <f aca="false">IFERROR(AV7+AV24,0)</f>
        <v>36333929.2266667</v>
      </c>
      <c r="AW25" s="76" t="n">
        <f aca="false">IFERROR(AW7+AW24,0)</f>
        <v>41501454.4333333</v>
      </c>
      <c r="AX25" s="76" t="n">
        <f aca="false">IFERROR(AX7+AX24,0)</f>
        <v>47442035.7866667</v>
      </c>
      <c r="AY25" s="76" t="n">
        <f aca="false">IFERROR(AY7+AY24,0)</f>
        <v>54269312.8266667</v>
      </c>
      <c r="AZ25" s="76" t="n">
        <f aca="false">IFERROR(AZ7+AZ24,0)</f>
        <v>62113960.1533333</v>
      </c>
      <c r="BA25" s="77" t="n">
        <f aca="false">SUM(AO25:AZ25)</f>
        <v>398337443.326667</v>
      </c>
      <c r="BB25" s="76" t="n">
        <f aca="false">IFERROR(BB7+BB24,0)</f>
        <v>71125961.0533333</v>
      </c>
      <c r="BC25" s="76" t="n">
        <f aca="false">IFERROR(BC7+BC24,0)</f>
        <v>81477701.5866667</v>
      </c>
      <c r="BD25" s="76" t="n">
        <f aca="false">IFERROR(BD7+BD24,0)</f>
        <v>93366575.0666667</v>
      </c>
      <c r="BE25" s="76" t="n">
        <f aca="false">IFERROR(BE7+BE24,0)</f>
        <v>107019466.333333</v>
      </c>
      <c r="BF25" s="76" t="n">
        <f aca="false">IFERROR(BF7+BF24,0)</f>
        <v>122697059.82</v>
      </c>
      <c r="BG25" s="76" t="n">
        <f aca="false">IFERROR(BG7+BG24,0)</f>
        <v>140698876.513333</v>
      </c>
      <c r="BH25" s="76" t="n">
        <f aca="false">IFERROR(BH7+BH24,0)</f>
        <v>161368651.02</v>
      </c>
      <c r="BI25" s="76" t="n">
        <f aca="false">IFERROR(BI7+BI24,0)</f>
        <v>185101307.506667</v>
      </c>
      <c r="BJ25" s="76" t="n">
        <f aca="false">IFERROR(BJ7+BJ24,0)</f>
        <v>212350519.766667</v>
      </c>
      <c r="BK25" s="76" t="n">
        <f aca="false">IFERROR(BK7+BK24,0)</f>
        <v>243637218.746667</v>
      </c>
      <c r="BL25" s="76" t="n">
        <f aca="false">IFERROR(BL7+BL24,0)</f>
        <v>279559947.486667</v>
      </c>
      <c r="BM25" s="76" t="n">
        <f aca="false">IFERROR(BM7+BM24,0)</f>
        <v>320806145.44</v>
      </c>
      <c r="BN25" s="77" t="n">
        <f aca="false">SUM(BB25:BM25)</f>
        <v>2019209430.34</v>
      </c>
    </row>
    <row r="26" customFormat="false" ht="6" hidden="false" customHeight="true" outlineLevel="0" collapsed="false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X26" s="78"/>
      <c r="AY26" s="78"/>
      <c r="AZ26" s="78"/>
      <c r="BA26" s="79"/>
      <c r="BB26" s="78"/>
      <c r="BC26" s="78"/>
      <c r="BD26" s="78"/>
      <c r="BE26" s="78"/>
      <c r="BF26" s="78"/>
      <c r="BG26" s="78"/>
      <c r="BH26" s="78"/>
      <c r="BI26" s="78"/>
      <c r="BJ26" s="78"/>
      <c r="BK26" s="78"/>
      <c r="BL26" s="78"/>
      <c r="BM26" s="78"/>
      <c r="BN26" s="79"/>
    </row>
    <row r="27" customFormat="false" ht="18" hidden="false" customHeight="true" outlineLevel="0" collapsed="false">
      <c r="A27" s="72" t="s">
        <v>279</v>
      </c>
      <c r="B27" s="81" t="n">
        <f aca="false">IFERROR(MIN(0,B13+B17),0)</f>
        <v>0</v>
      </c>
      <c r="C27" s="81" t="n">
        <f aca="false">IFERROR(MIN(0,C13+C17),0)</f>
        <v>-25879.8333333333</v>
      </c>
      <c r="D27" s="81" t="n">
        <f aca="false">IFERROR(MIN(0,D13+D17),0)</f>
        <v>-23740.9133333333</v>
      </c>
      <c r="E27" s="81" t="n">
        <f aca="false">IFERROR(MIN(0,E13+E17),0)</f>
        <v>-40913.5733333333</v>
      </c>
      <c r="F27" s="81" t="n">
        <f aca="false">IFERROR(MIN(0,F13+F17),0)</f>
        <v>-37775.6666666667</v>
      </c>
      <c r="G27" s="81" t="n">
        <f aca="false">IFERROR(MIN(0,G13+G17),0)</f>
        <v>-34248.86</v>
      </c>
      <c r="H27" s="81" t="n">
        <f aca="false">IFERROR(MIN(0,H13+H17),0)</f>
        <v>-66499.9866666667</v>
      </c>
      <c r="I27" s="81" t="n">
        <f aca="false">IFERROR(MIN(0,I13+I17),0)</f>
        <v>-61602.2133333333</v>
      </c>
      <c r="J27" s="81" t="n">
        <f aca="false">IFERROR(MIN(0,J13+J17),0)</f>
        <v>-56229.7466666667</v>
      </c>
      <c r="K27" s="81" t="n">
        <f aca="false">IFERROR(MIN(0,K13+K17),0)</f>
        <v>-70098.2533333333</v>
      </c>
      <c r="L27" s="81" t="n">
        <f aca="false">IFERROR(MIN(0,L13+L17),0)</f>
        <v>-63056.2333333333</v>
      </c>
      <c r="M27" s="81" t="n">
        <f aca="false">IFERROR(MIN(0,M13+M17),0)</f>
        <v>-55200.04</v>
      </c>
      <c r="N27" s="82" t="n">
        <f aca="false">M27</f>
        <v>-55200.04</v>
      </c>
      <c r="O27" s="81" t="n">
        <f aca="false">IFERROR(MIN(0,O13+O17),0)</f>
        <v>-61995.1933333333</v>
      </c>
      <c r="P27" s="81" t="n">
        <f aca="false">IFERROR(MIN(0,P13+P17),0)</f>
        <v>-51709.2133333333</v>
      </c>
      <c r="Q27" s="81" t="n">
        <f aca="false">IFERROR(MIN(0,Q13+Q17),0)</f>
        <v>-39830.12</v>
      </c>
      <c r="R27" s="81" t="n">
        <f aca="false">IFERROR(MIN(0,R13+R17),0)</f>
        <v>-26213.2466666667</v>
      </c>
      <c r="S27" s="81" t="n">
        <f aca="false">IFERROR(MIN(0,S13+S17),0)</f>
        <v>-10845.1333333333</v>
      </c>
      <c r="T27" s="81" t="n">
        <f aca="false">IFERROR(MIN(0,T13+T17),0)</f>
        <v>0</v>
      </c>
      <c r="U27" s="81" t="n">
        <f aca="false">IFERROR(MIN(0,U13+U17),0)</f>
        <v>0</v>
      </c>
      <c r="V27" s="81" t="n">
        <f aca="false">IFERROR(MIN(0,V13+V17),0)</f>
        <v>0</v>
      </c>
      <c r="W27" s="81" t="n">
        <f aca="false">IFERROR(MIN(0,W13+W17),0)</f>
        <v>0</v>
      </c>
      <c r="X27" s="81" t="n">
        <f aca="false">IFERROR(MIN(0,X13+X17),0)</f>
        <v>0</v>
      </c>
      <c r="Y27" s="81" t="n">
        <f aca="false">IFERROR(MIN(0,Y13+Y17),0)</f>
        <v>0</v>
      </c>
      <c r="Z27" s="81" t="n">
        <f aca="false">IFERROR(MIN(0,Z13+Z17),0)</f>
        <v>0</v>
      </c>
      <c r="AA27" s="82" t="n">
        <f aca="false">Z27</f>
        <v>0</v>
      </c>
      <c r="AB27" s="81" t="n">
        <f aca="false">IFERROR(MIN(0,AB13+AB17),0)</f>
        <v>0</v>
      </c>
      <c r="AC27" s="81" t="n">
        <f aca="false">IFERROR(MIN(0,AC13+AC17),0)</f>
        <v>0</v>
      </c>
      <c r="AD27" s="81" t="n">
        <f aca="false">IFERROR(MIN(0,AD13+AD17),0)</f>
        <v>0</v>
      </c>
      <c r="AE27" s="81" t="n">
        <f aca="false">IFERROR(MIN(0,AE13+AE17),0)</f>
        <v>0</v>
      </c>
      <c r="AF27" s="81" t="n">
        <f aca="false">IFERROR(MIN(0,AF13+AF17),0)</f>
        <v>0</v>
      </c>
      <c r="AG27" s="81" t="n">
        <f aca="false">IFERROR(MIN(0,AG13+AG17),0)</f>
        <v>0</v>
      </c>
      <c r="AH27" s="81" t="n">
        <f aca="false">IFERROR(MIN(0,AH13+AH17),0)</f>
        <v>0</v>
      </c>
      <c r="AI27" s="81" t="n">
        <f aca="false">IFERROR(MIN(0,AI13+AI17),0)</f>
        <v>0</v>
      </c>
      <c r="AJ27" s="81" t="n">
        <f aca="false">IFERROR(MIN(0,AJ13+AJ17),0)</f>
        <v>0</v>
      </c>
      <c r="AK27" s="81" t="n">
        <f aca="false">IFERROR(MIN(0,AK13+AK17),0)</f>
        <v>0</v>
      </c>
      <c r="AL27" s="81" t="n">
        <f aca="false">IFERROR(MIN(0,AL13+AL17),0)</f>
        <v>0</v>
      </c>
      <c r="AM27" s="81" t="n">
        <f aca="false">IFERROR(MIN(0,AM13+AM17),0)</f>
        <v>0</v>
      </c>
      <c r="AN27" s="82" t="n">
        <f aca="false">AM27</f>
        <v>0</v>
      </c>
      <c r="AO27" s="81" t="n">
        <f aca="false">IFERROR(MIN(0,AO13+AO17),0)</f>
        <v>0</v>
      </c>
      <c r="AP27" s="81" t="n">
        <f aca="false">IFERROR(MIN(0,AP13+AP17),0)</f>
        <v>0</v>
      </c>
      <c r="AQ27" s="81" t="n">
        <f aca="false">IFERROR(MIN(0,AQ13+AQ17),0)</f>
        <v>0</v>
      </c>
      <c r="AR27" s="81" t="n">
        <f aca="false">IFERROR(MIN(0,AR13+AR17),0)</f>
        <v>0</v>
      </c>
      <c r="AS27" s="81" t="n">
        <f aca="false">IFERROR(MIN(0,AS13+AS17),0)</f>
        <v>0</v>
      </c>
      <c r="AT27" s="81" t="n">
        <f aca="false">IFERROR(MIN(0,AT13+AT17),0)</f>
        <v>0</v>
      </c>
      <c r="AU27" s="81" t="n">
        <f aca="false">IFERROR(MIN(0,AU13+AU17),0)</f>
        <v>0</v>
      </c>
      <c r="AV27" s="81" t="n">
        <f aca="false">IFERROR(MIN(0,AV13+AV17),0)</f>
        <v>0</v>
      </c>
      <c r="AW27" s="81" t="n">
        <f aca="false">IFERROR(MIN(0,AW13+AW17),0)</f>
        <v>0</v>
      </c>
      <c r="AX27" s="81" t="n">
        <f aca="false">IFERROR(MIN(0,AX13+AX17),0)</f>
        <v>0</v>
      </c>
      <c r="AY27" s="81" t="n">
        <f aca="false">IFERROR(MIN(0,AY13+AY17),0)</f>
        <v>0</v>
      </c>
      <c r="AZ27" s="81" t="n">
        <f aca="false">IFERROR(MIN(0,AZ13+AZ17),0)</f>
        <v>0</v>
      </c>
      <c r="BA27" s="71" t="n">
        <f aca="false">AZ27</f>
        <v>0</v>
      </c>
      <c r="BB27" s="81" t="n">
        <f aca="false">IFERROR(MIN(0,BB13+BB17),0)</f>
        <v>0</v>
      </c>
      <c r="BC27" s="81" t="n">
        <f aca="false">IFERROR(MIN(0,BC13+BC17),0)</f>
        <v>0</v>
      </c>
      <c r="BD27" s="81" t="n">
        <f aca="false">IFERROR(MIN(0,BD13+BD17),0)</f>
        <v>0</v>
      </c>
      <c r="BE27" s="81" t="n">
        <f aca="false">IFERROR(MIN(0,BE13+BE17),0)</f>
        <v>0</v>
      </c>
      <c r="BF27" s="81" t="n">
        <f aca="false">IFERROR(MIN(0,BF13+BF17),0)</f>
        <v>0</v>
      </c>
      <c r="BG27" s="81" t="n">
        <f aca="false">IFERROR(MIN(0,BG13+BG17),0)</f>
        <v>0</v>
      </c>
      <c r="BH27" s="81" t="n">
        <f aca="false">IFERROR(MIN(0,BH13+BH17),0)</f>
        <v>0</v>
      </c>
      <c r="BI27" s="81" t="n">
        <f aca="false">IFERROR(MIN(0,BI13+BI17),0)</f>
        <v>0</v>
      </c>
      <c r="BJ27" s="81" t="n">
        <f aca="false">IFERROR(MIN(0,BJ13+BJ17),0)</f>
        <v>0</v>
      </c>
      <c r="BK27" s="81" t="n">
        <f aca="false">IFERROR(MIN(0,BK13+BK17),0)</f>
        <v>0</v>
      </c>
      <c r="BL27" s="81" t="n">
        <f aca="false">IFERROR(MIN(0,BL13+BL17),0)</f>
        <v>0</v>
      </c>
      <c r="BM27" s="81" t="n">
        <f aca="false">IFERROR(MIN(0,BM13+BM17),0)</f>
        <v>0</v>
      </c>
      <c r="BN27" s="71" t="n">
        <f aca="false">BM27</f>
        <v>0</v>
      </c>
    </row>
    <row r="28" customFormat="false" ht="18" hidden="false" customHeight="true" outlineLevel="0" collapsed="false">
      <c r="A28" s="43" t="s">
        <v>280</v>
      </c>
      <c r="B28" s="115" t="n">
        <f aca="false">IFERROR(IF(B27&lt;0,-B25/B27,999),0)</f>
        <v>999</v>
      </c>
      <c r="C28" s="115" t="n">
        <f aca="false">IFERROR(IF(C27&lt;0,-C25/C27,999),0)</f>
        <v>19.0848150748008</v>
      </c>
      <c r="D28" s="115" t="n">
        <f aca="false">IFERROR(IF(D27&lt;0,-D25/D27,999),0)</f>
        <v>19.8042473513375</v>
      </c>
      <c r="E28" s="115" t="n">
        <f aca="false">IFERROR(IF(E27&lt;0,-E25/E27,999),0)</f>
        <v>10.4918077716996</v>
      </c>
      <c r="F28" s="115" t="n">
        <f aca="false">IFERROR(IF(F27&lt;0,-F25/F27,999),0)</f>
        <v>10.3633294801768</v>
      </c>
      <c r="G28" s="115" t="n">
        <f aca="false">IFERROR(IF(G27&lt;0,-G25/G27,999),0)</f>
        <v>54.2275807136354</v>
      </c>
      <c r="H28" s="115" t="n">
        <f aca="false">IFERROR(IF(H27&lt;0,-H25/H27,999),0)</f>
        <v>26.9283186823697</v>
      </c>
      <c r="I28" s="115" t="n">
        <f aca="false">IFERROR(IF(I27&lt;0,-I25/I27,999),0)</f>
        <v>28.0692937223468</v>
      </c>
      <c r="J28" s="115" t="n">
        <f aca="false">IFERROR(IF(J27&lt;0,-J25/J27,999),0)</f>
        <v>29.7511721553787</v>
      </c>
      <c r="K28" s="115" t="n">
        <f aca="false">IFERROR(IF(K27&lt;0,-K25/K27,999),0)</f>
        <v>22.8650864148969</v>
      </c>
      <c r="L28" s="115" t="n">
        <f aca="false">IFERROR(IF(L27&lt;0,-L25/L27,999),0)</f>
        <v>24.4186229540088</v>
      </c>
      <c r="M28" s="115" t="n">
        <f aca="false">IFERROR(IF(M27&lt;0,-M25/M27,999),0)</f>
        <v>26.8939360671961</v>
      </c>
      <c r="N28" s="115" t="n">
        <f aca="false">M28</f>
        <v>26.8939360671961</v>
      </c>
      <c r="O28" s="115" t="n">
        <f aca="false">IFERROR(IF(O27&lt;0,-O25/O27,999),0)</f>
        <v>22.9461523845021</v>
      </c>
      <c r="P28" s="115" t="n">
        <f aca="false">IFERROR(IF(P27&lt;0,-P25/P27,999),0)</f>
        <v>26.5105935989228</v>
      </c>
      <c r="Q28" s="115" t="n">
        <f aca="false">IFERROR(IF(Q27&lt;0,-Q25/Q27,999),0)</f>
        <v>33.417218426658</v>
      </c>
      <c r="R28" s="115" t="n">
        <f aca="false">IFERROR(IF(R27&lt;0,-R25/R27,999),0)</f>
        <v>49.7763054659133</v>
      </c>
      <c r="S28" s="115" t="n">
        <f aca="false">IFERROR(IF(S27&lt;0,-S25/S27,999),0)</f>
        <v>119.31189780977</v>
      </c>
      <c r="T28" s="115" t="n">
        <f aca="false">IFERROR(IF(T27&lt;0,-T25/T27,999),0)</f>
        <v>999</v>
      </c>
      <c r="U28" s="115" t="n">
        <f aca="false">IFERROR(IF(U27&lt;0,-U25/U27,999),0)</f>
        <v>999</v>
      </c>
      <c r="V28" s="115" t="n">
        <f aca="false">IFERROR(IF(V27&lt;0,-V25/V27,999),0)</f>
        <v>999</v>
      </c>
      <c r="W28" s="115" t="n">
        <f aca="false">IFERROR(IF(W27&lt;0,-W25/W27,999),0)</f>
        <v>999</v>
      </c>
      <c r="X28" s="115" t="n">
        <f aca="false">IFERROR(IF(X27&lt;0,-X25/X27,999),0)</f>
        <v>999</v>
      </c>
      <c r="Y28" s="115" t="n">
        <f aca="false">IFERROR(IF(Y27&lt;0,-Y25/Y27,999),0)</f>
        <v>999</v>
      </c>
      <c r="Z28" s="115" t="n">
        <f aca="false">IFERROR(IF(Z27&lt;0,-Z25/Z27,999),0)</f>
        <v>999</v>
      </c>
      <c r="AA28" s="115" t="n">
        <f aca="false">Z28</f>
        <v>999</v>
      </c>
      <c r="AB28" s="115" t="n">
        <f aca="false">IFERROR(IF(AB27&lt;0,-AB25/AB27,999),0)</f>
        <v>999</v>
      </c>
      <c r="AC28" s="115" t="n">
        <f aca="false">IFERROR(IF(AC27&lt;0,-AC25/AC27,999),0)</f>
        <v>999</v>
      </c>
      <c r="AD28" s="115" t="n">
        <f aca="false">IFERROR(IF(AD27&lt;0,-AD25/AD27,999),0)</f>
        <v>999</v>
      </c>
      <c r="AE28" s="115" t="n">
        <f aca="false">IFERROR(IF(AE27&lt;0,-AE25/AE27,999),0)</f>
        <v>999</v>
      </c>
      <c r="AF28" s="115" t="n">
        <f aca="false">IFERROR(IF(AF27&lt;0,-AF25/AF27,999),0)</f>
        <v>999</v>
      </c>
      <c r="AG28" s="115" t="n">
        <f aca="false">IFERROR(IF(AG27&lt;0,-AG25/AG27,999),0)</f>
        <v>999</v>
      </c>
      <c r="AH28" s="115" t="n">
        <f aca="false">IFERROR(IF(AH27&lt;0,-AH25/AH27,999),0)</f>
        <v>999</v>
      </c>
      <c r="AI28" s="115" t="n">
        <f aca="false">IFERROR(IF(AI27&lt;0,-AI25/AI27,999),0)</f>
        <v>999</v>
      </c>
      <c r="AJ28" s="115" t="n">
        <f aca="false">IFERROR(IF(AJ27&lt;0,-AJ25/AJ27,999),0)</f>
        <v>999</v>
      </c>
      <c r="AK28" s="115" t="n">
        <f aca="false">IFERROR(IF(AK27&lt;0,-AK25/AK27,999),0)</f>
        <v>999</v>
      </c>
      <c r="AL28" s="115" t="n">
        <f aca="false">IFERROR(IF(AL27&lt;0,-AL25/AL27,999),0)</f>
        <v>999</v>
      </c>
      <c r="AM28" s="115" t="n">
        <f aca="false">IFERROR(IF(AM27&lt;0,-AM25/AM27,999),0)</f>
        <v>999</v>
      </c>
      <c r="AN28" s="115" t="n">
        <f aca="false">AM28</f>
        <v>999</v>
      </c>
      <c r="AO28" s="115" t="n">
        <f aca="false">IFERROR(IF(AO27&lt;0,-AO25/AO27,999),0)</f>
        <v>999</v>
      </c>
      <c r="AP28" s="115" t="n">
        <f aca="false">IFERROR(IF(AP27&lt;0,-AP25/AP27,999),0)</f>
        <v>999</v>
      </c>
      <c r="AQ28" s="115" t="n">
        <f aca="false">IFERROR(IF(AQ27&lt;0,-AQ25/AQ27,999),0)</f>
        <v>999</v>
      </c>
      <c r="AR28" s="115" t="n">
        <f aca="false">IFERROR(IF(AR27&lt;0,-AR25/AR27,999),0)</f>
        <v>999</v>
      </c>
      <c r="AS28" s="115" t="n">
        <f aca="false">IFERROR(IF(AS27&lt;0,-AS25/AS27,999),0)</f>
        <v>999</v>
      </c>
      <c r="AT28" s="115" t="n">
        <f aca="false">IFERROR(IF(AT27&lt;0,-AT25/AT27,999),0)</f>
        <v>999</v>
      </c>
      <c r="AU28" s="115" t="n">
        <f aca="false">IFERROR(IF(AU27&lt;0,-AU25/AU27,999),0)</f>
        <v>999</v>
      </c>
      <c r="AV28" s="115" t="n">
        <f aca="false">IFERROR(IF(AV27&lt;0,-AV25/AV27,999),0)</f>
        <v>999</v>
      </c>
      <c r="AW28" s="115" t="n">
        <f aca="false">IFERROR(IF(AW27&lt;0,-AW25/AW27,999),0)</f>
        <v>999</v>
      </c>
      <c r="AX28" s="115" t="n">
        <f aca="false">IFERROR(IF(AX27&lt;0,-AX25/AX27,999),0)</f>
        <v>999</v>
      </c>
      <c r="AY28" s="115" t="n">
        <f aca="false">IFERROR(IF(AY27&lt;0,-AY25/AY27,999),0)</f>
        <v>999</v>
      </c>
      <c r="AZ28" s="115" t="n">
        <f aca="false">IFERROR(IF(AZ27&lt;0,-AZ25/AZ27,999),0)</f>
        <v>999</v>
      </c>
      <c r="BA28" s="116" t="n">
        <f aca="false">AZ28</f>
        <v>999</v>
      </c>
      <c r="BB28" s="115" t="n">
        <f aca="false">IFERROR(IF(BB27&lt;0,-BB25/BB27,999),0)</f>
        <v>999</v>
      </c>
      <c r="BC28" s="115" t="n">
        <f aca="false">IFERROR(IF(BC27&lt;0,-BC25/BC27,999),0)</f>
        <v>999</v>
      </c>
      <c r="BD28" s="115" t="n">
        <f aca="false">IFERROR(IF(BD27&lt;0,-BD25/BD27,999),0)</f>
        <v>999</v>
      </c>
      <c r="BE28" s="115" t="n">
        <f aca="false">IFERROR(IF(BE27&lt;0,-BE25/BE27,999),0)</f>
        <v>999</v>
      </c>
      <c r="BF28" s="115" t="n">
        <f aca="false">IFERROR(IF(BF27&lt;0,-BF25/BF27,999),0)</f>
        <v>999</v>
      </c>
      <c r="BG28" s="115" t="n">
        <f aca="false">IFERROR(IF(BG27&lt;0,-BG25/BG27,999),0)</f>
        <v>999</v>
      </c>
      <c r="BH28" s="115" t="n">
        <f aca="false">IFERROR(IF(BH27&lt;0,-BH25/BH27,999),0)</f>
        <v>999</v>
      </c>
      <c r="BI28" s="115" t="n">
        <f aca="false">IFERROR(IF(BI27&lt;0,-BI25/BI27,999),0)</f>
        <v>999</v>
      </c>
      <c r="BJ28" s="115" t="n">
        <f aca="false">IFERROR(IF(BJ27&lt;0,-BJ25/BJ27,999),0)</f>
        <v>999</v>
      </c>
      <c r="BK28" s="115" t="n">
        <f aca="false">IFERROR(IF(BK27&lt;0,-BK25/BK27,999),0)</f>
        <v>999</v>
      </c>
      <c r="BL28" s="115" t="n">
        <f aca="false">IFERROR(IF(BL27&lt;0,-BL25/BL27,999),0)</f>
        <v>999</v>
      </c>
      <c r="BM28" s="115" t="n">
        <f aca="false">IFERROR(IF(BM27&lt;0,-BM25/BM27,999),0)</f>
        <v>999</v>
      </c>
      <c r="BN28" s="116" t="n">
        <f aca="false">BM28</f>
        <v>999</v>
      </c>
    </row>
    <row r="29" customFormat="false" ht="15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customFormat="false" ht="15.7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customFormat="false" ht="15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customFormat="false" ht="15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customFormat="false" ht="15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customFormat="false" ht="15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customFormat="false" ht="15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customFormat="false" ht="15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customFormat="false" ht="15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customFormat="false" ht="15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customFormat="false" ht="15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customFormat="false" ht="15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customFormat="false" ht="15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customFormat="false" ht="15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customFormat="false" ht="15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customFormat="false" ht="15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customFormat="false" ht="15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customFormat="false" ht="15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customFormat="false" ht="15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customFormat="false" ht="15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customFormat="false" ht="15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customFormat="false" ht="15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customFormat="false" ht="15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customFormat="false" ht="15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customFormat="false" ht="15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customFormat="false" ht="15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customFormat="false" ht="15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customFormat="false" ht="15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customFormat="false" ht="15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customFormat="false" ht="15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customFormat="false" ht="15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customFormat="false" ht="15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customFormat="false" ht="15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customFormat="false" ht="15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customFormat="false" ht="15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customFormat="false" ht="15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customFormat="false" ht="15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customFormat="false" ht="15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customFormat="false" ht="15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customFormat="false" ht="15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customFormat="false" ht="15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customFormat="false" ht="15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customFormat="false" ht="15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customFormat="false" ht="15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customFormat="false" ht="15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customFormat="false" ht="15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customFormat="false" ht="15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customFormat="false" ht="15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customFormat="false" ht="15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customFormat="false" ht="15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customFormat="false" ht="15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customFormat="false" ht="15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customFormat="false" ht="15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customFormat="false" ht="15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customFormat="false" ht="15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customFormat="false" ht="15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customFormat="false" ht="15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customFormat="false" ht="15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customFormat="false" ht="15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customFormat="false" ht="15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customFormat="false" ht="15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customFormat="false" ht="15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customFormat="false" ht="15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customFormat="false" ht="15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customFormat="false" ht="15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customFormat="false" ht="15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customFormat="false" ht="15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customFormat="false" ht="15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customFormat="false" ht="15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customFormat="false" ht="15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customFormat="false" ht="15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customFormat="false" ht="15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customFormat="false" ht="15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customFormat="false" ht="15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customFormat="false" ht="15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customFormat="false" ht="15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customFormat="false" ht="15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customFormat="false" ht="15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customFormat="false" ht="15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customFormat="false" ht="15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customFormat="false" ht="15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customFormat="false" ht="15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customFormat="false" ht="15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customFormat="false" ht="15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customFormat="false" ht="15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customFormat="false" ht="15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customFormat="false" ht="15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customFormat="false" ht="15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customFormat="false" ht="15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customFormat="false" ht="15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customFormat="false" ht="15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customFormat="false" ht="15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customFormat="false" ht="15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customFormat="false" ht="15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 customFormat="false" ht="15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customFormat="false" ht="15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customFormat="false" ht="15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customFormat="false" ht="15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customFormat="false" ht="15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customFormat="false" ht="15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customFormat="false" ht="15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customFormat="false" ht="15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customFormat="false" ht="15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customFormat="false" ht="15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customFormat="false" ht="15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customFormat="false" ht="15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customFormat="false" ht="15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customFormat="false" ht="15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customFormat="false" ht="15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customFormat="false" ht="15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customFormat="false" ht="15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customFormat="false" ht="15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customFormat="false" ht="15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customFormat="false" ht="15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customFormat="false" ht="15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customFormat="false" ht="15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customFormat="false" ht="15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customFormat="false" ht="15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customFormat="false" ht="15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customFormat="false" ht="15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customFormat="false" ht="15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customFormat="false" ht="15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customFormat="false" ht="15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customFormat="false" ht="15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customFormat="false" ht="15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customFormat="false" ht="15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customFormat="false" ht="15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customFormat="false" ht="15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customFormat="false" ht="15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customFormat="false" ht="15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customFormat="false" ht="15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customFormat="false" ht="15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customFormat="false" ht="15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customFormat="false" ht="15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customFormat="false" ht="15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customFormat="false" ht="15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customFormat="false" ht="15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customFormat="false" ht="15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customFormat="false" ht="15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customFormat="false" ht="15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customFormat="false" ht="15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customFormat="false" ht="15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customFormat="false" ht="15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customFormat="false" ht="15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customFormat="false" ht="15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customFormat="false" ht="15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customFormat="false" ht="15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customFormat="false" ht="15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customFormat="false" ht="15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customFormat="false" ht="15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customFormat="false" ht="15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customFormat="false" ht="15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customFormat="false" ht="15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customFormat="false" ht="15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customFormat="false" ht="15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customFormat="false" ht="15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customFormat="false" ht="15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customFormat="false" ht="15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customFormat="false" ht="15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customFormat="false" ht="15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customFormat="false" ht="15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customFormat="false" ht="15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customFormat="false" ht="15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customFormat="false" ht="15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customFormat="false" ht="15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customFormat="false" ht="15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customFormat="false" ht="15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customFormat="false" ht="15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customFormat="false" ht="15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customFormat="false" ht="15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customFormat="false" ht="15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customFormat="false" ht="15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customFormat="false" ht="15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customFormat="false" ht="15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customFormat="false" ht="15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customFormat="false" ht="15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customFormat="false" ht="15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customFormat="false" ht="15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customFormat="false" ht="15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customFormat="false" ht="15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customFormat="false" ht="15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customFormat="false" ht="15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customFormat="false" ht="15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customFormat="false" ht="15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customFormat="false" ht="15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customFormat="false" ht="15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customFormat="false" ht="15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</row>
  </sheetData>
  <mergeCells count="8">
    <mergeCell ref="A1:BN1"/>
    <mergeCell ref="A2:BN2"/>
    <mergeCell ref="AO4:AZ4"/>
    <mergeCell ref="BB4:BM4"/>
    <mergeCell ref="A6:BN6"/>
    <mergeCell ref="A9:BN9"/>
    <mergeCell ref="A15:BN15"/>
    <mergeCell ref="A19:BN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BN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3" min="2" style="0" width="9.57"/>
    <col collapsed="false" customWidth="true" hidden="false" outlineLevel="0" max="14" min="14" style="0" width="11"/>
    <col collapsed="false" customWidth="true" hidden="false" outlineLevel="0" max="26" min="15" style="0" width="9.57"/>
    <col collapsed="false" customWidth="true" hidden="false" outlineLevel="0" max="27" min="27" style="0" width="11"/>
    <col collapsed="false" customWidth="true" hidden="false" outlineLevel="0" max="39" min="28" style="0" width="9.57"/>
    <col collapsed="false" customWidth="true" hidden="false" outlineLevel="0" max="40" min="40" style="0" width="11"/>
    <col collapsed="false" customWidth="true" hidden="false" outlineLevel="0" max="41" min="41" style="0" width="9.57"/>
    <col collapsed="false" customWidth="true" hidden="false" outlineLevel="0" max="52" min="42" style="0" width="13"/>
    <col collapsed="false" customWidth="true" hidden="false" outlineLevel="0" max="53" min="53" style="0" width="11"/>
    <col collapsed="false" customWidth="true" hidden="false" outlineLevel="0" max="54" min="54" style="0" width="9.57"/>
    <col collapsed="false" customWidth="true" hidden="false" outlineLevel="0" max="65" min="55" style="0" width="13"/>
    <col collapsed="false" customWidth="true" hidden="false" outlineLevel="0" max="66" min="66" style="0" width="11"/>
  </cols>
  <sheetData>
    <row r="1" customFormat="false" ht="39.75" hidden="false" customHeight="true" outlineLevel="0" collapsed="false">
      <c r="A1" s="45" t="s">
        <v>281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</row>
    <row r="2" customFormat="false" ht="18" hidden="false" customHeight="true" outlineLevel="0" collapsed="false">
      <c r="A2" s="46" t="s">
        <v>282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46"/>
    </row>
    <row r="3" customFormat="false" ht="6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customFormat="false" ht="13.5" hidden="false" customHeight="true" outlineLevel="0" collapsed="false">
      <c r="A4" s="47"/>
      <c r="B4" s="16" t="s">
        <v>164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48" t="s">
        <v>165</v>
      </c>
      <c r="O4" s="49" t="s">
        <v>166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50" t="s">
        <v>167</v>
      </c>
      <c r="AB4" s="51" t="s">
        <v>168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52" t="s">
        <v>169</v>
      </c>
      <c r="AO4" s="53" t="s">
        <v>170</v>
      </c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4" t="s">
        <v>171</v>
      </c>
      <c r="BB4" s="53" t="s">
        <v>172</v>
      </c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4" t="s">
        <v>173</v>
      </c>
    </row>
    <row r="5" customFormat="false" ht="21.75" hidden="false" customHeight="true" outlineLevel="0" collapsed="false">
      <c r="A5" s="47"/>
      <c r="B5" s="55" t="s">
        <v>174</v>
      </c>
      <c r="C5" s="55" t="s">
        <v>175</v>
      </c>
      <c r="D5" s="55" t="s">
        <v>176</v>
      </c>
      <c r="E5" s="55" t="s">
        <v>177</v>
      </c>
      <c r="F5" s="55" t="s">
        <v>178</v>
      </c>
      <c r="G5" s="55" t="s">
        <v>179</v>
      </c>
      <c r="H5" s="55" t="s">
        <v>180</v>
      </c>
      <c r="I5" s="55" t="s">
        <v>181</v>
      </c>
      <c r="J5" s="55" t="s">
        <v>182</v>
      </c>
      <c r="K5" s="55" t="s">
        <v>183</v>
      </c>
      <c r="L5" s="55" t="s">
        <v>184</v>
      </c>
      <c r="M5" s="55" t="s">
        <v>185</v>
      </c>
      <c r="N5" s="55" t="s">
        <v>186</v>
      </c>
      <c r="O5" s="39" t="s">
        <v>174</v>
      </c>
      <c r="P5" s="39" t="s">
        <v>175</v>
      </c>
      <c r="Q5" s="39" t="s">
        <v>176</v>
      </c>
      <c r="R5" s="39" t="s">
        <v>177</v>
      </c>
      <c r="S5" s="39" t="s">
        <v>178</v>
      </c>
      <c r="T5" s="39" t="s">
        <v>179</v>
      </c>
      <c r="U5" s="39" t="s">
        <v>180</v>
      </c>
      <c r="V5" s="39" t="s">
        <v>181</v>
      </c>
      <c r="W5" s="39" t="s">
        <v>182</v>
      </c>
      <c r="X5" s="39" t="s">
        <v>183</v>
      </c>
      <c r="Y5" s="39" t="s">
        <v>184</v>
      </c>
      <c r="Z5" s="39" t="s">
        <v>185</v>
      </c>
      <c r="AA5" s="39" t="s">
        <v>187</v>
      </c>
      <c r="AB5" s="56" t="s">
        <v>174</v>
      </c>
      <c r="AC5" s="56" t="s">
        <v>175</v>
      </c>
      <c r="AD5" s="56" t="s">
        <v>176</v>
      </c>
      <c r="AE5" s="56" t="s">
        <v>177</v>
      </c>
      <c r="AF5" s="56" t="s">
        <v>178</v>
      </c>
      <c r="AG5" s="56" t="s">
        <v>179</v>
      </c>
      <c r="AH5" s="56" t="s">
        <v>180</v>
      </c>
      <c r="AI5" s="56" t="s">
        <v>181</v>
      </c>
      <c r="AJ5" s="56" t="s">
        <v>182</v>
      </c>
      <c r="AK5" s="56" t="s">
        <v>183</v>
      </c>
      <c r="AL5" s="56" t="s">
        <v>184</v>
      </c>
      <c r="AM5" s="56" t="s">
        <v>185</v>
      </c>
      <c r="AN5" s="56" t="s">
        <v>188</v>
      </c>
      <c r="AO5" s="56" t="s">
        <v>174</v>
      </c>
      <c r="AP5" s="56" t="s">
        <v>175</v>
      </c>
      <c r="AQ5" s="56" t="s">
        <v>176</v>
      </c>
      <c r="AR5" s="56" t="s">
        <v>177</v>
      </c>
      <c r="AS5" s="56" t="s">
        <v>178</v>
      </c>
      <c r="AT5" s="56" t="s">
        <v>179</v>
      </c>
      <c r="AU5" s="56" t="s">
        <v>180</v>
      </c>
      <c r="AV5" s="56" t="s">
        <v>181</v>
      </c>
      <c r="AW5" s="56" t="s">
        <v>182</v>
      </c>
      <c r="AX5" s="56" t="s">
        <v>183</v>
      </c>
      <c r="AY5" s="56" t="s">
        <v>184</v>
      </c>
      <c r="AZ5" s="56" t="s">
        <v>185</v>
      </c>
      <c r="BA5" s="56" t="s">
        <v>189</v>
      </c>
      <c r="BB5" s="56" t="s">
        <v>174</v>
      </c>
      <c r="BC5" s="56" t="s">
        <v>175</v>
      </c>
      <c r="BD5" s="56" t="s">
        <v>176</v>
      </c>
      <c r="BE5" s="56" t="s">
        <v>177</v>
      </c>
      <c r="BF5" s="56" t="s">
        <v>178</v>
      </c>
      <c r="BG5" s="56" t="s">
        <v>179</v>
      </c>
      <c r="BH5" s="56" t="s">
        <v>180</v>
      </c>
      <c r="BI5" s="56" t="s">
        <v>181</v>
      </c>
      <c r="BJ5" s="56" t="s">
        <v>182</v>
      </c>
      <c r="BK5" s="56" t="s">
        <v>183</v>
      </c>
      <c r="BL5" s="56" t="s">
        <v>184</v>
      </c>
      <c r="BM5" s="56" t="s">
        <v>185</v>
      </c>
      <c r="BN5" s="56" t="s">
        <v>190</v>
      </c>
    </row>
    <row r="6" customFormat="false" ht="19.5" hidden="false" customHeight="true" outlineLevel="0" collapsed="false">
      <c r="A6" s="57" t="s">
        <v>283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</row>
    <row r="7" customFormat="false" ht="15.75" hidden="false" customHeight="true" outlineLevel="0" collapsed="false">
      <c r="A7" s="49" t="s">
        <v>284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</row>
    <row r="8" customFormat="false" ht="18" hidden="false" customHeight="true" outlineLevel="0" collapsed="false">
      <c r="A8" s="74" t="s">
        <v>285</v>
      </c>
      <c r="B8" s="94" t="n">
        <f aca="false">IFERROR('CASH FLOW'!B25,0)</f>
        <v>519791.666666667</v>
      </c>
      <c r="C8" s="94" t="n">
        <f aca="false">IFERROR('CASH FLOW'!C25,0)</f>
        <v>493911.833333333</v>
      </c>
      <c r="D8" s="94" t="n">
        <f aca="false">IFERROR('CASH FLOW'!D25,0)</f>
        <v>470170.92</v>
      </c>
      <c r="E8" s="94" t="n">
        <f aca="false">IFERROR('CASH FLOW'!E25,0)</f>
        <v>429257.346666667</v>
      </c>
      <c r="F8" s="94" t="n">
        <f aca="false">IFERROR('CASH FLOW'!F25,0)</f>
        <v>391481.68</v>
      </c>
      <c r="G8" s="94" t="n">
        <f aca="false">IFERROR('CASH FLOW'!G25,0)</f>
        <v>1857232.82</v>
      </c>
      <c r="H8" s="94" t="n">
        <f aca="false">IFERROR('CASH FLOW'!H25,0)</f>
        <v>1790732.83333333</v>
      </c>
      <c r="I8" s="94" t="n">
        <f aca="false">IFERROR('CASH FLOW'!I25,0)</f>
        <v>1729130.62</v>
      </c>
      <c r="J8" s="94" t="n">
        <f aca="false">IFERROR('CASH FLOW'!J25,0)</f>
        <v>1672900.87333333</v>
      </c>
      <c r="K8" s="94" t="n">
        <f aca="false">IFERROR('CASH FLOW'!K25,0)</f>
        <v>1602802.62</v>
      </c>
      <c r="L8" s="94" t="n">
        <f aca="false">IFERROR('CASH FLOW'!L25,0)</f>
        <v>1539746.38666667</v>
      </c>
      <c r="M8" s="94" t="n">
        <f aca="false">IFERROR('CASH FLOW'!M25,0)</f>
        <v>1484546.34666667</v>
      </c>
      <c r="N8" s="103" t="n">
        <f aca="false">M8</f>
        <v>1484546.34666667</v>
      </c>
      <c r="O8" s="94" t="n">
        <f aca="false">IFERROR('CASH FLOW'!O25,0)</f>
        <v>1422551.15333333</v>
      </c>
      <c r="P8" s="94" t="n">
        <f aca="false">IFERROR('CASH FLOW'!P25,0)</f>
        <v>1370841.94</v>
      </c>
      <c r="Q8" s="94" t="n">
        <f aca="false">IFERROR('CASH FLOW'!Q25,0)</f>
        <v>1331011.82</v>
      </c>
      <c r="R8" s="94" t="n">
        <f aca="false">IFERROR('CASH FLOW'!R25,0)</f>
        <v>1304798.57333333</v>
      </c>
      <c r="S8" s="94" t="n">
        <f aca="false">IFERROR('CASH FLOW'!S25,0)</f>
        <v>1293953.44</v>
      </c>
      <c r="T8" s="94" t="n">
        <f aca="false">IFERROR('CASH FLOW'!T25,0)</f>
        <v>4300766.47333333</v>
      </c>
      <c r="U8" s="94" t="n">
        <f aca="false">IFERROR('CASH FLOW'!U25,0)</f>
        <v>4327618.35333333</v>
      </c>
      <c r="V8" s="94" t="n">
        <f aca="false">IFERROR('CASH FLOW'!V25,0)</f>
        <v>4377206.42666667</v>
      </c>
      <c r="W8" s="94" t="n">
        <f aca="false">IFERROR('CASH FLOW'!W25,0)</f>
        <v>4452807.64666667</v>
      </c>
      <c r="X8" s="94" t="n">
        <f aca="false">IFERROR('CASH FLOW'!X25,0)</f>
        <v>4558332.92666667</v>
      </c>
      <c r="Y8" s="94" t="n">
        <f aca="false">IFERROR('CASH FLOW'!Y25,0)</f>
        <v>4698077.97333333</v>
      </c>
      <c r="Z8" s="94" t="n">
        <f aca="false">IFERROR('CASH FLOW'!Z25,0)</f>
        <v>4876922.62</v>
      </c>
      <c r="AA8" s="103" t="n">
        <f aca="false">Z8</f>
        <v>4876922.62</v>
      </c>
      <c r="AB8" s="94" t="n">
        <f aca="false">IFERROR('CASH FLOW'!AB25,0)</f>
        <v>5100674.82666667</v>
      </c>
      <c r="AC8" s="94" t="n">
        <f aca="false">IFERROR('CASH FLOW'!AC25,0)</f>
        <v>5375817.30666667</v>
      </c>
      <c r="AD8" s="94" t="n">
        <f aca="false">IFERROR('CASH FLOW'!AD25,0)</f>
        <v>5709760.9</v>
      </c>
      <c r="AE8" s="94" t="n">
        <f aca="false">IFERROR('CASH FLOW'!AE25,0)</f>
        <v>6110862.86666667</v>
      </c>
      <c r="AF8" s="94" t="n">
        <f aca="false">IFERROR('CASH FLOW'!AF25,0)</f>
        <v>6588703.07333333</v>
      </c>
      <c r="AG8" s="94" t="n">
        <f aca="false">IFERROR('CASH FLOW'!AG25,0)</f>
        <v>7154400.97333334</v>
      </c>
      <c r="AH8" s="94" t="n">
        <f aca="false">IFERROR('CASH FLOW'!AH25,0)</f>
        <v>7820411.75333334</v>
      </c>
      <c r="AI8" s="94" t="n">
        <f aca="false">IFERROR('CASH FLOW'!AI25,0)</f>
        <v>8601201.5</v>
      </c>
      <c r="AJ8" s="94" t="n">
        <f aca="false">IFERROR('CASH FLOW'!AJ25,0)</f>
        <v>9513468.72</v>
      </c>
      <c r="AK8" s="94" t="n">
        <f aca="false">IFERROR('CASH FLOW'!AK25,0)</f>
        <v>10576357.4466667</v>
      </c>
      <c r="AL8" s="94" t="n">
        <f aca="false">IFERROR('CASH FLOW'!AL25,0)</f>
        <v>11811783.26</v>
      </c>
      <c r="AM8" s="94" t="n">
        <f aca="false">IFERROR('CASH FLOW'!AM25,0)</f>
        <v>13244750.2666667</v>
      </c>
      <c r="AN8" s="103" t="n">
        <f aca="false">AM8</f>
        <v>13244750.2666667</v>
      </c>
      <c r="AO8" s="94" t="n">
        <f aca="false">IFERROR('CASH FLOW'!AO25,0)</f>
        <v>14904166.4133333</v>
      </c>
      <c r="AP8" s="94" t="n">
        <f aca="false">IFERROR('CASH FLOW'!AP25,0)</f>
        <v>16822988.4666667</v>
      </c>
      <c r="AQ8" s="94" t="n">
        <f aca="false">IFERROR('CASH FLOW'!AQ25,0)</f>
        <v>19038742.8466667</v>
      </c>
      <c r="AR8" s="94" t="n">
        <f aca="false">IFERROR('CASH FLOW'!AR25,0)</f>
        <v>21594911.6066667</v>
      </c>
      <c r="AS8" s="94" t="n">
        <f aca="false">IFERROR('CASH FLOW'!AS25,0)</f>
        <v>24541172.56</v>
      </c>
      <c r="AT8" s="94" t="n">
        <f aca="false">IFERROR('CASH FLOW'!AT25,0)</f>
        <v>27934440.9466667</v>
      </c>
      <c r="AU8" s="94" t="n">
        <f aca="false">IFERROR('CASH FLOW'!AU25,0)</f>
        <v>31840328.06</v>
      </c>
      <c r="AV8" s="94" t="n">
        <f aca="false">IFERROR('CASH FLOW'!AV25,0)</f>
        <v>36333929.2266667</v>
      </c>
      <c r="AW8" s="94" t="n">
        <f aca="false">IFERROR('CASH FLOW'!AW25,0)</f>
        <v>41501454.4333333</v>
      </c>
      <c r="AX8" s="94" t="n">
        <f aca="false">IFERROR('CASH FLOW'!AX25,0)</f>
        <v>47442035.7866667</v>
      </c>
      <c r="AY8" s="94" t="n">
        <f aca="false">IFERROR('CASH FLOW'!AY25,0)</f>
        <v>54269312.8266667</v>
      </c>
      <c r="AZ8" s="94" t="n">
        <f aca="false">IFERROR('CASH FLOW'!AZ25,0)</f>
        <v>62113960.1533333</v>
      </c>
      <c r="BA8" s="71" t="n">
        <f aca="false">AZ8</f>
        <v>62113960.1533333</v>
      </c>
      <c r="BB8" s="94" t="n">
        <f aca="false">IFERROR('CASH FLOW'!BB25,0)</f>
        <v>71125961.0533333</v>
      </c>
      <c r="BC8" s="94" t="n">
        <f aca="false">IFERROR('CASH FLOW'!BC25,0)</f>
        <v>81477701.5866667</v>
      </c>
      <c r="BD8" s="94" t="n">
        <f aca="false">IFERROR('CASH FLOW'!BD25,0)</f>
        <v>93366575.0666667</v>
      </c>
      <c r="BE8" s="94" t="n">
        <f aca="false">IFERROR('CASH FLOW'!BE25,0)</f>
        <v>107019466.333333</v>
      </c>
      <c r="BF8" s="94" t="n">
        <f aca="false">IFERROR('CASH FLOW'!BF25,0)</f>
        <v>122697059.82</v>
      </c>
      <c r="BG8" s="94" t="n">
        <f aca="false">IFERROR('CASH FLOW'!BG25,0)</f>
        <v>140698876.513333</v>
      </c>
      <c r="BH8" s="94" t="n">
        <f aca="false">IFERROR('CASH FLOW'!BH25,0)</f>
        <v>161368651.02</v>
      </c>
      <c r="BI8" s="94" t="n">
        <f aca="false">IFERROR('CASH FLOW'!BI25,0)</f>
        <v>185101307.506667</v>
      </c>
      <c r="BJ8" s="94" t="n">
        <f aca="false">IFERROR('CASH FLOW'!BJ25,0)</f>
        <v>212350519.766667</v>
      </c>
      <c r="BK8" s="94" t="n">
        <f aca="false">IFERROR('CASH FLOW'!BK25,0)</f>
        <v>243637218.746667</v>
      </c>
      <c r="BL8" s="94" t="n">
        <f aca="false">IFERROR('CASH FLOW'!BL25,0)</f>
        <v>279559947.486667</v>
      </c>
      <c r="BM8" s="94" t="n">
        <f aca="false">IFERROR('CASH FLOW'!BM25,0)</f>
        <v>320806145.44</v>
      </c>
      <c r="BN8" s="71" t="n">
        <f aca="false">BM8</f>
        <v>320806145.44</v>
      </c>
    </row>
    <row r="9" customFormat="false" ht="18" hidden="false" customHeight="true" outlineLevel="0" collapsed="false">
      <c r="A9" s="72" t="s">
        <v>286</v>
      </c>
      <c r="B9" s="73" t="n">
        <f aca="false">IFERROR('P&amp;L'!B10*ASSUMPTIONS!$B$84/30,0)</f>
        <v>3958.33333333333</v>
      </c>
      <c r="C9" s="73" t="n">
        <f aca="false">IFERROR('P&amp;L'!C10*ASSUMPTIONS!$B$84/30,0)</f>
        <v>4004.66666666667</v>
      </c>
      <c r="D9" s="73" t="n">
        <f aca="false">IFERROR('P&amp;L'!D10*ASSUMPTIONS!$B$84/30,0)</f>
        <v>4435.5</v>
      </c>
      <c r="E9" s="73" t="n">
        <f aca="false">IFERROR('P&amp;L'!E10*ASSUMPTIONS!$B$84/30,0)</f>
        <v>4955.33333333333</v>
      </c>
      <c r="F9" s="73" t="n">
        <f aca="false">IFERROR('P&amp;L'!F10*ASSUMPTIONS!$B$84/30,0)</f>
        <v>5547.5</v>
      </c>
      <c r="G9" s="73" t="n">
        <f aca="false">IFERROR('P&amp;L'!G10*ASSUMPTIONS!$B$84/30,0)</f>
        <v>6212</v>
      </c>
      <c r="H9" s="73" t="n">
        <f aca="false">IFERROR('P&amp;L'!H10*ASSUMPTIONS!$B$84/30,0)</f>
        <v>6998.66666666667</v>
      </c>
      <c r="I9" s="73" t="n">
        <f aca="false">IFERROR('P&amp;L'!I10*ASSUMPTIONS!$B$84/30,0)</f>
        <v>7916.5</v>
      </c>
      <c r="J9" s="73" t="n">
        <f aca="false">IFERROR('P&amp;L'!J10*ASSUMPTIONS!$B$84/30,0)</f>
        <v>8915.66666666667</v>
      </c>
      <c r="K9" s="73" t="n">
        <f aca="false">IFERROR('P&amp;L'!K10*ASSUMPTIONS!$B$84/30,0)</f>
        <v>10046</v>
      </c>
      <c r="L9" s="73" t="n">
        <f aca="false">IFERROR('P&amp;L'!L10*ASSUMPTIONS!$B$84/30,0)</f>
        <v>11361.8333333333</v>
      </c>
      <c r="M9" s="73" t="n">
        <f aca="false">IFERROR('P&amp;L'!M10*ASSUMPTIONS!$B$84/30,0)</f>
        <v>12817.8333333333</v>
      </c>
      <c r="N9" s="70" t="n">
        <f aca="false">M9</f>
        <v>12817.8333333333</v>
      </c>
      <c r="O9" s="73" t="n">
        <f aca="false">IFERROR('P&amp;L'!O10*ASSUMPTIONS!$B$84/30,0)</f>
        <v>14518.1666666667</v>
      </c>
      <c r="P9" s="73" t="n">
        <f aca="false">IFERROR('P&amp;L'!P10*ASSUMPTIONS!$B$84/30,0)</f>
        <v>16417.5</v>
      </c>
      <c r="Q9" s="73" t="n">
        <f aca="false">IFERROR('P&amp;L'!Q10*ASSUMPTIONS!$B$84/30,0)</f>
        <v>18615.5</v>
      </c>
      <c r="R9" s="73" t="n">
        <f aca="false">IFERROR('P&amp;L'!R10*ASSUMPTIONS!$B$84/30,0)</f>
        <v>21121.1666666667</v>
      </c>
      <c r="S9" s="73" t="n">
        <f aca="false">IFERROR('P&amp;L'!S10*ASSUMPTIONS!$B$84/30,0)</f>
        <v>23939</v>
      </c>
      <c r="T9" s="73" t="n">
        <f aca="false">IFERROR('P&amp;L'!T10*ASSUMPTIONS!$B$84/30,0)</f>
        <v>27177.6666666667</v>
      </c>
      <c r="U9" s="73" t="n">
        <f aca="false">IFERROR('P&amp;L'!U10*ASSUMPTIONS!$B$84/30,0)</f>
        <v>30837.1666666667</v>
      </c>
      <c r="V9" s="73" t="n">
        <f aca="false">IFERROR('P&amp;L'!V10*ASSUMPTIONS!$B$84/30,0)</f>
        <v>34980.8333333333</v>
      </c>
      <c r="W9" s="73" t="n">
        <f aca="false">IFERROR('P&amp;L'!W10*ASSUMPTIONS!$B$84/30,0)</f>
        <v>39717.3333333333</v>
      </c>
      <c r="X9" s="73" t="n">
        <f aca="false">IFERROR('P&amp;L'!X10*ASSUMPTIONS!$B$84/30,0)</f>
        <v>45155.3333333333</v>
      </c>
      <c r="Y9" s="73" t="n">
        <f aca="false">IFERROR('P&amp;L'!Y10*ASSUMPTIONS!$B$84/30,0)</f>
        <v>51353.6666666667</v>
      </c>
      <c r="Z9" s="73" t="n">
        <f aca="false">IFERROR('P&amp;L'!Z10*ASSUMPTIONS!$B$84/30,0)</f>
        <v>58421</v>
      </c>
      <c r="AA9" s="70" t="n">
        <f aca="false">Z9</f>
        <v>58421</v>
      </c>
      <c r="AB9" s="73" t="n">
        <f aca="false">IFERROR('P&amp;L'!AB10*ASSUMPTIONS!$B$84/30,0)</f>
        <v>66524.8333333333</v>
      </c>
      <c r="AC9" s="73" t="n">
        <f aca="false">IFERROR('P&amp;L'!AC10*ASSUMPTIONS!$B$84/30,0)</f>
        <v>75773.8333333333</v>
      </c>
      <c r="AD9" s="73" t="n">
        <f aca="false">IFERROR('P&amp;L'!AD10*ASSUMPTIONS!$B$84/30,0)</f>
        <v>86335.5</v>
      </c>
      <c r="AE9" s="73" t="n">
        <f aca="false">IFERROR('P&amp;L'!AE10*ASSUMPTIONS!$B$84/30,0)</f>
        <v>98372.8333333333</v>
      </c>
      <c r="AF9" s="73" t="n">
        <f aca="false">IFERROR('P&amp;L'!AF10*ASSUMPTIONS!$B$84/30,0)</f>
        <v>112103.166666667</v>
      </c>
      <c r="AG9" s="73" t="n">
        <f aca="false">IFERROR('P&amp;L'!AG10*ASSUMPTIONS!$B$84/30,0)</f>
        <v>127798.166666667</v>
      </c>
      <c r="AH9" s="73" t="n">
        <f aca="false">IFERROR('P&amp;L'!AH10*ASSUMPTIONS!$B$84/30,0)</f>
        <v>145679.666666667</v>
      </c>
      <c r="AI9" s="73" t="n">
        <f aca="false">IFERROR('P&amp;L'!AI10*ASSUMPTIONS!$B$84/30,0)</f>
        <v>166114.5</v>
      </c>
      <c r="AJ9" s="73" t="n">
        <f aca="false">IFERROR('P&amp;L'!AJ10*ASSUMPTIONS!$B$84/30,0)</f>
        <v>189483</v>
      </c>
      <c r="AK9" s="73" t="n">
        <f aca="false">IFERROR('P&amp;L'!AK10*ASSUMPTIONS!$B$84/30,0)</f>
        <v>216210.833333333</v>
      </c>
      <c r="AL9" s="73" t="n">
        <f aca="false">IFERROR('P&amp;L'!AL10*ASSUMPTIONS!$B$84/30,0)</f>
        <v>246778</v>
      </c>
      <c r="AM9" s="73" t="n">
        <f aca="false">IFERROR('P&amp;L'!AM10*ASSUMPTIONS!$B$84/30,0)</f>
        <v>281718.833333333</v>
      </c>
      <c r="AN9" s="70" t="n">
        <f aca="false">AM9</f>
        <v>281718.833333333</v>
      </c>
      <c r="AO9" s="73" t="n">
        <f aca="false">IFERROR('P&amp;L'!AO10*ASSUMPTIONS!$B$84/30,0)</f>
        <v>321721.666666667</v>
      </c>
      <c r="AP9" s="73" t="n">
        <f aca="false">IFERROR('P&amp;L'!AP10*ASSUMPTIONS!$B$84/30,0)</f>
        <v>367474.833333333</v>
      </c>
      <c r="AQ9" s="73" t="n">
        <f aca="false">IFERROR('P&amp;L'!AQ10*ASSUMPTIONS!$B$84/30,0)</f>
        <v>419770.833333333</v>
      </c>
      <c r="AR9" s="73" t="n">
        <f aca="false">IFERROR('P&amp;L'!AR10*ASSUMPTIONS!$B$84/30,0)</f>
        <v>479660.333333333</v>
      </c>
      <c r="AS9" s="73" t="n">
        <f aca="false">IFERROR('P&amp;L'!AS10*ASSUMPTIONS!$B$84/30,0)</f>
        <v>548194</v>
      </c>
      <c r="AT9" s="73" t="n">
        <f aca="false">IFERROR('P&amp;L'!AT10*ASSUMPTIONS!$B$84/30,0)</f>
        <v>626630.833333333</v>
      </c>
      <c r="AU9" s="73" t="n">
        <f aca="false">IFERROR('P&amp;L'!AU10*ASSUMPTIONS!$B$84/30,0)</f>
        <v>716483.5</v>
      </c>
      <c r="AV9" s="73" t="n">
        <f aca="false">IFERROR('P&amp;L'!AV10*ASSUMPTIONS!$B$84/30,0)</f>
        <v>819373.333333333</v>
      </c>
      <c r="AW9" s="73" t="n">
        <f aca="false">IFERROR('P&amp;L'!AW10*ASSUMPTIONS!$B$84/30,0)</f>
        <v>937229.666666667</v>
      </c>
      <c r="AX9" s="73" t="n">
        <f aca="false">IFERROR('P&amp;L'!AX10*ASSUMPTIONS!$B$84/30,0)</f>
        <v>1072285.33333333</v>
      </c>
      <c r="AY9" s="73" t="n">
        <f aca="false">IFERROR('P&amp;L'!AY10*ASSUMPTIONS!$B$84/30,0)</f>
        <v>1227031.33333333</v>
      </c>
      <c r="AZ9" s="73" t="n">
        <f aca="false">IFERROR('P&amp;L'!AZ10*ASSUMPTIONS!$B$84/30,0)</f>
        <v>1404416.16666667</v>
      </c>
      <c r="BA9" s="71" t="n">
        <f aca="false">AZ9</f>
        <v>1404416.16666667</v>
      </c>
      <c r="BB9" s="73" t="n">
        <f aca="false">IFERROR('P&amp;L'!BB10*ASSUMPTIONS!$B$84/30,0)</f>
        <v>1607755.16666667</v>
      </c>
      <c r="BC9" s="73" t="n">
        <f aca="false">IFERROR('P&amp;L'!BC10*ASSUMPTIONS!$B$84/30,0)</f>
        <v>1840916.33333333</v>
      </c>
      <c r="BD9" s="73" t="n">
        <f aca="false">IFERROR('P&amp;L'!BD10*ASSUMPTIONS!$B$84/30,0)</f>
        <v>2108179.83333333</v>
      </c>
      <c r="BE9" s="73" t="n">
        <f aca="false">IFERROR('P&amp;L'!BE10*ASSUMPTIONS!$B$84/30,0)</f>
        <v>2414645.66666667</v>
      </c>
      <c r="BF9" s="73" t="n">
        <f aca="false">IFERROR('P&amp;L'!BF10*ASSUMPTIONS!$B$84/30,0)</f>
        <v>2766120.5</v>
      </c>
      <c r="BG9" s="73" t="n">
        <f aca="false">IFERROR('P&amp;L'!BG10*ASSUMPTIONS!$B$84/30,0)</f>
        <v>3169280.66666667</v>
      </c>
      <c r="BH9" s="73" t="n">
        <f aca="false">IFERROR('P&amp;L'!BH10*ASSUMPTIONS!$B$84/30,0)</f>
        <v>3631713</v>
      </c>
      <c r="BI9" s="73" t="n">
        <f aca="false">IFERROR('P&amp;L'!BI10*ASSUMPTIONS!$B$84/30,0)</f>
        <v>4162222.83333333</v>
      </c>
      <c r="BJ9" s="73" t="n">
        <f aca="false">IFERROR('P&amp;L'!BJ10*ASSUMPTIONS!$B$84/30,0)</f>
        <v>4770892.83333333</v>
      </c>
      <c r="BK9" s="73" t="n">
        <f aca="false">IFERROR('P&amp;L'!BK10*ASSUMPTIONS!$B$84/30,0)</f>
        <v>5469264.33333333</v>
      </c>
      <c r="BL9" s="73" t="n">
        <f aca="false">IFERROR('P&amp;L'!BL10*ASSUMPTIONS!$B$84/30,0)</f>
        <v>6270663.33333333</v>
      </c>
      <c r="BM9" s="73" t="n">
        <f aca="false">IFERROR('P&amp;L'!BM10*ASSUMPTIONS!$B$84/30,0)</f>
        <v>7190332</v>
      </c>
      <c r="BN9" s="71" t="n">
        <f aca="false">BM9</f>
        <v>7190332</v>
      </c>
    </row>
    <row r="10" customFormat="false" ht="18" hidden="false" customHeight="true" outlineLevel="0" collapsed="false">
      <c r="A10" s="75" t="s">
        <v>287</v>
      </c>
      <c r="B10" s="76" t="n">
        <f aca="false">IFERROR(B8+B9,0)</f>
        <v>523750</v>
      </c>
      <c r="C10" s="76" t="n">
        <f aca="false">IFERROR(C8+C9,0)</f>
        <v>497916.5</v>
      </c>
      <c r="D10" s="76" t="n">
        <f aca="false">IFERROR(D8+D9,0)</f>
        <v>474606.42</v>
      </c>
      <c r="E10" s="76" t="n">
        <f aca="false">IFERROR(E8+E9,0)</f>
        <v>434212.68</v>
      </c>
      <c r="F10" s="76" t="n">
        <f aca="false">IFERROR(F8+F9,0)</f>
        <v>397029.18</v>
      </c>
      <c r="G10" s="76" t="n">
        <f aca="false">IFERROR(G8+G9,0)</f>
        <v>1863444.82</v>
      </c>
      <c r="H10" s="76" t="n">
        <f aca="false">IFERROR(H8+H9,0)</f>
        <v>1797731.5</v>
      </c>
      <c r="I10" s="76" t="n">
        <f aca="false">IFERROR(I8+I9,0)</f>
        <v>1737047.12</v>
      </c>
      <c r="J10" s="76" t="n">
        <f aca="false">IFERROR(J8+J9,0)</f>
        <v>1681816.54</v>
      </c>
      <c r="K10" s="76" t="n">
        <f aca="false">IFERROR(K8+K9,0)</f>
        <v>1612848.62</v>
      </c>
      <c r="L10" s="76" t="n">
        <f aca="false">IFERROR(L8+L9,0)</f>
        <v>1551108.22</v>
      </c>
      <c r="M10" s="76" t="n">
        <f aca="false">IFERROR(M8+M9,0)</f>
        <v>1497364.18</v>
      </c>
      <c r="N10" s="76" t="n">
        <f aca="false">M10</f>
        <v>1497364.18</v>
      </c>
      <c r="O10" s="76" t="n">
        <f aca="false">IFERROR(O8+O9,0)</f>
        <v>1437069.32</v>
      </c>
      <c r="P10" s="76" t="n">
        <f aca="false">IFERROR(P8+P9,0)</f>
        <v>1387259.44</v>
      </c>
      <c r="Q10" s="76" t="n">
        <f aca="false">IFERROR(Q8+Q9,0)</f>
        <v>1349627.32</v>
      </c>
      <c r="R10" s="76" t="n">
        <f aca="false">IFERROR(R8+R9,0)</f>
        <v>1325919.74</v>
      </c>
      <c r="S10" s="76" t="n">
        <f aca="false">IFERROR(S8+S9,0)</f>
        <v>1317892.44</v>
      </c>
      <c r="T10" s="76" t="n">
        <f aca="false">IFERROR(T8+T9,0)</f>
        <v>4327944.14</v>
      </c>
      <c r="U10" s="76" t="n">
        <f aca="false">IFERROR(U8+U9,0)</f>
        <v>4358455.52</v>
      </c>
      <c r="V10" s="76" t="n">
        <f aca="false">IFERROR(V8+V9,0)</f>
        <v>4412187.26</v>
      </c>
      <c r="W10" s="76" t="n">
        <f aca="false">IFERROR(W8+W9,0)</f>
        <v>4492524.98</v>
      </c>
      <c r="X10" s="76" t="n">
        <f aca="false">IFERROR(X8+X9,0)</f>
        <v>4603488.26</v>
      </c>
      <c r="Y10" s="76" t="n">
        <f aca="false">IFERROR(Y8+Y9,0)</f>
        <v>4749431.64</v>
      </c>
      <c r="Z10" s="76" t="n">
        <f aca="false">IFERROR(Z8+Z9,0)</f>
        <v>4935343.62</v>
      </c>
      <c r="AA10" s="76" t="n">
        <f aca="false">Z10</f>
        <v>4935343.62</v>
      </c>
      <c r="AB10" s="76" t="n">
        <f aca="false">IFERROR(AB8+AB9,0)</f>
        <v>5167199.66</v>
      </c>
      <c r="AC10" s="76" t="n">
        <f aca="false">IFERROR(AC8+AC9,0)</f>
        <v>5451591.14</v>
      </c>
      <c r="AD10" s="76" t="n">
        <f aca="false">IFERROR(AD8+AD9,0)</f>
        <v>5796096.4</v>
      </c>
      <c r="AE10" s="76" t="n">
        <f aca="false">IFERROR(AE8+AE9,0)</f>
        <v>6209235.7</v>
      </c>
      <c r="AF10" s="76" t="n">
        <f aca="false">IFERROR(AF8+AF9,0)</f>
        <v>6700806.24</v>
      </c>
      <c r="AG10" s="76" t="n">
        <f aca="false">IFERROR(AG8+AG9,0)</f>
        <v>7282199.14</v>
      </c>
      <c r="AH10" s="76" t="n">
        <f aca="false">IFERROR(AH8+AH9,0)</f>
        <v>7966091.42</v>
      </c>
      <c r="AI10" s="76" t="n">
        <f aca="false">IFERROR(AI8+AI9,0)</f>
        <v>8767316</v>
      </c>
      <c r="AJ10" s="76" t="n">
        <f aca="false">IFERROR(AJ8+AJ9,0)</f>
        <v>9702951.72</v>
      </c>
      <c r="AK10" s="76" t="n">
        <f aca="false">IFERROR(AK8+AK9,0)</f>
        <v>10792568.28</v>
      </c>
      <c r="AL10" s="76" t="n">
        <f aca="false">IFERROR(AL8+AL9,0)</f>
        <v>12058561.26</v>
      </c>
      <c r="AM10" s="76" t="n">
        <f aca="false">IFERROR(AM8+AM9,0)</f>
        <v>13526469.1</v>
      </c>
      <c r="AN10" s="76" t="n">
        <f aca="false">AM10</f>
        <v>13526469.1</v>
      </c>
      <c r="AO10" s="76" t="n">
        <f aca="false">IFERROR(AO8+AO9,0)</f>
        <v>15225888.08</v>
      </c>
      <c r="AP10" s="76" t="n">
        <f aca="false">IFERROR(AP8+AP9,0)</f>
        <v>17190463.3</v>
      </c>
      <c r="AQ10" s="76" t="n">
        <f aca="false">IFERROR(AQ8+AQ9,0)</f>
        <v>19458513.68</v>
      </c>
      <c r="AR10" s="76" t="n">
        <f aca="false">IFERROR(AR8+AR9,0)</f>
        <v>22074571.94</v>
      </c>
      <c r="AS10" s="76" t="n">
        <f aca="false">IFERROR(AS8+AS9,0)</f>
        <v>25089366.56</v>
      </c>
      <c r="AT10" s="76" t="n">
        <f aca="false">IFERROR(AT8+AT9,0)</f>
        <v>28561071.78</v>
      </c>
      <c r="AU10" s="76" t="n">
        <f aca="false">IFERROR(AU8+AU9,0)</f>
        <v>32556811.56</v>
      </c>
      <c r="AV10" s="76" t="n">
        <f aca="false">IFERROR(AV8+AV9,0)</f>
        <v>37153302.56</v>
      </c>
      <c r="AW10" s="76" t="n">
        <f aca="false">IFERROR(AW8+AW9,0)</f>
        <v>42438684.1</v>
      </c>
      <c r="AX10" s="76" t="n">
        <f aca="false">IFERROR(AX8+AX9,0)</f>
        <v>48514321.12</v>
      </c>
      <c r="AY10" s="76" t="n">
        <f aca="false">IFERROR(AY8+AY9,0)</f>
        <v>55496344.16</v>
      </c>
      <c r="AZ10" s="76" t="n">
        <f aca="false">IFERROR(AZ8+AZ9,0)</f>
        <v>63518376.32</v>
      </c>
      <c r="BA10" s="77" t="n">
        <f aca="false">AZ10</f>
        <v>63518376.32</v>
      </c>
      <c r="BB10" s="76" t="n">
        <f aca="false">IFERROR(BB8+BB9,0)</f>
        <v>72733716.22</v>
      </c>
      <c r="BC10" s="76" t="n">
        <f aca="false">IFERROR(BC8+BC9,0)</f>
        <v>83318617.92</v>
      </c>
      <c r="BD10" s="76" t="n">
        <f aca="false">IFERROR(BD8+BD9,0)</f>
        <v>95474754.9</v>
      </c>
      <c r="BE10" s="76" t="n">
        <f aca="false">IFERROR(BE8+BE9,0)</f>
        <v>109434112</v>
      </c>
      <c r="BF10" s="76" t="n">
        <f aca="false">IFERROR(BF8+BF9,0)</f>
        <v>125463180.32</v>
      </c>
      <c r="BG10" s="76" t="n">
        <f aca="false">IFERROR(BG8+BG9,0)</f>
        <v>143868157.18</v>
      </c>
      <c r="BH10" s="76" t="n">
        <f aca="false">IFERROR(BH8+BH9,0)</f>
        <v>165000364.02</v>
      </c>
      <c r="BI10" s="76" t="n">
        <f aca="false">IFERROR(BI8+BI9,0)</f>
        <v>189263530.34</v>
      </c>
      <c r="BJ10" s="76" t="n">
        <f aca="false">IFERROR(BJ8+BJ9,0)</f>
        <v>217121412.6</v>
      </c>
      <c r="BK10" s="76" t="n">
        <f aca="false">IFERROR(BK8+BK9,0)</f>
        <v>249106483.08</v>
      </c>
      <c r="BL10" s="76" t="n">
        <f aca="false">IFERROR(BL8+BL9,0)</f>
        <v>285830610.82</v>
      </c>
      <c r="BM10" s="76" t="n">
        <f aca="false">IFERROR(BM8+BM9,0)</f>
        <v>327996477.44</v>
      </c>
      <c r="BN10" s="77" t="n">
        <f aca="false">BM10</f>
        <v>327996477.44</v>
      </c>
    </row>
    <row r="11" customFormat="false" ht="15.75" hidden="false" customHeight="true" outlineLevel="0" collapsed="false">
      <c r="A11" s="49" t="s">
        <v>288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</row>
    <row r="12" customFormat="false" ht="18" hidden="false" customHeight="true" outlineLevel="0" collapsed="false">
      <c r="A12" s="20" t="s">
        <v>289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117" t="n">
        <f aca="false">M12</f>
        <v>0</v>
      </c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117" t="n">
        <f aca="false">Z12</f>
        <v>0</v>
      </c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117" t="n">
        <f aca="false">AM12</f>
        <v>0</v>
      </c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111" t="n">
        <f aca="false">AZ12</f>
        <v>0</v>
      </c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111" t="n">
        <f aca="false">BM12</f>
        <v>0</v>
      </c>
    </row>
    <row r="13" customFormat="false" ht="18" hidden="false" customHeight="true" outlineLevel="0" collapsed="false">
      <c r="A13" s="75" t="s">
        <v>290</v>
      </c>
      <c r="B13" s="76" t="n">
        <f aca="false">IFERROR(B10+B12,0)</f>
        <v>523750</v>
      </c>
      <c r="C13" s="76" t="n">
        <f aca="false">IFERROR(C10+C12,0)</f>
        <v>497916.5</v>
      </c>
      <c r="D13" s="76" t="n">
        <f aca="false">IFERROR(D10+D12,0)</f>
        <v>474606.42</v>
      </c>
      <c r="E13" s="76" t="n">
        <f aca="false">IFERROR(E10+E12,0)</f>
        <v>434212.68</v>
      </c>
      <c r="F13" s="76" t="n">
        <f aca="false">IFERROR(F10+F12,0)</f>
        <v>397029.18</v>
      </c>
      <c r="G13" s="76" t="n">
        <f aca="false">IFERROR(G10+G12,0)</f>
        <v>1863444.82</v>
      </c>
      <c r="H13" s="76" t="n">
        <f aca="false">IFERROR(H10+H12,0)</f>
        <v>1797731.5</v>
      </c>
      <c r="I13" s="76" t="n">
        <f aca="false">IFERROR(I10+I12,0)</f>
        <v>1737047.12</v>
      </c>
      <c r="J13" s="76" t="n">
        <f aca="false">IFERROR(J10+J12,0)</f>
        <v>1681816.54</v>
      </c>
      <c r="K13" s="76" t="n">
        <f aca="false">IFERROR(K10+K12,0)</f>
        <v>1612848.62</v>
      </c>
      <c r="L13" s="76" t="n">
        <f aca="false">IFERROR(L10+L12,0)</f>
        <v>1551108.22</v>
      </c>
      <c r="M13" s="76" t="n">
        <f aca="false">IFERROR(M10+M12,0)</f>
        <v>1497364.18</v>
      </c>
      <c r="N13" s="76" t="n">
        <f aca="false">M13</f>
        <v>1497364.18</v>
      </c>
      <c r="O13" s="76" t="n">
        <f aca="false">IFERROR(O10+O12,0)</f>
        <v>1437069.32</v>
      </c>
      <c r="P13" s="76" t="n">
        <f aca="false">IFERROR(P10+P12,0)</f>
        <v>1387259.44</v>
      </c>
      <c r="Q13" s="76" t="n">
        <f aca="false">IFERROR(Q10+Q12,0)</f>
        <v>1349627.32</v>
      </c>
      <c r="R13" s="76" t="n">
        <f aca="false">IFERROR(R10+R12,0)</f>
        <v>1325919.74</v>
      </c>
      <c r="S13" s="76" t="n">
        <f aca="false">IFERROR(S10+S12,0)</f>
        <v>1317892.44</v>
      </c>
      <c r="T13" s="76" t="n">
        <f aca="false">IFERROR(T10+T12,0)</f>
        <v>4327944.14</v>
      </c>
      <c r="U13" s="76" t="n">
        <f aca="false">IFERROR(U10+U12,0)</f>
        <v>4358455.52</v>
      </c>
      <c r="V13" s="76" t="n">
        <f aca="false">IFERROR(V10+V12,0)</f>
        <v>4412187.26</v>
      </c>
      <c r="W13" s="76" t="n">
        <f aca="false">IFERROR(W10+W12,0)</f>
        <v>4492524.98</v>
      </c>
      <c r="X13" s="76" t="n">
        <f aca="false">IFERROR(X10+X12,0)</f>
        <v>4603488.26</v>
      </c>
      <c r="Y13" s="76" t="n">
        <f aca="false">IFERROR(Y10+Y12,0)</f>
        <v>4749431.64</v>
      </c>
      <c r="Z13" s="76" t="n">
        <f aca="false">IFERROR(Z10+Z12,0)</f>
        <v>4935343.62</v>
      </c>
      <c r="AA13" s="76" t="n">
        <f aca="false">Z13</f>
        <v>4935343.62</v>
      </c>
      <c r="AB13" s="76" t="n">
        <f aca="false">IFERROR(AB10+AB12,0)</f>
        <v>5167199.66</v>
      </c>
      <c r="AC13" s="76" t="n">
        <f aca="false">IFERROR(AC10+AC12,0)</f>
        <v>5451591.14</v>
      </c>
      <c r="AD13" s="76" t="n">
        <f aca="false">IFERROR(AD10+AD12,0)</f>
        <v>5796096.4</v>
      </c>
      <c r="AE13" s="76" t="n">
        <f aca="false">IFERROR(AE10+AE12,0)</f>
        <v>6209235.7</v>
      </c>
      <c r="AF13" s="76" t="n">
        <f aca="false">IFERROR(AF10+AF12,0)</f>
        <v>6700806.24</v>
      </c>
      <c r="AG13" s="76" t="n">
        <f aca="false">IFERROR(AG10+AG12,0)</f>
        <v>7282199.14</v>
      </c>
      <c r="AH13" s="76" t="n">
        <f aca="false">IFERROR(AH10+AH12,0)</f>
        <v>7966091.42</v>
      </c>
      <c r="AI13" s="76" t="n">
        <f aca="false">IFERROR(AI10+AI12,0)</f>
        <v>8767316</v>
      </c>
      <c r="AJ13" s="76" t="n">
        <f aca="false">IFERROR(AJ10+AJ12,0)</f>
        <v>9702951.72</v>
      </c>
      <c r="AK13" s="76" t="n">
        <f aca="false">IFERROR(AK10+AK12,0)</f>
        <v>10792568.28</v>
      </c>
      <c r="AL13" s="76" t="n">
        <f aca="false">IFERROR(AL10+AL12,0)</f>
        <v>12058561.26</v>
      </c>
      <c r="AM13" s="76" t="n">
        <f aca="false">IFERROR(AM10+AM12,0)</f>
        <v>13526469.1</v>
      </c>
      <c r="AN13" s="76" t="n">
        <f aca="false">AM13</f>
        <v>13526469.1</v>
      </c>
      <c r="AO13" s="76" t="n">
        <f aca="false">IFERROR(AO10+AO12,0)</f>
        <v>15225888.08</v>
      </c>
      <c r="AP13" s="76" t="n">
        <f aca="false">IFERROR(AP10+AP12,0)</f>
        <v>17190463.3</v>
      </c>
      <c r="AQ13" s="76" t="n">
        <f aca="false">IFERROR(AQ10+AQ12,0)</f>
        <v>19458513.68</v>
      </c>
      <c r="AR13" s="76" t="n">
        <f aca="false">IFERROR(AR10+AR12,0)</f>
        <v>22074571.94</v>
      </c>
      <c r="AS13" s="76" t="n">
        <f aca="false">IFERROR(AS10+AS12,0)</f>
        <v>25089366.56</v>
      </c>
      <c r="AT13" s="76" t="n">
        <f aca="false">IFERROR(AT10+AT12,0)</f>
        <v>28561071.78</v>
      </c>
      <c r="AU13" s="76" t="n">
        <f aca="false">IFERROR(AU10+AU12,0)</f>
        <v>32556811.56</v>
      </c>
      <c r="AV13" s="76" t="n">
        <f aca="false">IFERROR(AV10+AV12,0)</f>
        <v>37153302.56</v>
      </c>
      <c r="AW13" s="76" t="n">
        <f aca="false">IFERROR(AW10+AW12,0)</f>
        <v>42438684.1</v>
      </c>
      <c r="AX13" s="76" t="n">
        <f aca="false">IFERROR(AX10+AX12,0)</f>
        <v>48514321.12</v>
      </c>
      <c r="AY13" s="76" t="n">
        <f aca="false">IFERROR(AY10+AY12,0)</f>
        <v>55496344.16</v>
      </c>
      <c r="AZ13" s="76" t="n">
        <f aca="false">IFERROR(AZ10+AZ12,0)</f>
        <v>63518376.32</v>
      </c>
      <c r="BA13" s="77" t="n">
        <f aca="false">AZ13</f>
        <v>63518376.32</v>
      </c>
      <c r="BB13" s="76" t="n">
        <f aca="false">IFERROR(BB10+BB12,0)</f>
        <v>72733716.22</v>
      </c>
      <c r="BC13" s="76" t="n">
        <f aca="false">IFERROR(BC10+BC12,0)</f>
        <v>83318617.92</v>
      </c>
      <c r="BD13" s="76" t="n">
        <f aca="false">IFERROR(BD10+BD12,0)</f>
        <v>95474754.9</v>
      </c>
      <c r="BE13" s="76" t="n">
        <f aca="false">IFERROR(BE10+BE12,0)</f>
        <v>109434112</v>
      </c>
      <c r="BF13" s="76" t="n">
        <f aca="false">IFERROR(BF10+BF12,0)</f>
        <v>125463180.32</v>
      </c>
      <c r="BG13" s="76" t="n">
        <f aca="false">IFERROR(BG10+BG12,0)</f>
        <v>143868157.18</v>
      </c>
      <c r="BH13" s="76" t="n">
        <f aca="false">IFERROR(BH10+BH12,0)</f>
        <v>165000364.02</v>
      </c>
      <c r="BI13" s="76" t="n">
        <f aca="false">IFERROR(BI10+BI12,0)</f>
        <v>189263530.34</v>
      </c>
      <c r="BJ13" s="76" t="n">
        <f aca="false">IFERROR(BJ10+BJ12,0)</f>
        <v>217121412.6</v>
      </c>
      <c r="BK13" s="76" t="n">
        <f aca="false">IFERROR(BK10+BK12,0)</f>
        <v>249106483.08</v>
      </c>
      <c r="BL13" s="76" t="n">
        <f aca="false">IFERROR(BL10+BL12,0)</f>
        <v>285830610.82</v>
      </c>
      <c r="BM13" s="76" t="n">
        <f aca="false">IFERROR(BM10+BM12,0)</f>
        <v>327996477.44</v>
      </c>
      <c r="BN13" s="77" t="n">
        <f aca="false">BM13</f>
        <v>327996477.44</v>
      </c>
    </row>
    <row r="14" customFormat="false" ht="6" hidden="false" customHeight="tru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66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66"/>
    </row>
    <row r="15" customFormat="false" ht="19.5" hidden="false" customHeight="true" outlineLevel="0" collapsed="false">
      <c r="A15" s="89" t="s">
        <v>291</v>
      </c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89"/>
      <c r="BF15" s="89"/>
      <c r="BG15" s="89"/>
      <c r="BH15" s="89"/>
      <c r="BI15" s="89"/>
      <c r="BJ15" s="89"/>
      <c r="BK15" s="89"/>
      <c r="BL15" s="89"/>
      <c r="BM15" s="89"/>
      <c r="BN15" s="89"/>
    </row>
    <row r="16" customFormat="false" ht="18" hidden="false" customHeight="true" outlineLevel="0" collapsed="false">
      <c r="A16" s="74" t="s">
        <v>292</v>
      </c>
      <c r="B16" s="73" t="n">
        <f aca="false">IFERROR(('P&amp;L'!B13+'P&amp;L'!B31)*ASSUMPTIONS!$B$85/30,0)</f>
        <v>49861.5</v>
      </c>
      <c r="C16" s="73" t="n">
        <f aca="false">IFERROR(('P&amp;L'!C13+'P&amp;L'!C31)*ASSUMPTIONS!$B$85/30,0)</f>
        <v>49923.08</v>
      </c>
      <c r="D16" s="73" t="n">
        <f aca="false">IFERROR(('P&amp;L'!D13+'P&amp;L'!D31)*ASSUMPTIONS!$B$85/30,0)</f>
        <v>70125.74</v>
      </c>
      <c r="E16" s="73" t="n">
        <f aca="false">IFERROR(('P&amp;L'!E13+'P&amp;L'!E31)*ASSUMPTIONS!$B$85/30,0)</f>
        <v>70468.5</v>
      </c>
      <c r="F16" s="73" t="n">
        <f aca="false">IFERROR(('P&amp;L'!F13+'P&amp;L'!F31)*ASSUMPTIONS!$B$85/30,0)</f>
        <v>70856.36</v>
      </c>
      <c r="G16" s="73" t="n">
        <f aca="false">IFERROR(('P&amp;L'!G13+'P&amp;L'!G31)*ASSUMPTIONS!$B$85/30,0)</f>
        <v>107705.32</v>
      </c>
      <c r="H16" s="73" t="n">
        <f aca="false">IFERROR(('P&amp;L'!H13+'P&amp;L'!H31)*ASSUMPTIONS!$B$85/30,0)</f>
        <v>108183.38</v>
      </c>
      <c r="I16" s="73" t="n">
        <f aca="false">IFERROR(('P&amp;L'!I13+'P&amp;L'!I31)*ASSUMPTIONS!$B$85/30,0)</f>
        <v>108724.58</v>
      </c>
      <c r="J16" s="73" t="n">
        <f aca="false">IFERROR(('P&amp;L'!J13+'P&amp;L'!J31)*ASSUMPTIONS!$B$85/30,0)</f>
        <v>129243.92</v>
      </c>
      <c r="K16" s="73" t="n">
        <f aca="false">IFERROR(('P&amp;L'!K13+'P&amp;L'!K31)*ASSUMPTIONS!$B$85/30,0)</f>
        <v>129911.4</v>
      </c>
      <c r="L16" s="73" t="n">
        <f aca="false">IFERROR(('P&amp;L'!L13+'P&amp;L'!L31)*ASSUMPTIONS!$B$85/30,0)</f>
        <v>130651.04</v>
      </c>
      <c r="M16" s="73" t="n">
        <f aca="false">IFERROR(('P&amp;L'!M13+'P&amp;L'!M31)*ASSUMPTIONS!$B$85/30,0)</f>
        <v>147403.86</v>
      </c>
      <c r="N16" s="70" t="n">
        <f aca="false">M16</f>
        <v>147403.86</v>
      </c>
      <c r="O16" s="73" t="n">
        <f aca="false">IFERROR(('P&amp;L'!O13+'P&amp;L'!O31)*ASSUMPTIONS!$B$85/30,0)</f>
        <v>148314.88</v>
      </c>
      <c r="P16" s="73" t="n">
        <f aca="false">IFERROR(('P&amp;L'!P13+'P&amp;L'!P31)*ASSUMPTIONS!$B$85/30,0)</f>
        <v>149325.12</v>
      </c>
      <c r="Q16" s="73" t="n">
        <f aca="false">IFERROR(('P&amp;L'!Q13+'P&amp;L'!Q31)*ASSUMPTIONS!$B$85/30,0)</f>
        <v>150434.58</v>
      </c>
      <c r="R16" s="73" t="n">
        <f aca="false">IFERROR(('P&amp;L'!R13+'P&amp;L'!R31)*ASSUMPTIONS!$B$85/30,0)</f>
        <v>151661.3</v>
      </c>
      <c r="S16" s="73" t="n">
        <f aca="false">IFERROR(('P&amp;L'!S13+'P&amp;L'!S31)*ASSUMPTIONS!$B$85/30,0)</f>
        <v>153014.3</v>
      </c>
      <c r="T16" s="73" t="n">
        <f aca="false">IFERROR(('P&amp;L'!T13+'P&amp;L'!T31)*ASSUMPTIONS!$B$85/30,0)</f>
        <v>154511.62</v>
      </c>
      <c r="U16" s="73" t="n">
        <f aca="false">IFERROR(('P&amp;L'!U13+'P&amp;L'!U31)*ASSUMPTIONS!$B$85/30,0)</f>
        <v>156153.26</v>
      </c>
      <c r="V16" s="73" t="n">
        <f aca="false">IFERROR(('P&amp;L'!V13+'P&amp;L'!V31)*ASSUMPTIONS!$B$85/30,0)</f>
        <v>157966.28</v>
      </c>
      <c r="W16" s="73" t="n">
        <f aca="false">IFERROR(('P&amp;L'!W13+'P&amp;L'!W31)*ASSUMPTIONS!$B$85/30,0)</f>
        <v>159968.72</v>
      </c>
      <c r="X16" s="73" t="n">
        <f aca="false">IFERROR(('P&amp;L'!X13+'P&amp;L'!X31)*ASSUMPTIONS!$B$85/30,0)</f>
        <v>162178.62</v>
      </c>
      <c r="Y16" s="73" t="n">
        <f aca="false">IFERROR(('P&amp;L'!Y13+'P&amp;L'!Y31)*ASSUMPTIONS!$B$85/30,0)</f>
        <v>164614.02</v>
      </c>
      <c r="Z16" s="73" t="n">
        <f aca="false">IFERROR(('P&amp;L'!Z13+'P&amp;L'!Z31)*ASSUMPTIONS!$B$85/30,0)</f>
        <v>167292.96</v>
      </c>
      <c r="AA16" s="70" t="n">
        <f aca="false">Z16</f>
        <v>167292.96</v>
      </c>
      <c r="AB16" s="73" t="n">
        <f aca="false">IFERROR(('P&amp;L'!AB13+'P&amp;L'!AB31)*ASSUMPTIONS!$B$85/30,0)</f>
        <v>170251.52</v>
      </c>
      <c r="AC16" s="73" t="n">
        <f aca="false">IFERROR(('P&amp;L'!AC13+'P&amp;L'!AC31)*ASSUMPTIONS!$B$85/30,0)</f>
        <v>173507.74</v>
      </c>
      <c r="AD16" s="73" t="n">
        <f aca="false">IFERROR(('P&amp;L'!AD13+'P&amp;L'!AD31)*ASSUMPTIONS!$B$85/30,0)</f>
        <v>177097.7</v>
      </c>
      <c r="AE16" s="73" t="n">
        <f aca="false">IFERROR(('P&amp;L'!AE13+'P&amp;L'!AE31)*ASSUMPTIONS!$B$85/30,0)</f>
        <v>181048.46</v>
      </c>
      <c r="AF16" s="73" t="n">
        <f aca="false">IFERROR(('P&amp;L'!AF13+'P&amp;L'!AF31)*ASSUMPTIONS!$B$85/30,0)</f>
        <v>185396.1</v>
      </c>
      <c r="AG16" s="73" t="n">
        <f aca="false">IFERROR(('P&amp;L'!AG13+'P&amp;L'!AG31)*ASSUMPTIONS!$B$85/30,0)</f>
        <v>190185.72</v>
      </c>
      <c r="AH16" s="73" t="n">
        <f aca="false">IFERROR(('P&amp;L'!AH13+'P&amp;L'!AH31)*ASSUMPTIONS!$B$85/30,0)</f>
        <v>195462.42</v>
      </c>
      <c r="AI16" s="73" t="n">
        <f aca="false">IFERROR(('P&amp;L'!AI13+'P&amp;L'!AI31)*ASSUMPTIONS!$B$85/30,0)</f>
        <v>201262.28</v>
      </c>
      <c r="AJ16" s="73" t="n">
        <f aca="false">IFERROR(('P&amp;L'!AJ13+'P&amp;L'!AJ31)*ASSUMPTIONS!$B$85/30,0)</f>
        <v>207648.44</v>
      </c>
      <c r="AK16" s="73" t="n">
        <f aca="false">IFERROR(('P&amp;L'!AK13+'P&amp;L'!AK31)*ASSUMPTIONS!$B$85/30,0)</f>
        <v>214675.02</v>
      </c>
      <c r="AL16" s="73" t="n">
        <f aca="false">IFERROR(('P&amp;L'!AL13+'P&amp;L'!AL31)*ASSUMPTIONS!$B$85/30,0)</f>
        <v>222405.16</v>
      </c>
      <c r="AM16" s="73" t="n">
        <f aca="false">IFERROR(('P&amp;L'!AM13+'P&amp;L'!AM31)*ASSUMPTIONS!$B$85/30,0)</f>
        <v>230911.02</v>
      </c>
      <c r="AN16" s="70" t="n">
        <f aca="false">AM16</f>
        <v>230911.02</v>
      </c>
      <c r="AO16" s="73" t="n">
        <f aca="false">IFERROR(('P&amp;L'!AO13+'P&amp;L'!AO31)*ASSUMPTIONS!$B$85/30,0)</f>
        <v>240273.78</v>
      </c>
      <c r="AP16" s="73" t="n">
        <f aca="false">IFERROR(('P&amp;L'!AP13+'P&amp;L'!AP31)*ASSUMPTIONS!$B$85/30,0)</f>
        <v>250574.62</v>
      </c>
      <c r="AQ16" s="73" t="n">
        <f aca="false">IFERROR(('P&amp;L'!AQ13+'P&amp;L'!AQ31)*ASSUMPTIONS!$B$85/30,0)</f>
        <v>261903.74</v>
      </c>
      <c r="AR16" s="73" t="n">
        <f aca="false">IFERROR(('P&amp;L'!AR13+'P&amp;L'!AR31)*ASSUMPTIONS!$B$85/30,0)</f>
        <v>274369.38</v>
      </c>
      <c r="AS16" s="73" t="n">
        <f aca="false">IFERROR(('P&amp;L'!AS13+'P&amp;L'!AS31)*ASSUMPTIONS!$B$85/30,0)</f>
        <v>288079.78</v>
      </c>
      <c r="AT16" s="73" t="n">
        <f aca="false">IFERROR(('P&amp;L'!AT13+'P&amp;L'!AT31)*ASSUMPTIONS!$B$85/30,0)</f>
        <v>303161.22</v>
      </c>
      <c r="AU16" s="73" t="n">
        <f aca="false">IFERROR(('P&amp;L'!AU13+'P&amp;L'!AU31)*ASSUMPTIONS!$B$85/30,0)</f>
        <v>319749</v>
      </c>
      <c r="AV16" s="73" t="n">
        <f aca="false">IFERROR(('P&amp;L'!AV13+'P&amp;L'!AV31)*ASSUMPTIONS!$B$85/30,0)</f>
        <v>337996.46</v>
      </c>
      <c r="AW16" s="73" t="n">
        <f aca="false">IFERROR(('P&amp;L'!AW13+'P&amp;L'!AW31)*ASSUMPTIONS!$B$85/30,0)</f>
        <v>358074.98</v>
      </c>
      <c r="AX16" s="73" t="n">
        <f aca="false">IFERROR(('P&amp;L'!AX13+'P&amp;L'!AX31)*ASSUMPTIONS!$B$85/30,0)</f>
        <v>380164.96</v>
      </c>
      <c r="AY16" s="73" t="n">
        <f aca="false">IFERROR(('P&amp;L'!AY13+'P&amp;L'!AY31)*ASSUMPTIONS!$B$85/30,0)</f>
        <v>404464.84</v>
      </c>
      <c r="AZ16" s="73" t="n">
        <f aca="false">IFERROR(('P&amp;L'!AZ13+'P&amp;L'!AZ31)*ASSUMPTIONS!$B$85/30,0)</f>
        <v>431191.1</v>
      </c>
      <c r="BA16" s="71" t="n">
        <f aca="false">AZ16</f>
        <v>431191.1</v>
      </c>
      <c r="BB16" s="73" t="n">
        <f aca="false">IFERROR(('P&amp;L'!BB13+'P&amp;L'!BB31)*ASSUMPTIONS!$B$85/30,0)</f>
        <v>460596.3</v>
      </c>
      <c r="BC16" s="73" t="n">
        <f aca="false">IFERROR(('P&amp;L'!BC13+'P&amp;L'!BC31)*ASSUMPTIONS!$B$85/30,0)</f>
        <v>492942.02</v>
      </c>
      <c r="BD16" s="73" t="n">
        <f aca="false">IFERROR(('P&amp;L'!BD13+'P&amp;L'!BD31)*ASSUMPTIONS!$B$85/30,0)</f>
        <v>528516.9</v>
      </c>
      <c r="BE16" s="73" t="n">
        <f aca="false">IFERROR(('P&amp;L'!BE13+'P&amp;L'!BE31)*ASSUMPTIONS!$B$85/30,0)</f>
        <v>567654.68</v>
      </c>
      <c r="BF16" s="73" t="n">
        <f aca="false">IFERROR(('P&amp;L'!BF13+'P&amp;L'!BF31)*ASSUMPTIONS!$B$85/30,0)</f>
        <v>610707.14</v>
      </c>
      <c r="BG16" s="73" t="n">
        <f aca="false">IFERROR(('P&amp;L'!BG13+'P&amp;L'!BG31)*ASSUMPTIONS!$B$85/30,0)</f>
        <v>658071.16</v>
      </c>
      <c r="BH16" s="73" t="n">
        <f aca="false">IFERROR(('P&amp;L'!BH13+'P&amp;L'!BH31)*ASSUMPTIONS!$B$85/30,0)</f>
        <v>710170.68</v>
      </c>
      <c r="BI16" s="73" t="n">
        <f aca="false">IFERROR(('P&amp;L'!BI13+'P&amp;L'!BI31)*ASSUMPTIONS!$B$85/30,0)</f>
        <v>767474.74</v>
      </c>
      <c r="BJ16" s="73" t="n">
        <f aca="false">IFERROR(('P&amp;L'!BJ13+'P&amp;L'!BJ31)*ASSUMPTIONS!$B$85/30,0)</f>
        <v>830515.52</v>
      </c>
      <c r="BK16" s="73" t="n">
        <f aca="false">IFERROR(('P&amp;L'!BK13+'P&amp;L'!BK31)*ASSUMPTIONS!$B$85/30,0)</f>
        <v>899852.26</v>
      </c>
      <c r="BL16" s="73" t="n">
        <f aca="false">IFERROR(('P&amp;L'!BL13+'P&amp;L'!BL31)*ASSUMPTIONS!$B$85/30,0)</f>
        <v>976125.38</v>
      </c>
      <c r="BM16" s="73" t="n">
        <f aca="false">IFERROR(('P&amp;L'!BM13+'P&amp;L'!BM31)*ASSUMPTIONS!$B$85/30,0)</f>
        <v>1060020.4</v>
      </c>
      <c r="BN16" s="71" t="n">
        <f aca="false">BM16</f>
        <v>1060020.4</v>
      </c>
    </row>
    <row r="17" customFormat="false" ht="18" hidden="false" customHeight="true" outlineLevel="0" collapsed="false">
      <c r="A17" s="72" t="s">
        <v>293</v>
      </c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70" t="n">
        <f aca="false">M17</f>
        <v>0</v>
      </c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70" t="n">
        <f aca="false">Z17</f>
        <v>0</v>
      </c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70" t="n">
        <f aca="false">AM17</f>
        <v>0</v>
      </c>
      <c r="AO17" s="114"/>
      <c r="AP17" s="114"/>
      <c r="AQ17" s="114"/>
      <c r="AR17" s="114"/>
      <c r="AS17" s="114"/>
      <c r="AT17" s="114"/>
      <c r="AU17" s="114"/>
      <c r="AV17" s="114"/>
      <c r="AW17" s="114"/>
      <c r="AX17" s="114"/>
      <c r="AY17" s="114"/>
      <c r="AZ17" s="114"/>
      <c r="BA17" s="71" t="n">
        <f aca="false">AZ17</f>
        <v>0</v>
      </c>
      <c r="BB17" s="114"/>
      <c r="BC17" s="114"/>
      <c r="BD17" s="114"/>
      <c r="BE17" s="114"/>
      <c r="BF17" s="114"/>
      <c r="BG17" s="114"/>
      <c r="BH17" s="114"/>
      <c r="BI17" s="114"/>
      <c r="BJ17" s="114"/>
      <c r="BK17" s="114"/>
      <c r="BL17" s="114"/>
      <c r="BM17" s="114"/>
      <c r="BN17" s="71" t="n">
        <f aca="false">BM17</f>
        <v>0</v>
      </c>
    </row>
    <row r="18" customFormat="false" ht="18" hidden="false" customHeight="true" outlineLevel="0" collapsed="false">
      <c r="A18" s="75" t="s">
        <v>294</v>
      </c>
      <c r="B18" s="76" t="n">
        <f aca="false">IFERROR(B16+B17,0)</f>
        <v>49861.5</v>
      </c>
      <c r="C18" s="76" t="n">
        <f aca="false">IFERROR(C16+C17,0)</f>
        <v>49923.08</v>
      </c>
      <c r="D18" s="76" t="n">
        <f aca="false">IFERROR(D16+D17,0)</f>
        <v>70125.74</v>
      </c>
      <c r="E18" s="76" t="n">
        <f aca="false">IFERROR(E16+E17,0)</f>
        <v>70468.5</v>
      </c>
      <c r="F18" s="76" t="n">
        <f aca="false">IFERROR(F16+F17,0)</f>
        <v>70856.36</v>
      </c>
      <c r="G18" s="76" t="n">
        <f aca="false">IFERROR(G16+G17,0)</f>
        <v>107705.32</v>
      </c>
      <c r="H18" s="76" t="n">
        <f aca="false">IFERROR(H16+H17,0)</f>
        <v>108183.38</v>
      </c>
      <c r="I18" s="76" t="n">
        <f aca="false">IFERROR(I16+I17,0)</f>
        <v>108724.58</v>
      </c>
      <c r="J18" s="76" t="n">
        <f aca="false">IFERROR(J16+J17,0)</f>
        <v>129243.92</v>
      </c>
      <c r="K18" s="76" t="n">
        <f aca="false">IFERROR(K16+K17,0)</f>
        <v>129911.4</v>
      </c>
      <c r="L18" s="76" t="n">
        <f aca="false">IFERROR(L16+L17,0)</f>
        <v>130651.04</v>
      </c>
      <c r="M18" s="76" t="n">
        <f aca="false">IFERROR(M16+M17,0)</f>
        <v>147403.86</v>
      </c>
      <c r="N18" s="76" t="n">
        <f aca="false">M18</f>
        <v>147403.86</v>
      </c>
      <c r="O18" s="76" t="n">
        <f aca="false">IFERROR(O16+O17,0)</f>
        <v>148314.88</v>
      </c>
      <c r="P18" s="76" t="n">
        <f aca="false">IFERROR(P16+P17,0)</f>
        <v>149325.12</v>
      </c>
      <c r="Q18" s="76" t="n">
        <f aca="false">IFERROR(Q16+Q17,0)</f>
        <v>150434.58</v>
      </c>
      <c r="R18" s="76" t="n">
        <f aca="false">IFERROR(R16+R17,0)</f>
        <v>151661.3</v>
      </c>
      <c r="S18" s="76" t="n">
        <f aca="false">IFERROR(S16+S17,0)</f>
        <v>153014.3</v>
      </c>
      <c r="T18" s="76" t="n">
        <f aca="false">IFERROR(T16+T17,0)</f>
        <v>154511.62</v>
      </c>
      <c r="U18" s="76" t="n">
        <f aca="false">IFERROR(U16+U17,0)</f>
        <v>156153.26</v>
      </c>
      <c r="V18" s="76" t="n">
        <f aca="false">IFERROR(V16+V17,0)</f>
        <v>157966.28</v>
      </c>
      <c r="W18" s="76" t="n">
        <f aca="false">IFERROR(W16+W17,0)</f>
        <v>159968.72</v>
      </c>
      <c r="X18" s="76" t="n">
        <f aca="false">IFERROR(X16+X17,0)</f>
        <v>162178.62</v>
      </c>
      <c r="Y18" s="76" t="n">
        <f aca="false">IFERROR(Y16+Y17,0)</f>
        <v>164614.02</v>
      </c>
      <c r="Z18" s="76" t="n">
        <f aca="false">IFERROR(Z16+Z17,0)</f>
        <v>167292.96</v>
      </c>
      <c r="AA18" s="76" t="n">
        <f aca="false">Z18</f>
        <v>167292.96</v>
      </c>
      <c r="AB18" s="76" t="n">
        <f aca="false">IFERROR(AB16+AB17,0)</f>
        <v>170251.52</v>
      </c>
      <c r="AC18" s="76" t="n">
        <f aca="false">IFERROR(AC16+AC17,0)</f>
        <v>173507.74</v>
      </c>
      <c r="AD18" s="76" t="n">
        <f aca="false">IFERROR(AD16+AD17,0)</f>
        <v>177097.7</v>
      </c>
      <c r="AE18" s="76" t="n">
        <f aca="false">IFERROR(AE16+AE17,0)</f>
        <v>181048.46</v>
      </c>
      <c r="AF18" s="76" t="n">
        <f aca="false">IFERROR(AF16+AF17,0)</f>
        <v>185396.1</v>
      </c>
      <c r="AG18" s="76" t="n">
        <f aca="false">IFERROR(AG16+AG17,0)</f>
        <v>190185.72</v>
      </c>
      <c r="AH18" s="76" t="n">
        <f aca="false">IFERROR(AH16+AH17,0)</f>
        <v>195462.42</v>
      </c>
      <c r="AI18" s="76" t="n">
        <f aca="false">IFERROR(AI16+AI17,0)</f>
        <v>201262.28</v>
      </c>
      <c r="AJ18" s="76" t="n">
        <f aca="false">IFERROR(AJ16+AJ17,0)</f>
        <v>207648.44</v>
      </c>
      <c r="AK18" s="76" t="n">
        <f aca="false">IFERROR(AK16+AK17,0)</f>
        <v>214675.02</v>
      </c>
      <c r="AL18" s="76" t="n">
        <f aca="false">IFERROR(AL16+AL17,0)</f>
        <v>222405.16</v>
      </c>
      <c r="AM18" s="76" t="n">
        <f aca="false">IFERROR(AM16+AM17,0)</f>
        <v>230911.02</v>
      </c>
      <c r="AN18" s="76" t="n">
        <f aca="false">AM18</f>
        <v>230911.02</v>
      </c>
      <c r="AO18" s="76" t="n">
        <f aca="false">IFERROR(AO16+AO17,0)</f>
        <v>240273.78</v>
      </c>
      <c r="AP18" s="76" t="n">
        <f aca="false">IFERROR(AP16+AP17,0)</f>
        <v>250574.62</v>
      </c>
      <c r="AQ18" s="76" t="n">
        <f aca="false">IFERROR(AQ16+AQ17,0)</f>
        <v>261903.74</v>
      </c>
      <c r="AR18" s="76" t="n">
        <f aca="false">IFERROR(AR16+AR17,0)</f>
        <v>274369.38</v>
      </c>
      <c r="AS18" s="76" t="n">
        <f aca="false">IFERROR(AS16+AS17,0)</f>
        <v>288079.78</v>
      </c>
      <c r="AT18" s="76" t="n">
        <f aca="false">IFERROR(AT16+AT17,0)</f>
        <v>303161.22</v>
      </c>
      <c r="AU18" s="76" t="n">
        <f aca="false">IFERROR(AU16+AU17,0)</f>
        <v>319749</v>
      </c>
      <c r="AV18" s="76" t="n">
        <f aca="false">IFERROR(AV16+AV17,0)</f>
        <v>337996.46</v>
      </c>
      <c r="AW18" s="76" t="n">
        <f aca="false">IFERROR(AW16+AW17,0)</f>
        <v>358074.98</v>
      </c>
      <c r="AX18" s="76" t="n">
        <f aca="false">IFERROR(AX16+AX17,0)</f>
        <v>380164.96</v>
      </c>
      <c r="AY18" s="76" t="n">
        <f aca="false">IFERROR(AY16+AY17,0)</f>
        <v>404464.84</v>
      </c>
      <c r="AZ18" s="76" t="n">
        <f aca="false">IFERROR(AZ16+AZ17,0)</f>
        <v>431191.1</v>
      </c>
      <c r="BA18" s="77" t="n">
        <f aca="false">AZ18</f>
        <v>431191.1</v>
      </c>
      <c r="BB18" s="76" t="n">
        <f aca="false">IFERROR(BB16+BB17,0)</f>
        <v>460596.3</v>
      </c>
      <c r="BC18" s="76" t="n">
        <f aca="false">IFERROR(BC16+BC17,0)</f>
        <v>492942.02</v>
      </c>
      <c r="BD18" s="76" t="n">
        <f aca="false">IFERROR(BD16+BD17,0)</f>
        <v>528516.9</v>
      </c>
      <c r="BE18" s="76" t="n">
        <f aca="false">IFERROR(BE16+BE17,0)</f>
        <v>567654.68</v>
      </c>
      <c r="BF18" s="76" t="n">
        <f aca="false">IFERROR(BF16+BF17,0)</f>
        <v>610707.14</v>
      </c>
      <c r="BG18" s="76" t="n">
        <f aca="false">IFERROR(BG16+BG17,0)</f>
        <v>658071.16</v>
      </c>
      <c r="BH18" s="76" t="n">
        <f aca="false">IFERROR(BH16+BH17,0)</f>
        <v>710170.68</v>
      </c>
      <c r="BI18" s="76" t="n">
        <f aca="false">IFERROR(BI16+BI17,0)</f>
        <v>767474.74</v>
      </c>
      <c r="BJ18" s="76" t="n">
        <f aca="false">IFERROR(BJ16+BJ17,0)</f>
        <v>830515.52</v>
      </c>
      <c r="BK18" s="76" t="n">
        <f aca="false">IFERROR(BK16+BK17,0)</f>
        <v>899852.26</v>
      </c>
      <c r="BL18" s="76" t="n">
        <f aca="false">IFERROR(BL16+BL17,0)</f>
        <v>976125.38</v>
      </c>
      <c r="BM18" s="76" t="n">
        <f aca="false">IFERROR(BM16+BM17,0)</f>
        <v>1060020.4</v>
      </c>
      <c r="BN18" s="77" t="n">
        <f aca="false">BM18</f>
        <v>1060020.4</v>
      </c>
    </row>
    <row r="19" customFormat="false" ht="6" hidden="false" customHeight="tru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66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66"/>
    </row>
    <row r="20" customFormat="false" ht="19.5" hidden="false" customHeight="true" outlineLevel="0" collapsed="false">
      <c r="A20" s="113" t="s">
        <v>295</v>
      </c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3"/>
      <c r="AQ20" s="113"/>
      <c r="AR20" s="113"/>
      <c r="AS20" s="113"/>
      <c r="AT20" s="113"/>
      <c r="AU20" s="113"/>
      <c r="AV20" s="113"/>
      <c r="AW20" s="113"/>
      <c r="AX20" s="113"/>
      <c r="AY20" s="113"/>
      <c r="AZ20" s="113"/>
      <c r="BA20" s="113"/>
      <c r="BB20" s="113"/>
      <c r="BC20" s="113"/>
      <c r="BD20" s="113"/>
      <c r="BE20" s="113"/>
      <c r="BF20" s="113"/>
      <c r="BG20" s="113"/>
      <c r="BH20" s="113"/>
      <c r="BI20" s="113"/>
      <c r="BJ20" s="113"/>
      <c r="BK20" s="113"/>
      <c r="BL20" s="113"/>
      <c r="BM20" s="113"/>
      <c r="BN20" s="113"/>
    </row>
    <row r="21" customFormat="false" ht="18" hidden="false" customHeight="true" outlineLevel="0" collapsed="false">
      <c r="A21" s="72" t="s">
        <v>296</v>
      </c>
      <c r="B21" s="118" t="n">
        <f aca="false">IFERROR(ASSUMPTIONS!$B$79+IF(1&gt;=ASSUMPTIONS!$B$81,ASSUMPTIONS!$B$80,0)+IF(1&gt;=ASSUMPTIONS!$B$83,ASSUMPTIONS!$B$82,0),0)</f>
        <v>500000</v>
      </c>
      <c r="C21" s="118" t="n">
        <f aca="false">IFERROR(ASSUMPTIONS!$B$79+IF(2&gt;=ASSUMPTIONS!$B$81,ASSUMPTIONS!$B$80,0)+IF(2&gt;=ASSUMPTIONS!$B$83,ASSUMPTIONS!$B$82,0),0)</f>
        <v>500000</v>
      </c>
      <c r="D21" s="118" t="n">
        <f aca="false">IFERROR(ASSUMPTIONS!$B$79+IF(3&gt;=ASSUMPTIONS!$B$81,ASSUMPTIONS!$B$80,0)+IF(3&gt;=ASSUMPTIONS!$B$83,ASSUMPTIONS!$B$82,0),0)</f>
        <v>500000</v>
      </c>
      <c r="E21" s="118" t="n">
        <f aca="false">IFERROR(ASSUMPTIONS!$B$79+IF(4&gt;=ASSUMPTIONS!$B$81,ASSUMPTIONS!$B$80,0)+IF(4&gt;=ASSUMPTIONS!$B$83,ASSUMPTIONS!$B$82,0),0)</f>
        <v>500000</v>
      </c>
      <c r="F21" s="118" t="n">
        <f aca="false">IFERROR(ASSUMPTIONS!$B$79+IF(5&gt;=ASSUMPTIONS!$B$81,ASSUMPTIONS!$B$80,0)+IF(5&gt;=ASSUMPTIONS!$B$83,ASSUMPTIONS!$B$82,0),0)</f>
        <v>500000</v>
      </c>
      <c r="G21" s="118" t="n">
        <f aca="false">IFERROR(ASSUMPTIONS!$B$79+IF(6&gt;=ASSUMPTIONS!$B$81,ASSUMPTIONS!$B$80,0)+IF(6&gt;=ASSUMPTIONS!$B$83,ASSUMPTIONS!$B$82,0),0)</f>
        <v>2000000</v>
      </c>
      <c r="H21" s="118" t="n">
        <f aca="false">IFERROR(ASSUMPTIONS!$B$79+IF(7&gt;=ASSUMPTIONS!$B$81,ASSUMPTIONS!$B$80,0)+IF(7&gt;=ASSUMPTIONS!$B$83,ASSUMPTIONS!$B$82,0),0)</f>
        <v>2000000</v>
      </c>
      <c r="I21" s="118" t="n">
        <f aca="false">IFERROR(ASSUMPTIONS!$B$79+IF(8&gt;=ASSUMPTIONS!$B$81,ASSUMPTIONS!$B$80,0)+IF(8&gt;=ASSUMPTIONS!$B$83,ASSUMPTIONS!$B$82,0),0)</f>
        <v>2000000</v>
      </c>
      <c r="J21" s="118" t="n">
        <f aca="false">IFERROR(ASSUMPTIONS!$B$79+IF(9&gt;=ASSUMPTIONS!$B$81,ASSUMPTIONS!$B$80,0)+IF(9&gt;=ASSUMPTIONS!$B$83,ASSUMPTIONS!$B$82,0),0)</f>
        <v>2000000</v>
      </c>
      <c r="K21" s="118" t="n">
        <f aca="false">IFERROR(ASSUMPTIONS!$B$79+IF(10&gt;=ASSUMPTIONS!$B$81,ASSUMPTIONS!$B$80,0)+IF(10&gt;=ASSUMPTIONS!$B$83,ASSUMPTIONS!$B$82,0),0)</f>
        <v>2000000</v>
      </c>
      <c r="L21" s="118" t="n">
        <f aca="false">IFERROR(ASSUMPTIONS!$B$79+IF(11&gt;=ASSUMPTIONS!$B$81,ASSUMPTIONS!$B$80,0)+IF(11&gt;=ASSUMPTIONS!$B$83,ASSUMPTIONS!$B$82,0),0)</f>
        <v>2000000</v>
      </c>
      <c r="M21" s="118" t="n">
        <f aca="false">IFERROR(ASSUMPTIONS!$B$79+IF(12&gt;=ASSUMPTIONS!$B$81,ASSUMPTIONS!$B$80,0)+IF(12&gt;=ASSUMPTIONS!$B$83,ASSUMPTIONS!$B$82,0),0)</f>
        <v>2000000</v>
      </c>
      <c r="N21" s="107" t="n">
        <f aca="false">M21</f>
        <v>2000000</v>
      </c>
      <c r="O21" s="118" t="n">
        <f aca="false">IFERROR(ASSUMPTIONS!$B$79+IF(13&gt;=ASSUMPTIONS!$B$81,ASSUMPTIONS!$B$80,0)+IF(13&gt;=ASSUMPTIONS!$B$83,ASSUMPTIONS!$B$82,0),0)</f>
        <v>2000000</v>
      </c>
      <c r="P21" s="118" t="n">
        <f aca="false">IFERROR(ASSUMPTIONS!$B$79+IF(14&gt;=ASSUMPTIONS!$B$81,ASSUMPTIONS!$B$80,0)+IF(14&gt;=ASSUMPTIONS!$B$83,ASSUMPTIONS!$B$82,0),0)</f>
        <v>2000000</v>
      </c>
      <c r="Q21" s="118" t="n">
        <f aca="false">IFERROR(ASSUMPTIONS!$B$79+IF(15&gt;=ASSUMPTIONS!$B$81,ASSUMPTIONS!$B$80,0)+IF(15&gt;=ASSUMPTIONS!$B$83,ASSUMPTIONS!$B$82,0),0)</f>
        <v>2000000</v>
      </c>
      <c r="R21" s="118" t="n">
        <f aca="false">IFERROR(ASSUMPTIONS!$B$79+IF(16&gt;=ASSUMPTIONS!$B$81,ASSUMPTIONS!$B$80,0)+IF(16&gt;=ASSUMPTIONS!$B$83,ASSUMPTIONS!$B$82,0),0)</f>
        <v>2000000</v>
      </c>
      <c r="S21" s="118" t="n">
        <f aca="false">IFERROR(ASSUMPTIONS!$B$79+IF(17&gt;=ASSUMPTIONS!$B$81,ASSUMPTIONS!$B$80,0)+IF(17&gt;=ASSUMPTIONS!$B$83,ASSUMPTIONS!$B$82,0),0)</f>
        <v>2000000</v>
      </c>
      <c r="T21" s="118" t="n">
        <f aca="false">IFERROR(ASSUMPTIONS!$B$79+IF(18&gt;=ASSUMPTIONS!$B$81,ASSUMPTIONS!$B$80,0)+IF(18&gt;=ASSUMPTIONS!$B$83,ASSUMPTIONS!$B$82,0),0)</f>
        <v>5000000</v>
      </c>
      <c r="U21" s="118" t="n">
        <f aca="false">IFERROR(ASSUMPTIONS!$B$79+IF(19&gt;=ASSUMPTIONS!$B$81,ASSUMPTIONS!$B$80,0)+IF(19&gt;=ASSUMPTIONS!$B$83,ASSUMPTIONS!$B$82,0),0)</f>
        <v>5000000</v>
      </c>
      <c r="V21" s="118" t="n">
        <f aca="false">IFERROR(ASSUMPTIONS!$B$79+IF(20&gt;=ASSUMPTIONS!$B$81,ASSUMPTIONS!$B$80,0)+IF(20&gt;=ASSUMPTIONS!$B$83,ASSUMPTIONS!$B$82,0),0)</f>
        <v>5000000</v>
      </c>
      <c r="W21" s="118" t="n">
        <f aca="false">IFERROR(ASSUMPTIONS!$B$79+IF(21&gt;=ASSUMPTIONS!$B$81,ASSUMPTIONS!$B$80,0)+IF(21&gt;=ASSUMPTIONS!$B$83,ASSUMPTIONS!$B$82,0),0)</f>
        <v>5000000</v>
      </c>
      <c r="X21" s="118" t="n">
        <f aca="false">IFERROR(ASSUMPTIONS!$B$79+IF(22&gt;=ASSUMPTIONS!$B$81,ASSUMPTIONS!$B$80,0)+IF(22&gt;=ASSUMPTIONS!$B$83,ASSUMPTIONS!$B$82,0),0)</f>
        <v>5000000</v>
      </c>
      <c r="Y21" s="118" t="n">
        <f aca="false">IFERROR(ASSUMPTIONS!$B$79+IF(23&gt;=ASSUMPTIONS!$B$81,ASSUMPTIONS!$B$80,0)+IF(23&gt;=ASSUMPTIONS!$B$83,ASSUMPTIONS!$B$82,0),0)</f>
        <v>5000000</v>
      </c>
      <c r="Z21" s="118" t="n">
        <f aca="false">IFERROR(ASSUMPTIONS!$B$79+IF(24&gt;=ASSUMPTIONS!$B$81,ASSUMPTIONS!$B$80,0)+IF(24&gt;=ASSUMPTIONS!$B$83,ASSUMPTIONS!$B$82,0),0)</f>
        <v>5000000</v>
      </c>
      <c r="AA21" s="107" t="n">
        <f aca="false">Z21</f>
        <v>5000000</v>
      </c>
      <c r="AB21" s="118" t="n">
        <f aca="false">IFERROR(ASSUMPTIONS!$B$79+IF(25&gt;=ASSUMPTIONS!$B$81,ASSUMPTIONS!$B$80,0)+IF(25&gt;=ASSUMPTIONS!$B$83,ASSUMPTIONS!$B$82,0),0)</f>
        <v>5000000</v>
      </c>
      <c r="AC21" s="118" t="n">
        <f aca="false">IFERROR(ASSUMPTIONS!$B$79+IF(26&gt;=ASSUMPTIONS!$B$81,ASSUMPTIONS!$B$80,0)+IF(26&gt;=ASSUMPTIONS!$B$83,ASSUMPTIONS!$B$82,0),0)</f>
        <v>5000000</v>
      </c>
      <c r="AD21" s="118" t="n">
        <f aca="false">IFERROR(ASSUMPTIONS!$B$79+IF(27&gt;=ASSUMPTIONS!$B$81,ASSUMPTIONS!$B$80,0)+IF(27&gt;=ASSUMPTIONS!$B$83,ASSUMPTIONS!$B$82,0),0)</f>
        <v>5000000</v>
      </c>
      <c r="AE21" s="118" t="n">
        <f aca="false">IFERROR(ASSUMPTIONS!$B$79+IF(28&gt;=ASSUMPTIONS!$B$81,ASSUMPTIONS!$B$80,0)+IF(28&gt;=ASSUMPTIONS!$B$83,ASSUMPTIONS!$B$82,0),0)</f>
        <v>5000000</v>
      </c>
      <c r="AF21" s="118" t="n">
        <f aca="false">IFERROR(ASSUMPTIONS!$B$79+IF(29&gt;=ASSUMPTIONS!$B$81,ASSUMPTIONS!$B$80,0)+IF(29&gt;=ASSUMPTIONS!$B$83,ASSUMPTIONS!$B$82,0),0)</f>
        <v>5000000</v>
      </c>
      <c r="AG21" s="118" t="n">
        <f aca="false">IFERROR(ASSUMPTIONS!$B$79+IF(30&gt;=ASSUMPTIONS!$B$81,ASSUMPTIONS!$B$80,0)+IF(30&gt;=ASSUMPTIONS!$B$83,ASSUMPTIONS!$B$82,0),0)</f>
        <v>5000000</v>
      </c>
      <c r="AH21" s="118" t="n">
        <f aca="false">IFERROR(ASSUMPTIONS!$B$79+IF(31&gt;=ASSUMPTIONS!$B$81,ASSUMPTIONS!$B$80,0)+IF(31&gt;=ASSUMPTIONS!$B$83,ASSUMPTIONS!$B$82,0),0)</f>
        <v>5000000</v>
      </c>
      <c r="AI21" s="118" t="n">
        <f aca="false">IFERROR(ASSUMPTIONS!$B$79+IF(32&gt;=ASSUMPTIONS!$B$81,ASSUMPTIONS!$B$80,0)+IF(32&gt;=ASSUMPTIONS!$B$83,ASSUMPTIONS!$B$82,0),0)</f>
        <v>5000000</v>
      </c>
      <c r="AJ21" s="118" t="n">
        <f aca="false">IFERROR(ASSUMPTIONS!$B$79+IF(33&gt;=ASSUMPTIONS!$B$81,ASSUMPTIONS!$B$80,0)+IF(33&gt;=ASSUMPTIONS!$B$83,ASSUMPTIONS!$B$82,0),0)</f>
        <v>5000000</v>
      </c>
      <c r="AK21" s="118" t="n">
        <f aca="false">IFERROR(ASSUMPTIONS!$B$79+IF(34&gt;=ASSUMPTIONS!$B$81,ASSUMPTIONS!$B$80,0)+IF(34&gt;=ASSUMPTIONS!$B$83,ASSUMPTIONS!$B$82,0),0)</f>
        <v>5000000</v>
      </c>
      <c r="AL21" s="118" t="n">
        <f aca="false">IFERROR(ASSUMPTIONS!$B$79+IF(35&gt;=ASSUMPTIONS!$B$81,ASSUMPTIONS!$B$80,0)+IF(35&gt;=ASSUMPTIONS!$B$83,ASSUMPTIONS!$B$82,0),0)</f>
        <v>5000000</v>
      </c>
      <c r="AM21" s="118" t="n">
        <f aca="false">IFERROR(ASSUMPTIONS!$B$79+IF(36&gt;=ASSUMPTIONS!$B$81,ASSUMPTIONS!$B$80,0)+IF(36&gt;=ASSUMPTIONS!$B$83,ASSUMPTIONS!$B$82,0),0)</f>
        <v>5000000</v>
      </c>
      <c r="AN21" s="107" t="n">
        <f aca="false">AM21</f>
        <v>5000000</v>
      </c>
      <c r="AO21" s="118" t="n">
        <f aca="false">IFERROR(ASSUMPTIONS!$B$79+IF(25&gt;=ASSUMPTIONS!$B$81,ASSUMPTIONS!$B$80,0)+IF(25&gt;=ASSUMPTIONS!$B$83,ASSUMPTIONS!$B$82,0),0)</f>
        <v>5000000</v>
      </c>
      <c r="AP21" s="118" t="n">
        <f aca="false">IFERROR(ASSUMPTIONS!$B$79+IF(26&gt;=ASSUMPTIONS!$B$81,ASSUMPTIONS!$B$80,0)+IF(26&gt;=ASSUMPTIONS!$B$83,ASSUMPTIONS!$B$82,0),0)</f>
        <v>5000000</v>
      </c>
      <c r="AQ21" s="118" t="n">
        <f aca="false">IFERROR(ASSUMPTIONS!$B$79+IF(27&gt;=ASSUMPTIONS!$B$81,ASSUMPTIONS!$B$80,0)+IF(27&gt;=ASSUMPTIONS!$B$83,ASSUMPTIONS!$B$82,0),0)</f>
        <v>5000000</v>
      </c>
      <c r="AR21" s="118" t="n">
        <f aca="false">IFERROR(ASSUMPTIONS!$B$79+IF(28&gt;=ASSUMPTIONS!$B$81,ASSUMPTIONS!$B$80,0)+IF(28&gt;=ASSUMPTIONS!$B$83,ASSUMPTIONS!$B$82,0),0)</f>
        <v>5000000</v>
      </c>
      <c r="AS21" s="118" t="n">
        <f aca="false">IFERROR(ASSUMPTIONS!$B$79+IF(29&gt;=ASSUMPTIONS!$B$81,ASSUMPTIONS!$B$80,0)+IF(29&gt;=ASSUMPTIONS!$B$83,ASSUMPTIONS!$B$82,0),0)</f>
        <v>5000000</v>
      </c>
      <c r="AT21" s="118" t="n">
        <f aca="false">IFERROR(ASSUMPTIONS!$B$79+IF(30&gt;=ASSUMPTIONS!$B$81,ASSUMPTIONS!$B$80,0)+IF(30&gt;=ASSUMPTIONS!$B$83,ASSUMPTIONS!$B$82,0),0)</f>
        <v>5000000</v>
      </c>
      <c r="AU21" s="118" t="n">
        <f aca="false">IFERROR(ASSUMPTIONS!$B$79+IF(31&gt;=ASSUMPTIONS!$B$81,ASSUMPTIONS!$B$80,0)+IF(31&gt;=ASSUMPTIONS!$B$83,ASSUMPTIONS!$B$82,0),0)</f>
        <v>5000000</v>
      </c>
      <c r="AV21" s="118" t="n">
        <f aca="false">IFERROR(ASSUMPTIONS!$B$79+IF(32&gt;=ASSUMPTIONS!$B$81,ASSUMPTIONS!$B$80,0)+IF(32&gt;=ASSUMPTIONS!$B$83,ASSUMPTIONS!$B$82,0),0)</f>
        <v>5000000</v>
      </c>
      <c r="AW21" s="118" t="n">
        <f aca="false">IFERROR(ASSUMPTIONS!$B$79+IF(33&gt;=ASSUMPTIONS!$B$81,ASSUMPTIONS!$B$80,0)+IF(33&gt;=ASSUMPTIONS!$B$83,ASSUMPTIONS!$B$82,0),0)</f>
        <v>5000000</v>
      </c>
      <c r="AX21" s="118" t="n">
        <f aca="false">IFERROR(ASSUMPTIONS!$B$79+IF(34&gt;=ASSUMPTIONS!$B$81,ASSUMPTIONS!$B$80,0)+IF(34&gt;=ASSUMPTIONS!$B$83,ASSUMPTIONS!$B$82,0),0)</f>
        <v>5000000</v>
      </c>
      <c r="AY21" s="118" t="n">
        <f aca="false">IFERROR(ASSUMPTIONS!$B$79+IF(35&gt;=ASSUMPTIONS!$B$81,ASSUMPTIONS!$B$80,0)+IF(35&gt;=ASSUMPTIONS!$B$83,ASSUMPTIONS!$B$82,0),0)</f>
        <v>5000000</v>
      </c>
      <c r="AZ21" s="118" t="n">
        <f aca="false">IFERROR(ASSUMPTIONS!$B$79+IF(36&gt;=ASSUMPTIONS!$B$81,ASSUMPTIONS!$B$80,0)+IF(36&gt;=ASSUMPTIONS!$B$83,ASSUMPTIONS!$B$82,0),0)</f>
        <v>5000000</v>
      </c>
      <c r="BA21" s="71" t="n">
        <f aca="false">AZ21</f>
        <v>5000000</v>
      </c>
      <c r="BB21" s="118" t="n">
        <f aca="false">IFERROR(ASSUMPTIONS!$B$79+IF(25&gt;=ASSUMPTIONS!$B$81,ASSUMPTIONS!$B$80,0)+IF(25&gt;=ASSUMPTIONS!$B$83,ASSUMPTIONS!$B$82,0),0)</f>
        <v>5000000</v>
      </c>
      <c r="BC21" s="118" t="n">
        <f aca="false">IFERROR(ASSUMPTIONS!$B$79+IF(26&gt;=ASSUMPTIONS!$B$81,ASSUMPTIONS!$B$80,0)+IF(26&gt;=ASSUMPTIONS!$B$83,ASSUMPTIONS!$B$82,0),0)</f>
        <v>5000000</v>
      </c>
      <c r="BD21" s="118" t="n">
        <f aca="false">IFERROR(ASSUMPTIONS!$B$79+IF(27&gt;=ASSUMPTIONS!$B$81,ASSUMPTIONS!$B$80,0)+IF(27&gt;=ASSUMPTIONS!$B$83,ASSUMPTIONS!$B$82,0),0)</f>
        <v>5000000</v>
      </c>
      <c r="BE21" s="118" t="n">
        <f aca="false">IFERROR(ASSUMPTIONS!$B$79+IF(28&gt;=ASSUMPTIONS!$B$81,ASSUMPTIONS!$B$80,0)+IF(28&gt;=ASSUMPTIONS!$B$83,ASSUMPTIONS!$B$82,0),0)</f>
        <v>5000000</v>
      </c>
      <c r="BF21" s="118" t="n">
        <f aca="false">IFERROR(ASSUMPTIONS!$B$79+IF(29&gt;=ASSUMPTIONS!$B$81,ASSUMPTIONS!$B$80,0)+IF(29&gt;=ASSUMPTIONS!$B$83,ASSUMPTIONS!$B$82,0),0)</f>
        <v>5000000</v>
      </c>
      <c r="BG21" s="118" t="n">
        <f aca="false">IFERROR(ASSUMPTIONS!$B$79+IF(30&gt;=ASSUMPTIONS!$B$81,ASSUMPTIONS!$B$80,0)+IF(30&gt;=ASSUMPTIONS!$B$83,ASSUMPTIONS!$B$82,0),0)</f>
        <v>5000000</v>
      </c>
      <c r="BH21" s="118" t="n">
        <f aca="false">IFERROR(ASSUMPTIONS!$B$79+IF(31&gt;=ASSUMPTIONS!$B$81,ASSUMPTIONS!$B$80,0)+IF(31&gt;=ASSUMPTIONS!$B$83,ASSUMPTIONS!$B$82,0),0)</f>
        <v>5000000</v>
      </c>
      <c r="BI21" s="118" t="n">
        <f aca="false">IFERROR(ASSUMPTIONS!$B$79+IF(32&gt;=ASSUMPTIONS!$B$81,ASSUMPTIONS!$B$80,0)+IF(32&gt;=ASSUMPTIONS!$B$83,ASSUMPTIONS!$B$82,0),0)</f>
        <v>5000000</v>
      </c>
      <c r="BJ21" s="118" t="n">
        <f aca="false">IFERROR(ASSUMPTIONS!$B$79+IF(33&gt;=ASSUMPTIONS!$B$81,ASSUMPTIONS!$B$80,0)+IF(33&gt;=ASSUMPTIONS!$B$83,ASSUMPTIONS!$B$82,0),0)</f>
        <v>5000000</v>
      </c>
      <c r="BK21" s="118" t="n">
        <f aca="false">IFERROR(ASSUMPTIONS!$B$79+IF(34&gt;=ASSUMPTIONS!$B$81,ASSUMPTIONS!$B$80,0)+IF(34&gt;=ASSUMPTIONS!$B$83,ASSUMPTIONS!$B$82,0),0)</f>
        <v>5000000</v>
      </c>
      <c r="BL21" s="118" t="n">
        <f aca="false">IFERROR(ASSUMPTIONS!$B$79+IF(35&gt;=ASSUMPTIONS!$B$81,ASSUMPTIONS!$B$80,0)+IF(35&gt;=ASSUMPTIONS!$B$83,ASSUMPTIONS!$B$82,0),0)</f>
        <v>5000000</v>
      </c>
      <c r="BM21" s="118" t="n">
        <f aca="false">IFERROR(ASSUMPTIONS!$B$79+IF(36&gt;=ASSUMPTIONS!$B$81,ASSUMPTIONS!$B$80,0)+IF(36&gt;=ASSUMPTIONS!$B$83,ASSUMPTIONS!$B$82,0),0)</f>
        <v>5000000</v>
      </c>
      <c r="BN21" s="71" t="n">
        <f aca="false">BM21</f>
        <v>5000000</v>
      </c>
    </row>
    <row r="22" customFormat="false" ht="18" hidden="false" customHeight="true" outlineLevel="0" collapsed="false">
      <c r="A22" s="74" t="s">
        <v>297</v>
      </c>
      <c r="B22" s="73" t="n">
        <f aca="false">IFERROR('P&amp;L'!B37,0)</f>
        <v>-26111.5</v>
      </c>
      <c r="C22" s="73" t="n">
        <f aca="false">IFERROR(B22+'P&amp;L'!C37,0)</f>
        <v>-52006.58</v>
      </c>
      <c r="D22" s="73" t="n">
        <f aca="false">IFERROR(C22+'P&amp;L'!D37,0)</f>
        <v>-95519.32</v>
      </c>
      <c r="E22" s="73" t="n">
        <f aca="false">IFERROR(D22+'P&amp;L'!E37,0)</f>
        <v>-136255.82</v>
      </c>
      <c r="F22" s="73" t="n">
        <f aca="false">IFERROR(E22+'P&amp;L'!F37,0)</f>
        <v>-173827.18</v>
      </c>
      <c r="G22" s="73" t="n">
        <f aca="false">IFERROR(F22+'P&amp;L'!G37,0)</f>
        <v>-244260.5</v>
      </c>
      <c r="H22" s="73" t="n">
        <f aca="false">IFERROR(G22+'P&amp;L'!H37,0)</f>
        <v>-310451.88</v>
      </c>
      <c r="I22" s="73" t="n">
        <f aca="false">IFERROR(H22+'P&amp;L'!I37,0)</f>
        <v>-371677.46</v>
      </c>
      <c r="J22" s="73" t="n">
        <f aca="false">IFERROR(I22+'P&amp;L'!J37,0)</f>
        <v>-447427.38</v>
      </c>
      <c r="K22" s="73" t="n">
        <f aca="false">IFERROR(J22+'P&amp;L'!K37,0)</f>
        <v>-517062.78</v>
      </c>
      <c r="L22" s="73" t="n">
        <f aca="false">IFERROR(K22+'P&amp;L'!L37,0)</f>
        <v>-579542.82</v>
      </c>
      <c r="M22" s="73" t="n">
        <f aca="false">IFERROR(L22+'P&amp;L'!M37,0)</f>
        <v>-650039.68</v>
      </c>
      <c r="N22" s="70" t="n">
        <f aca="false">M22</f>
        <v>-650039.68</v>
      </c>
      <c r="O22" s="73" t="n">
        <f aca="false">IFERROR(M22+'P&amp;L'!O37,0)</f>
        <v>-711245.56</v>
      </c>
      <c r="P22" s="73" t="n">
        <f aca="false">IFERROR(O22+'P&amp;L'!P37,0)</f>
        <v>-762065.68</v>
      </c>
      <c r="Q22" s="73" t="n">
        <f aca="false">IFERROR(P22+'P&amp;L'!Q37,0)</f>
        <v>-800807.26</v>
      </c>
      <c r="R22" s="73" t="n">
        <f aca="false">IFERROR(Q22+'P&amp;L'!R37,0)</f>
        <v>-825741.56</v>
      </c>
      <c r="S22" s="73" t="n">
        <f aca="false">IFERROR(R22+'P&amp;L'!S37,0)</f>
        <v>-835121.86</v>
      </c>
      <c r="T22" s="73" t="n">
        <f aca="false">IFERROR(S22+'P&amp;L'!T37,0)</f>
        <v>-828706.075</v>
      </c>
      <c r="U22" s="73" t="n">
        <f aca="false">IFERROR(T22+'P&amp;L'!U37,0)</f>
        <v>-807053.77</v>
      </c>
      <c r="V22" s="73" t="n">
        <f aca="false">IFERROR(U22+'P&amp;L'!V37,0)</f>
        <v>-768114.73</v>
      </c>
      <c r="W22" s="73" t="n">
        <f aca="false">IFERROR(V22+'P&amp;L'!W37,0)</f>
        <v>-709363.27</v>
      </c>
      <c r="X22" s="73" t="n">
        <f aca="false">IFERROR(W22+'P&amp;L'!X37,0)</f>
        <v>-627798.235</v>
      </c>
      <c r="Y22" s="73" t="n">
        <f aca="false">IFERROR(X22+'P&amp;L'!Y37,0)</f>
        <v>-520167.25</v>
      </c>
      <c r="Z22" s="73" t="n">
        <f aca="false">IFERROR(Y22+'P&amp;L'!Z37,0)</f>
        <v>-382742.47</v>
      </c>
      <c r="AA22" s="70" t="n">
        <f aca="false">Z22</f>
        <v>-382742.47</v>
      </c>
      <c r="AB22" s="73" t="n">
        <f aca="false">IFERROR(Z22+'P&amp;L'!AB37,0)</f>
        <v>-211069.36</v>
      </c>
      <c r="AC22" s="73" t="n">
        <f aca="false">IFERROR(AB22+'P&amp;L'!AC37,0)</f>
        <v>-217.915000000037</v>
      </c>
      <c r="AD22" s="73" t="n">
        <f aca="false">IFERROR(AC22+'P&amp;L'!AD37,0)</f>
        <v>255468.56</v>
      </c>
      <c r="AE22" s="73" t="n">
        <f aca="false">IFERROR(AD22+'P&amp;L'!AE37,0)</f>
        <v>562359.965</v>
      </c>
      <c r="AF22" s="73" t="n">
        <f aca="false">IFERROR(AE22+'P&amp;L'!AF37,0)</f>
        <v>927777.14</v>
      </c>
      <c r="AG22" s="73" t="n">
        <f aca="false">IFERROR(AF22+'P&amp;L'!AG37,0)</f>
        <v>1360229.6</v>
      </c>
      <c r="AH22" s="73" t="n">
        <f aca="false">IFERROR(AG22+'P&amp;L'!AH37,0)</f>
        <v>1869191.285</v>
      </c>
      <c r="AI22" s="73" t="n">
        <f aca="false">IFERROR(AH22+'P&amp;L'!AI37,0)</f>
        <v>2465759.825</v>
      </c>
      <c r="AJ22" s="73" t="n">
        <f aca="false">IFERROR(AI22+'P&amp;L'!AJ37,0)</f>
        <v>3162696.995</v>
      </c>
      <c r="AK22" s="73" t="n">
        <f aca="false">IFERROR(AJ22+'P&amp;L'!AK37,0)</f>
        <v>3974639.48</v>
      </c>
      <c r="AL22" s="73" t="n">
        <f aca="false">IFERROR(AK22+'P&amp;L'!AL37,0)</f>
        <v>4918336.61</v>
      </c>
      <c r="AM22" s="73" t="n">
        <f aca="false">IFERROR(AL22+'P&amp;L'!AM37,0)</f>
        <v>6012888.095</v>
      </c>
      <c r="AN22" s="70" t="n">
        <f aca="false">AM22</f>
        <v>6012888.095</v>
      </c>
      <c r="AO22" s="73" t="n">
        <f aca="false">IFERROR(AM22+'P&amp;L'!AO37,0)</f>
        <v>7280430.26</v>
      </c>
      <c r="AP22" s="73" t="n">
        <f aca="false">IFERROR(AO22+'P&amp;L'!AP37,0)</f>
        <v>8746136.045</v>
      </c>
      <c r="AQ22" s="73" t="n">
        <f aca="false">IFERROR(AP22+'P&amp;L'!AQ37,0)</f>
        <v>10438676.99</v>
      </c>
      <c r="AR22" s="73" t="n">
        <f aca="false">IFERROR(AQ22+'P&amp;L'!AR37,0)</f>
        <v>12391371.455</v>
      </c>
      <c r="AS22" s="73" t="n">
        <f aca="false">IFERROR(AR22+'P&amp;L'!AS37,0)</f>
        <v>14642184.62</v>
      </c>
      <c r="AT22" s="73" t="n">
        <f aca="false">IFERROR(AS22+'P&amp;L'!AT37,0)</f>
        <v>17234652.455</v>
      </c>
      <c r="AU22" s="73" t="n">
        <f aca="false">IFERROR(AT22+'P&amp;L'!AU37,0)</f>
        <v>20219016.455</v>
      </c>
      <c r="AV22" s="73" t="n">
        <f aca="false">IFERROR(AU22+'P&amp;L'!AV37,0)</f>
        <v>23652699.11</v>
      </c>
      <c r="AW22" s="73" t="n">
        <f aca="false">IFERROR(AV22+'P&amp;L'!AW37,0)</f>
        <v>27601676.375</v>
      </c>
      <c r="AX22" s="73" t="n">
        <f aca="false">IFERROR(AW22+'P&amp;L'!AX37,0)</f>
        <v>32141836.655</v>
      </c>
      <c r="AY22" s="73" t="n">
        <f aca="false">IFERROR(AX22+'P&amp;L'!AY37,0)</f>
        <v>37360129.025</v>
      </c>
      <c r="AZ22" s="73" t="n">
        <f aca="false">IFERROR(AY22+'P&amp;L'!AZ37,0)</f>
        <v>43356608.45</v>
      </c>
      <c r="BA22" s="71" t="n">
        <f aca="false">AZ22</f>
        <v>43356608.45</v>
      </c>
      <c r="BB22" s="73" t="n">
        <f aca="false">IFERROR(AZ22+'P&amp;L'!BB37,0)</f>
        <v>50246059.475</v>
      </c>
      <c r="BC22" s="73" t="n">
        <f aca="false">IFERROR(BB22+'P&amp;L'!BC37,0)</f>
        <v>58160476.46</v>
      </c>
      <c r="BD22" s="73" t="n">
        <f aca="false">IFERROR(BC22+'P&amp;L'!BD37,0)</f>
        <v>67250898.035</v>
      </c>
      <c r="BE22" s="73" t="n">
        <f aca="false">IFERROR(BD22+'P&amp;L'!BE37,0)</f>
        <v>77691062.525</v>
      </c>
      <c r="BF22" s="73" t="n">
        <f aca="false">IFERROR(BE22+'P&amp;L'!BF37,0)</f>
        <v>89680574.42</v>
      </c>
      <c r="BG22" s="73" t="n">
        <f aca="false">IFERROR(BF22+'P&amp;L'!BG37,0)</f>
        <v>103448784.05</v>
      </c>
      <c r="BH22" s="73" t="n">
        <f aca="false">IFERROR(BG22+'P&amp;L'!BH37,0)</f>
        <v>119258864.54</v>
      </c>
      <c r="BI22" s="73" t="n">
        <f aca="false">IFERROR(BH22+'P&amp;L'!BI37,0)</f>
        <v>137413261.235</v>
      </c>
      <c r="BJ22" s="73" t="n">
        <f aca="false">IFERROR(BI22+'P&amp;L'!BJ37,0)</f>
        <v>158259392.345</v>
      </c>
      <c r="BK22" s="73" t="n">
        <f aca="false">IFERROR(BJ22+'P&amp;L'!BK37,0)</f>
        <v>182196192.65</v>
      </c>
      <c r="BL22" s="73" t="n">
        <f aca="false">IFERROR(BK22+'P&amp;L'!BL37,0)</f>
        <v>209682083.615</v>
      </c>
      <c r="BM22" s="73" t="n">
        <f aca="false">IFERROR(BL22+'P&amp;L'!BM37,0)</f>
        <v>241243562.315</v>
      </c>
      <c r="BN22" s="71" t="n">
        <f aca="false">BM22</f>
        <v>241243562.315</v>
      </c>
    </row>
    <row r="23" customFormat="false" ht="18" hidden="false" customHeight="true" outlineLevel="0" collapsed="false">
      <c r="A23" s="75" t="s">
        <v>298</v>
      </c>
      <c r="B23" s="76" t="n">
        <f aca="false">IFERROR(B21+B22,0)</f>
        <v>473888.5</v>
      </c>
      <c r="C23" s="76" t="n">
        <f aca="false">IFERROR(C21+C22,0)</f>
        <v>447993.42</v>
      </c>
      <c r="D23" s="76" t="n">
        <f aca="false">IFERROR(D21+D22,0)</f>
        <v>404480.68</v>
      </c>
      <c r="E23" s="76" t="n">
        <f aca="false">IFERROR(E21+E22,0)</f>
        <v>363744.18</v>
      </c>
      <c r="F23" s="76" t="n">
        <f aca="false">IFERROR(F21+F22,0)</f>
        <v>326172.82</v>
      </c>
      <c r="G23" s="76" t="n">
        <f aca="false">IFERROR(G21+G22,0)</f>
        <v>1755739.5</v>
      </c>
      <c r="H23" s="76" t="n">
        <f aca="false">IFERROR(H21+H22,0)</f>
        <v>1689548.12</v>
      </c>
      <c r="I23" s="76" t="n">
        <f aca="false">IFERROR(I21+I22,0)</f>
        <v>1628322.54</v>
      </c>
      <c r="J23" s="76" t="n">
        <f aca="false">IFERROR(J21+J22,0)</f>
        <v>1552572.62</v>
      </c>
      <c r="K23" s="76" t="n">
        <f aca="false">IFERROR(K21+K22,0)</f>
        <v>1482937.22</v>
      </c>
      <c r="L23" s="76" t="n">
        <f aca="false">IFERROR(L21+L22,0)</f>
        <v>1420457.18</v>
      </c>
      <c r="M23" s="76" t="n">
        <f aca="false">IFERROR(M21+M22,0)</f>
        <v>1349960.32</v>
      </c>
      <c r="N23" s="76" t="n">
        <f aca="false">M23</f>
        <v>1349960.32</v>
      </c>
      <c r="O23" s="76" t="n">
        <f aca="false">IFERROR(O21+O22,0)</f>
        <v>1288754.44</v>
      </c>
      <c r="P23" s="76" t="n">
        <f aca="false">IFERROR(P21+P22,0)</f>
        <v>1237934.32</v>
      </c>
      <c r="Q23" s="76" t="n">
        <f aca="false">IFERROR(Q21+Q22,0)</f>
        <v>1199192.74</v>
      </c>
      <c r="R23" s="76" t="n">
        <f aca="false">IFERROR(R21+R22,0)</f>
        <v>1174258.44</v>
      </c>
      <c r="S23" s="76" t="n">
        <f aca="false">IFERROR(S21+S22,0)</f>
        <v>1164878.14</v>
      </c>
      <c r="T23" s="76" t="n">
        <f aca="false">IFERROR(T21+T22,0)</f>
        <v>4171293.925</v>
      </c>
      <c r="U23" s="76" t="n">
        <f aca="false">IFERROR(U21+U22,0)</f>
        <v>4192946.23</v>
      </c>
      <c r="V23" s="76" t="n">
        <f aca="false">IFERROR(V21+V22,0)</f>
        <v>4231885.27</v>
      </c>
      <c r="W23" s="76" t="n">
        <f aca="false">IFERROR(W21+W22,0)</f>
        <v>4290636.73</v>
      </c>
      <c r="X23" s="76" t="n">
        <f aca="false">IFERROR(X21+X22,0)</f>
        <v>4372201.765</v>
      </c>
      <c r="Y23" s="76" t="n">
        <f aca="false">IFERROR(Y21+Y22,0)</f>
        <v>4479832.75</v>
      </c>
      <c r="Z23" s="76" t="n">
        <f aca="false">IFERROR(Z21+Z22,0)</f>
        <v>4617257.53</v>
      </c>
      <c r="AA23" s="76" t="n">
        <f aca="false">Z23</f>
        <v>4617257.53</v>
      </c>
      <c r="AB23" s="76" t="n">
        <f aca="false">IFERROR(AB21+AB22,0)</f>
        <v>4788930.64</v>
      </c>
      <c r="AC23" s="76" t="n">
        <f aca="false">IFERROR(AC21+AC22,0)</f>
        <v>4999782.085</v>
      </c>
      <c r="AD23" s="76" t="n">
        <f aca="false">IFERROR(AD21+AD22,0)</f>
        <v>5255468.56</v>
      </c>
      <c r="AE23" s="76" t="n">
        <f aca="false">IFERROR(AE21+AE22,0)</f>
        <v>5562359.965</v>
      </c>
      <c r="AF23" s="76" t="n">
        <f aca="false">IFERROR(AF21+AF22,0)</f>
        <v>5927777.14</v>
      </c>
      <c r="AG23" s="76" t="n">
        <f aca="false">IFERROR(AG21+AG22,0)</f>
        <v>6360229.6</v>
      </c>
      <c r="AH23" s="76" t="n">
        <f aca="false">IFERROR(AH21+AH22,0)</f>
        <v>6869191.285</v>
      </c>
      <c r="AI23" s="76" t="n">
        <f aca="false">IFERROR(AI21+AI22,0)</f>
        <v>7465759.825</v>
      </c>
      <c r="AJ23" s="76" t="n">
        <f aca="false">IFERROR(AJ21+AJ22,0)</f>
        <v>8162696.995</v>
      </c>
      <c r="AK23" s="76" t="n">
        <f aca="false">IFERROR(AK21+AK22,0)</f>
        <v>8974639.48</v>
      </c>
      <c r="AL23" s="76" t="n">
        <f aca="false">IFERROR(AL21+AL22,0)</f>
        <v>9918336.61</v>
      </c>
      <c r="AM23" s="76" t="n">
        <f aca="false">IFERROR(AM21+AM22,0)</f>
        <v>11012888.095</v>
      </c>
      <c r="AN23" s="76" t="n">
        <f aca="false">AM23</f>
        <v>11012888.095</v>
      </c>
      <c r="AO23" s="76" t="n">
        <f aca="false">IFERROR(AO21+AO22,0)</f>
        <v>12280430.26</v>
      </c>
      <c r="AP23" s="76" t="n">
        <f aca="false">IFERROR(AP21+AP22,0)</f>
        <v>13746136.045</v>
      </c>
      <c r="AQ23" s="76" t="n">
        <f aca="false">IFERROR(AQ21+AQ22,0)</f>
        <v>15438676.99</v>
      </c>
      <c r="AR23" s="76" t="n">
        <f aca="false">IFERROR(AR21+AR22,0)</f>
        <v>17391371.455</v>
      </c>
      <c r="AS23" s="76" t="n">
        <f aca="false">IFERROR(AS21+AS22,0)</f>
        <v>19642184.62</v>
      </c>
      <c r="AT23" s="76" t="n">
        <f aca="false">IFERROR(AT21+AT22,0)</f>
        <v>22234652.455</v>
      </c>
      <c r="AU23" s="76" t="n">
        <f aca="false">IFERROR(AU21+AU22,0)</f>
        <v>25219016.455</v>
      </c>
      <c r="AV23" s="76" t="n">
        <f aca="false">IFERROR(AV21+AV22,0)</f>
        <v>28652699.11</v>
      </c>
      <c r="AW23" s="76" t="n">
        <f aca="false">IFERROR(AW21+AW22,0)</f>
        <v>32601676.375</v>
      </c>
      <c r="AX23" s="76" t="n">
        <f aca="false">IFERROR(AX21+AX22,0)</f>
        <v>37141836.655</v>
      </c>
      <c r="AY23" s="76" t="n">
        <f aca="false">IFERROR(AY21+AY22,0)</f>
        <v>42360129.025</v>
      </c>
      <c r="AZ23" s="76" t="n">
        <f aca="false">IFERROR(AZ21+AZ22,0)</f>
        <v>48356608.45</v>
      </c>
      <c r="BA23" s="77" t="n">
        <f aca="false">AZ23</f>
        <v>48356608.45</v>
      </c>
      <c r="BB23" s="76" t="n">
        <f aca="false">IFERROR(BB21+BB22,0)</f>
        <v>55246059.475</v>
      </c>
      <c r="BC23" s="76" t="n">
        <f aca="false">IFERROR(BC21+BC22,0)</f>
        <v>63160476.46</v>
      </c>
      <c r="BD23" s="76" t="n">
        <f aca="false">IFERROR(BD21+BD22,0)</f>
        <v>72250898.035</v>
      </c>
      <c r="BE23" s="76" t="n">
        <f aca="false">IFERROR(BE21+BE22,0)</f>
        <v>82691062.525</v>
      </c>
      <c r="BF23" s="76" t="n">
        <f aca="false">IFERROR(BF21+BF22,0)</f>
        <v>94680574.42</v>
      </c>
      <c r="BG23" s="76" t="n">
        <f aca="false">IFERROR(BG21+BG22,0)</f>
        <v>108448784.05</v>
      </c>
      <c r="BH23" s="76" t="n">
        <f aca="false">IFERROR(BH21+BH22,0)</f>
        <v>124258864.54</v>
      </c>
      <c r="BI23" s="76" t="n">
        <f aca="false">IFERROR(BI21+BI22,0)</f>
        <v>142413261.235</v>
      </c>
      <c r="BJ23" s="76" t="n">
        <f aca="false">IFERROR(BJ21+BJ22,0)</f>
        <v>163259392.345</v>
      </c>
      <c r="BK23" s="76" t="n">
        <f aca="false">IFERROR(BK21+BK22,0)</f>
        <v>187196192.65</v>
      </c>
      <c r="BL23" s="76" t="n">
        <f aca="false">IFERROR(BL21+BL22,0)</f>
        <v>214682083.615</v>
      </c>
      <c r="BM23" s="76" t="n">
        <f aca="false">IFERROR(BM21+BM22,0)</f>
        <v>246243562.315</v>
      </c>
      <c r="BN23" s="77" t="n">
        <f aca="false">BM23</f>
        <v>246243562.315</v>
      </c>
    </row>
    <row r="24" customFormat="false" ht="6" hidden="false" customHeight="true" outlineLevel="0" collapsed="false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8"/>
      <c r="AQ24" s="78"/>
      <c r="AR24" s="78"/>
      <c r="AS24" s="78"/>
      <c r="AT24" s="78"/>
      <c r="AU24" s="78"/>
      <c r="AV24" s="78"/>
      <c r="AW24" s="78"/>
      <c r="AX24" s="78"/>
      <c r="AY24" s="78"/>
      <c r="AZ24" s="78"/>
      <c r="BA24" s="79"/>
      <c r="BB24" s="78"/>
      <c r="BC24" s="78"/>
      <c r="BD24" s="78"/>
      <c r="BE24" s="78"/>
      <c r="BF24" s="78"/>
      <c r="BG24" s="78"/>
      <c r="BH24" s="78"/>
      <c r="BI24" s="78"/>
      <c r="BJ24" s="78"/>
      <c r="BK24" s="78"/>
      <c r="BL24" s="78"/>
      <c r="BM24" s="78"/>
      <c r="BN24" s="79"/>
    </row>
    <row r="25" customFormat="false" ht="18" hidden="false" customHeight="true" outlineLevel="0" collapsed="false">
      <c r="A25" s="75" t="s">
        <v>299</v>
      </c>
      <c r="B25" s="76" t="n">
        <f aca="false">IFERROR(B18+B23,0)</f>
        <v>523750</v>
      </c>
      <c r="C25" s="76" t="n">
        <f aca="false">IFERROR(C18+C23,0)</f>
        <v>497916.5</v>
      </c>
      <c r="D25" s="76" t="n">
        <f aca="false">IFERROR(D18+D23,0)</f>
        <v>474606.42</v>
      </c>
      <c r="E25" s="76" t="n">
        <f aca="false">IFERROR(E18+E23,0)</f>
        <v>434212.68</v>
      </c>
      <c r="F25" s="76" t="n">
        <f aca="false">IFERROR(F18+F23,0)</f>
        <v>397029.18</v>
      </c>
      <c r="G25" s="76" t="n">
        <f aca="false">IFERROR(G18+G23,0)</f>
        <v>1863444.82</v>
      </c>
      <c r="H25" s="76" t="n">
        <f aca="false">IFERROR(H18+H23,0)</f>
        <v>1797731.5</v>
      </c>
      <c r="I25" s="76" t="n">
        <f aca="false">IFERROR(I18+I23,0)</f>
        <v>1737047.12</v>
      </c>
      <c r="J25" s="76" t="n">
        <f aca="false">IFERROR(J18+J23,0)</f>
        <v>1681816.54</v>
      </c>
      <c r="K25" s="76" t="n">
        <f aca="false">IFERROR(K18+K23,0)</f>
        <v>1612848.62</v>
      </c>
      <c r="L25" s="76" t="n">
        <f aca="false">IFERROR(L18+L23,0)</f>
        <v>1551108.22</v>
      </c>
      <c r="M25" s="76" t="n">
        <f aca="false">IFERROR(M18+M23,0)</f>
        <v>1497364.18</v>
      </c>
      <c r="N25" s="76" t="n">
        <f aca="false">M25</f>
        <v>1497364.18</v>
      </c>
      <c r="O25" s="76" t="n">
        <f aca="false">IFERROR(O18+O23,0)</f>
        <v>1437069.32</v>
      </c>
      <c r="P25" s="76" t="n">
        <f aca="false">IFERROR(P18+P23,0)</f>
        <v>1387259.44</v>
      </c>
      <c r="Q25" s="76" t="n">
        <f aca="false">IFERROR(Q18+Q23,0)</f>
        <v>1349627.32</v>
      </c>
      <c r="R25" s="76" t="n">
        <f aca="false">IFERROR(R18+R23,0)</f>
        <v>1325919.74</v>
      </c>
      <c r="S25" s="76" t="n">
        <f aca="false">IFERROR(S18+S23,0)</f>
        <v>1317892.44</v>
      </c>
      <c r="T25" s="76" t="n">
        <f aca="false">IFERROR(T18+T23,0)</f>
        <v>4325805.545</v>
      </c>
      <c r="U25" s="76" t="n">
        <f aca="false">IFERROR(U18+U23,0)</f>
        <v>4349099.49</v>
      </c>
      <c r="V25" s="76" t="n">
        <f aca="false">IFERROR(V18+V23,0)</f>
        <v>4389851.55</v>
      </c>
      <c r="W25" s="76" t="n">
        <f aca="false">IFERROR(W18+W23,0)</f>
        <v>4450605.45</v>
      </c>
      <c r="X25" s="76" t="n">
        <f aca="false">IFERROR(X18+X23,0)</f>
        <v>4534380.385</v>
      </c>
      <c r="Y25" s="76" t="n">
        <f aca="false">IFERROR(Y18+Y23,0)</f>
        <v>4644446.77</v>
      </c>
      <c r="Z25" s="76" t="n">
        <f aca="false">IFERROR(Z18+Z23,0)</f>
        <v>4784550.49</v>
      </c>
      <c r="AA25" s="76" t="n">
        <f aca="false">Z25</f>
        <v>4784550.49</v>
      </c>
      <c r="AB25" s="76" t="n">
        <f aca="false">IFERROR(AB18+AB23,0)</f>
        <v>4959182.16</v>
      </c>
      <c r="AC25" s="76" t="n">
        <f aca="false">IFERROR(AC18+AC23,0)</f>
        <v>5173289.825</v>
      </c>
      <c r="AD25" s="76" t="n">
        <f aca="false">IFERROR(AD18+AD23,0)</f>
        <v>5432566.26</v>
      </c>
      <c r="AE25" s="76" t="n">
        <f aca="false">IFERROR(AE18+AE23,0)</f>
        <v>5743408.425</v>
      </c>
      <c r="AF25" s="76" t="n">
        <f aca="false">IFERROR(AF18+AF23,0)</f>
        <v>6113173.24</v>
      </c>
      <c r="AG25" s="76" t="n">
        <f aca="false">IFERROR(AG18+AG23,0)</f>
        <v>6550415.32</v>
      </c>
      <c r="AH25" s="76" t="n">
        <f aca="false">IFERROR(AH18+AH23,0)</f>
        <v>7064653.705</v>
      </c>
      <c r="AI25" s="76" t="n">
        <f aca="false">IFERROR(AI18+AI23,0)</f>
        <v>7667022.105</v>
      </c>
      <c r="AJ25" s="76" t="n">
        <f aca="false">IFERROR(AJ18+AJ23,0)</f>
        <v>8370345.435</v>
      </c>
      <c r="AK25" s="76" t="n">
        <f aca="false">IFERROR(AK18+AK23,0)</f>
        <v>9189314.5</v>
      </c>
      <c r="AL25" s="76" t="n">
        <f aca="false">IFERROR(AL18+AL23,0)</f>
        <v>10140741.77</v>
      </c>
      <c r="AM25" s="76" t="n">
        <f aca="false">IFERROR(AM18+AM23,0)</f>
        <v>11243799.115</v>
      </c>
      <c r="AN25" s="76" t="n">
        <f aca="false">AM25</f>
        <v>11243799.115</v>
      </c>
      <c r="AO25" s="76" t="n">
        <f aca="false">IFERROR(AO18+AO23,0)</f>
        <v>12520704.04</v>
      </c>
      <c r="AP25" s="76" t="n">
        <f aca="false">IFERROR(AP18+AP23,0)</f>
        <v>13996710.665</v>
      </c>
      <c r="AQ25" s="76" t="n">
        <f aca="false">IFERROR(AQ18+AQ23,0)</f>
        <v>15700580.73</v>
      </c>
      <c r="AR25" s="76" t="n">
        <f aca="false">IFERROR(AR18+AR23,0)</f>
        <v>17665740.835</v>
      </c>
      <c r="AS25" s="76" t="n">
        <f aca="false">IFERROR(AS18+AS23,0)</f>
        <v>19930264.4</v>
      </c>
      <c r="AT25" s="76" t="n">
        <f aca="false">IFERROR(AT18+AT23,0)</f>
        <v>22537813.675</v>
      </c>
      <c r="AU25" s="76" t="n">
        <f aca="false">IFERROR(AU18+AU23,0)</f>
        <v>25538765.455</v>
      </c>
      <c r="AV25" s="76" t="n">
        <f aca="false">IFERROR(AV18+AV23,0)</f>
        <v>28990695.57</v>
      </c>
      <c r="AW25" s="76" t="n">
        <f aca="false">IFERROR(AW18+AW23,0)</f>
        <v>32959751.355</v>
      </c>
      <c r="AX25" s="76" t="n">
        <f aca="false">IFERROR(AX18+AX23,0)</f>
        <v>37522001.615</v>
      </c>
      <c r="AY25" s="76" t="n">
        <f aca="false">IFERROR(AY18+AY23,0)</f>
        <v>42764593.865</v>
      </c>
      <c r="AZ25" s="76" t="n">
        <f aca="false">IFERROR(AZ18+AZ23,0)</f>
        <v>48787799.55</v>
      </c>
      <c r="BA25" s="77" t="n">
        <f aca="false">AZ25</f>
        <v>48787799.55</v>
      </c>
      <c r="BB25" s="76" t="n">
        <f aca="false">IFERROR(BB18+BB23,0)</f>
        <v>55706655.775</v>
      </c>
      <c r="BC25" s="76" t="n">
        <f aca="false">IFERROR(BC18+BC23,0)</f>
        <v>63653418.48</v>
      </c>
      <c r="BD25" s="76" t="n">
        <f aca="false">IFERROR(BD18+BD23,0)</f>
        <v>72779414.935</v>
      </c>
      <c r="BE25" s="76" t="n">
        <f aca="false">IFERROR(BE18+BE23,0)</f>
        <v>83258717.205</v>
      </c>
      <c r="BF25" s="76" t="n">
        <f aca="false">IFERROR(BF18+BF23,0)</f>
        <v>95291281.56</v>
      </c>
      <c r="BG25" s="76" t="n">
        <f aca="false">IFERROR(BG18+BG23,0)</f>
        <v>109106855.21</v>
      </c>
      <c r="BH25" s="76" t="n">
        <f aca="false">IFERROR(BH18+BH23,0)</f>
        <v>124969035.22</v>
      </c>
      <c r="BI25" s="76" t="n">
        <f aca="false">IFERROR(BI18+BI23,0)</f>
        <v>143180735.975</v>
      </c>
      <c r="BJ25" s="76" t="n">
        <f aca="false">IFERROR(BJ18+BJ23,0)</f>
        <v>164089907.865</v>
      </c>
      <c r="BK25" s="76" t="n">
        <f aca="false">IFERROR(BK18+BK23,0)</f>
        <v>188096044.91</v>
      </c>
      <c r="BL25" s="76" t="n">
        <f aca="false">IFERROR(BL18+BL23,0)</f>
        <v>215658208.995</v>
      </c>
      <c r="BM25" s="76" t="n">
        <f aca="false">IFERROR(BM18+BM23,0)</f>
        <v>247303582.715</v>
      </c>
      <c r="BN25" s="77" t="n">
        <f aca="false">BM25</f>
        <v>247303582.715</v>
      </c>
    </row>
    <row r="26" customFormat="false" ht="21.75" hidden="false" customHeight="true" outlineLevel="0" collapsed="false">
      <c r="A26" s="101" t="s">
        <v>300</v>
      </c>
      <c r="B26" s="103" t="n">
        <f aca="false">IFERROR(B13-B25,0)</f>
        <v>0</v>
      </c>
      <c r="C26" s="103" t="n">
        <f aca="false">IFERROR(C13-C25,0)</f>
        <v>0</v>
      </c>
      <c r="D26" s="103" t="n">
        <f aca="false">IFERROR(D13-D25,0)</f>
        <v>0</v>
      </c>
      <c r="E26" s="103" t="n">
        <f aca="false">IFERROR(E13-E25,0)</f>
        <v>0</v>
      </c>
      <c r="F26" s="103" t="n">
        <f aca="false">IFERROR(F13-F25,0)</f>
        <v>0</v>
      </c>
      <c r="G26" s="103" t="n">
        <f aca="false">IFERROR(G13-G25,0)</f>
        <v>0</v>
      </c>
      <c r="H26" s="103" t="n">
        <f aca="false">IFERROR(H13-H25,0)</f>
        <v>0</v>
      </c>
      <c r="I26" s="103" t="n">
        <f aca="false">IFERROR(I13-I25,0)</f>
        <v>0</v>
      </c>
      <c r="J26" s="103" t="n">
        <f aca="false">IFERROR(J13-J25,0)</f>
        <v>0</v>
      </c>
      <c r="K26" s="103" t="n">
        <f aca="false">IFERROR(K13-K25,0)</f>
        <v>0</v>
      </c>
      <c r="L26" s="103" t="n">
        <f aca="false">IFERROR(L13-L25,0)</f>
        <v>0</v>
      </c>
      <c r="M26" s="103" t="n">
        <f aca="false">IFERROR(M13-M25,0)</f>
        <v>0</v>
      </c>
      <c r="N26" s="103" t="n">
        <f aca="false">M26</f>
        <v>0</v>
      </c>
      <c r="O26" s="103" t="n">
        <f aca="false">IFERROR(O13-O25,0)</f>
        <v>0</v>
      </c>
      <c r="P26" s="103" t="n">
        <f aca="false">IFERROR(P13-P25,0)</f>
        <v>0</v>
      </c>
      <c r="Q26" s="103" t="n">
        <f aca="false">IFERROR(Q13-Q25,0)</f>
        <v>0</v>
      </c>
      <c r="R26" s="103" t="n">
        <f aca="false">IFERROR(R13-R25,0)</f>
        <v>0</v>
      </c>
      <c r="S26" s="103" t="n">
        <f aca="false">IFERROR(S13-S25,0)</f>
        <v>0</v>
      </c>
      <c r="T26" s="103" t="n">
        <f aca="false">IFERROR(T13-T25,0)</f>
        <v>2138.59499999974</v>
      </c>
      <c r="U26" s="103" t="n">
        <f aca="false">IFERROR(U13-U25,0)</f>
        <v>9356.02999999933</v>
      </c>
      <c r="V26" s="103" t="n">
        <f aca="false">IFERROR(V13-V25,0)</f>
        <v>22335.709999999</v>
      </c>
      <c r="W26" s="103" t="n">
        <f aca="false">IFERROR(W13-W25,0)</f>
        <v>41919.5299999984</v>
      </c>
      <c r="X26" s="103" t="n">
        <f aca="false">IFERROR(X13-X25,0)</f>
        <v>69107.8749999991</v>
      </c>
      <c r="Y26" s="103" t="n">
        <f aca="false">IFERROR(Y13-Y25,0)</f>
        <v>104984.87</v>
      </c>
      <c r="Z26" s="103" t="n">
        <f aca="false">IFERROR(Z13-Z25,0)</f>
        <v>150793.129999999</v>
      </c>
      <c r="AA26" s="103" t="n">
        <f aca="false">Z26</f>
        <v>150793.129999999</v>
      </c>
      <c r="AB26" s="103" t="n">
        <f aca="false">IFERROR(AB13-AB25,0)</f>
        <v>208017.499999999</v>
      </c>
      <c r="AC26" s="103" t="n">
        <f aca="false">IFERROR(AC13-AC25,0)</f>
        <v>278301.315</v>
      </c>
      <c r="AD26" s="103" t="n">
        <f aca="false">IFERROR(AD13-AD25,0)</f>
        <v>363530.140000001</v>
      </c>
      <c r="AE26" s="103" t="n">
        <f aca="false">IFERROR(AE13-AE25,0)</f>
        <v>465827.275</v>
      </c>
      <c r="AF26" s="103" t="n">
        <f aca="false">IFERROR(AF13-AF25,0)</f>
        <v>587633.000000002</v>
      </c>
      <c r="AG26" s="103" t="n">
        <f aca="false">IFERROR(AG13-AG25,0)</f>
        <v>731783.820000002</v>
      </c>
      <c r="AH26" s="103" t="n">
        <f aca="false">IFERROR(AH13-AH25,0)</f>
        <v>901437.715000002</v>
      </c>
      <c r="AI26" s="103" t="n">
        <f aca="false">IFERROR(AI13-AI25,0)</f>
        <v>1100293.895</v>
      </c>
      <c r="AJ26" s="103" t="n">
        <f aca="false">IFERROR(AJ13-AJ25,0)</f>
        <v>1332606.285</v>
      </c>
      <c r="AK26" s="103" t="n">
        <f aca="false">IFERROR(AK13-AK25,0)</f>
        <v>1603253.78</v>
      </c>
      <c r="AL26" s="103" t="n">
        <f aca="false">IFERROR(AL13-AL25,0)</f>
        <v>1917819.49</v>
      </c>
      <c r="AM26" s="103" t="n">
        <f aca="false">IFERROR(AM13-AM25,0)</f>
        <v>2282669.985</v>
      </c>
      <c r="AN26" s="103" t="n">
        <f aca="false">AM26</f>
        <v>2282669.985</v>
      </c>
      <c r="AO26" s="103" t="n">
        <f aca="false">IFERROR(AO13-AO25,0)</f>
        <v>2705184.04</v>
      </c>
      <c r="AP26" s="103" t="n">
        <f aca="false">IFERROR(AP13-AP25,0)</f>
        <v>3193752.635</v>
      </c>
      <c r="AQ26" s="103" t="n">
        <f aca="false">IFERROR(AQ13-AQ25,0)</f>
        <v>3757932.95</v>
      </c>
      <c r="AR26" s="103" t="n">
        <f aca="false">IFERROR(AR13-AR25,0)</f>
        <v>4408831.105</v>
      </c>
      <c r="AS26" s="103" t="n">
        <f aca="false">IFERROR(AS13-AS25,0)</f>
        <v>5159102.16</v>
      </c>
      <c r="AT26" s="103" t="n">
        <f aca="false">IFERROR(AT13-AT25,0)</f>
        <v>6023258.105</v>
      </c>
      <c r="AU26" s="103" t="n">
        <f aca="false">IFERROR(AU13-AU25,0)</f>
        <v>7018046.105</v>
      </c>
      <c r="AV26" s="103" t="n">
        <f aca="false">IFERROR(AV13-AV25,0)</f>
        <v>8162606.99</v>
      </c>
      <c r="AW26" s="103" t="n">
        <f aca="false">IFERROR(AW13-AW25,0)</f>
        <v>9478932.745</v>
      </c>
      <c r="AX26" s="103" t="n">
        <f aca="false">IFERROR(AX13-AX25,0)</f>
        <v>10992319.505</v>
      </c>
      <c r="AY26" s="103" t="n">
        <f aca="false">IFERROR(AY13-AY25,0)</f>
        <v>12731750.295</v>
      </c>
      <c r="AZ26" s="103" t="n">
        <f aca="false">IFERROR(AZ13-AZ25,0)</f>
        <v>14730576.77</v>
      </c>
      <c r="BA26" s="71" t="n">
        <f aca="false">AZ26</f>
        <v>14730576.77</v>
      </c>
      <c r="BB26" s="103" t="n">
        <f aca="false">IFERROR(BB13-BB25,0)</f>
        <v>17027060.445</v>
      </c>
      <c r="BC26" s="103" t="n">
        <f aca="false">IFERROR(BC13-BC25,0)</f>
        <v>19665199.44</v>
      </c>
      <c r="BD26" s="103" t="n">
        <f aca="false">IFERROR(BD13-BD25,0)</f>
        <v>22695339.965</v>
      </c>
      <c r="BE26" s="103" t="n">
        <f aca="false">IFERROR(BE13-BE25,0)</f>
        <v>26175394.795</v>
      </c>
      <c r="BF26" s="103" t="n">
        <f aca="false">IFERROR(BF13-BF25,0)</f>
        <v>30171898.76</v>
      </c>
      <c r="BG26" s="103" t="n">
        <f aca="false">IFERROR(BG13-BG25,0)</f>
        <v>34761301.97</v>
      </c>
      <c r="BH26" s="103" t="n">
        <f aca="false">IFERROR(BH13-BH25,0)</f>
        <v>40031328.8</v>
      </c>
      <c r="BI26" s="103" t="n">
        <f aca="false">IFERROR(BI13-BI25,0)</f>
        <v>46082794.365</v>
      </c>
      <c r="BJ26" s="103" t="n">
        <f aca="false">IFERROR(BJ13-BJ25,0)</f>
        <v>53031504.735</v>
      </c>
      <c r="BK26" s="103" t="n">
        <f aca="false">IFERROR(BK13-BK25,0)</f>
        <v>61010438.1700001</v>
      </c>
      <c r="BL26" s="103" t="n">
        <f aca="false">IFERROR(BL13-BL25,0)</f>
        <v>70172401.825</v>
      </c>
      <c r="BM26" s="103" t="n">
        <f aca="false">IFERROR(BM13-BM25,0)</f>
        <v>80692894.725</v>
      </c>
      <c r="BN26" s="71" t="n">
        <f aca="false">BM26</f>
        <v>80692894.725</v>
      </c>
    </row>
    <row r="27" customFormat="false" ht="15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customFormat="false" ht="15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customFormat="false" ht="15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customFormat="false" ht="15.7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customFormat="false" ht="15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customFormat="false" ht="15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customFormat="false" ht="15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customFormat="false" ht="15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customFormat="false" ht="15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customFormat="false" ht="15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customFormat="false" ht="15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customFormat="false" ht="15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customFormat="false" ht="15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customFormat="false" ht="15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customFormat="false" ht="15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customFormat="false" ht="15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customFormat="false" ht="15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customFormat="false" ht="15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customFormat="false" ht="15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customFormat="false" ht="15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customFormat="false" ht="15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customFormat="false" ht="15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customFormat="false" ht="15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customFormat="false" ht="15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customFormat="false" ht="15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customFormat="false" ht="15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customFormat="false" ht="15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customFormat="false" ht="15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customFormat="false" ht="15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customFormat="false" ht="15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customFormat="false" ht="15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customFormat="false" ht="15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customFormat="false" ht="15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customFormat="false" ht="15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customFormat="false" ht="15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customFormat="false" ht="15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customFormat="false" ht="15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customFormat="false" ht="15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customFormat="false" ht="15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customFormat="false" ht="15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customFormat="false" ht="15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customFormat="false" ht="15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customFormat="false" ht="15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customFormat="false" ht="15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customFormat="false" ht="15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customFormat="false" ht="15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customFormat="false" ht="15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customFormat="false" ht="15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customFormat="false" ht="15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customFormat="false" ht="15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customFormat="false" ht="15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customFormat="false" ht="15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customFormat="false" ht="15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customFormat="false" ht="15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customFormat="false" ht="15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customFormat="false" ht="15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customFormat="false" ht="15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customFormat="false" ht="15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customFormat="false" ht="15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customFormat="false" ht="15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customFormat="false" ht="15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customFormat="false" ht="15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customFormat="false" ht="15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customFormat="false" ht="15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customFormat="false" ht="15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customFormat="false" ht="15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customFormat="false" ht="15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customFormat="false" ht="15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customFormat="false" ht="15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customFormat="false" ht="15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customFormat="false" ht="15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customFormat="false" ht="15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customFormat="false" ht="15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customFormat="false" ht="15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customFormat="false" ht="15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customFormat="false" ht="15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customFormat="false" ht="15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customFormat="false" ht="15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customFormat="false" ht="15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customFormat="false" ht="15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customFormat="false" ht="15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customFormat="false" ht="15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customFormat="false" ht="15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customFormat="false" ht="15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customFormat="false" ht="15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customFormat="false" ht="15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customFormat="false" ht="15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customFormat="false" ht="15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customFormat="false" ht="15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customFormat="false" ht="15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customFormat="false" ht="15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customFormat="false" ht="15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customFormat="false" ht="15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customFormat="false" ht="15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customFormat="false" ht="15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customFormat="false" ht="15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 customFormat="false" ht="15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customFormat="false" ht="15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customFormat="false" ht="15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customFormat="false" ht="15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customFormat="false" ht="15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customFormat="false" ht="15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customFormat="false" ht="15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customFormat="false" ht="15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customFormat="false" ht="15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customFormat="false" ht="15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customFormat="false" ht="15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customFormat="false" ht="15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customFormat="false" ht="15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customFormat="false" ht="15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customFormat="false" ht="15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customFormat="false" ht="15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customFormat="false" ht="15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customFormat="false" ht="15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customFormat="false" ht="15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customFormat="false" ht="15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customFormat="false" ht="15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customFormat="false" ht="15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customFormat="false" ht="15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customFormat="false" ht="15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customFormat="false" ht="15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customFormat="false" ht="15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customFormat="false" ht="15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customFormat="false" ht="15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customFormat="false" ht="15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customFormat="false" ht="15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customFormat="false" ht="15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customFormat="false" ht="15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customFormat="false" ht="15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customFormat="false" ht="15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customFormat="false" ht="15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customFormat="false" ht="15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customFormat="false" ht="15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customFormat="false" ht="15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customFormat="false" ht="15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customFormat="false" ht="15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customFormat="false" ht="15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customFormat="false" ht="15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customFormat="false" ht="15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customFormat="false" ht="15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customFormat="false" ht="15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customFormat="false" ht="15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customFormat="false" ht="15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customFormat="false" ht="15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customFormat="false" ht="15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customFormat="false" ht="15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customFormat="false" ht="15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customFormat="false" ht="15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customFormat="false" ht="15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customFormat="false" ht="15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customFormat="false" ht="15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customFormat="false" ht="15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customFormat="false" ht="15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customFormat="false" ht="15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customFormat="false" ht="15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customFormat="false" ht="15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customFormat="false" ht="15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customFormat="false" ht="15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customFormat="false" ht="15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customFormat="false" ht="15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customFormat="false" ht="15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customFormat="false" ht="15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customFormat="false" ht="15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customFormat="false" ht="15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customFormat="false" ht="15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customFormat="false" ht="15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customFormat="false" ht="15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customFormat="false" ht="15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customFormat="false" ht="15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customFormat="false" ht="15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customFormat="false" ht="15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customFormat="false" ht="15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customFormat="false" ht="15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customFormat="false" ht="15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customFormat="false" ht="15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customFormat="false" ht="15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customFormat="false" ht="15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customFormat="false" ht="15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customFormat="false" ht="15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customFormat="false" ht="15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customFormat="false" ht="15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customFormat="false" ht="15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customFormat="false" ht="15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customFormat="false" ht="15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customFormat="false" ht="15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customFormat="false" ht="15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customFormat="false" ht="15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customFormat="false" ht="15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customFormat="false" ht="15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</row>
  </sheetData>
  <mergeCells count="9">
    <mergeCell ref="A1:BN1"/>
    <mergeCell ref="A2:BN2"/>
    <mergeCell ref="AO4:AZ4"/>
    <mergeCell ref="BB4:BM4"/>
    <mergeCell ref="A6:BN6"/>
    <mergeCell ref="A7:BN7"/>
    <mergeCell ref="A11:BN11"/>
    <mergeCell ref="A15:BN15"/>
    <mergeCell ref="A20:BN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AD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8" min="3" style="0" width="16"/>
    <col collapsed="false" customWidth="true" hidden="false" outlineLevel="0" max="10" min="9" style="0" width="14"/>
    <col collapsed="false" customWidth="true" hidden="false" outlineLevel="0" max="30" min="11" style="0" width="8.71"/>
  </cols>
  <sheetData>
    <row r="1" customFormat="false" ht="49.5" hidden="false" customHeight="true" outlineLevel="0" collapsed="false">
      <c r="A1" s="1"/>
      <c r="B1" s="119" t="s">
        <v>301</v>
      </c>
      <c r="C1" s="119"/>
      <c r="D1" s="119"/>
      <c r="E1" s="119"/>
      <c r="F1" s="119"/>
      <c r="G1" s="119"/>
      <c r="H1" s="119"/>
      <c r="I1" s="119"/>
      <c r="J1" s="119"/>
      <c r="K1" s="119"/>
    </row>
    <row r="2" customFormat="false" ht="25.5" hidden="false" customHeight="true" outlineLevel="0" collapsed="false">
      <c r="A2" s="1"/>
      <c r="B2" s="120" t="s">
        <v>302</v>
      </c>
      <c r="C2" s="120"/>
      <c r="D2" s="120"/>
      <c r="E2" s="120"/>
      <c r="F2" s="120"/>
      <c r="G2" s="120"/>
      <c r="H2" s="120"/>
      <c r="I2" s="120"/>
      <c r="J2" s="120"/>
      <c r="K2" s="120"/>
    </row>
    <row r="3" customFormat="false" ht="6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customFormat="false" ht="21.75" hidden="false" customHeight="true" outlineLevel="0" collapsed="false">
      <c r="A4" s="1"/>
      <c r="B4" s="121" t="s">
        <v>303</v>
      </c>
      <c r="C4" s="121" t="s">
        <v>40</v>
      </c>
      <c r="D4" s="122" t="s">
        <v>41</v>
      </c>
      <c r="E4" s="123" t="s">
        <v>42</v>
      </c>
      <c r="F4" s="123" t="s">
        <v>43</v>
      </c>
      <c r="G4" s="123" t="s">
        <v>44</v>
      </c>
      <c r="H4" s="124" t="s">
        <v>304</v>
      </c>
      <c r="I4" s="125" t="s">
        <v>305</v>
      </c>
      <c r="J4" s="125" t="s">
        <v>306</v>
      </c>
    </row>
    <row r="5" customFormat="false" ht="6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customFormat="false" ht="21.75" hidden="false" customHeight="true" outlineLevel="0" collapsed="false">
      <c r="A6" s="1"/>
      <c r="B6" s="57" t="s">
        <v>307</v>
      </c>
      <c r="C6" s="57"/>
      <c r="D6" s="57"/>
      <c r="E6" s="57"/>
      <c r="F6" s="57"/>
      <c r="G6" s="57"/>
      <c r="H6" s="57"/>
      <c r="I6" s="57"/>
      <c r="J6" s="57"/>
      <c r="K6" s="57"/>
    </row>
    <row r="7" customFormat="false" ht="21.75" hidden="false" customHeight="true" outlineLevel="0" collapsed="false">
      <c r="A7" s="1"/>
      <c r="B7" s="63" t="s">
        <v>308</v>
      </c>
      <c r="C7" s="106" t="n">
        <f aca="false">IFERROR(REVENUE!N31,0)</f>
        <v>523019</v>
      </c>
      <c r="D7" s="106" t="n">
        <f aca="false">IFERROR(REVENUE!AA31,0)</f>
        <v>2293526</v>
      </c>
      <c r="E7" s="103" t="n">
        <f aca="false">IFERROR(REVENUE!AN31,0)</f>
        <v>10877359</v>
      </c>
      <c r="F7" s="73" t="n">
        <f aca="false">IFERROR(REVENUE!BA31,0)</f>
        <v>53641631</v>
      </c>
      <c r="G7" s="73" t="n">
        <f aca="false">IFERROR(REVENUE!BN31,0)</f>
        <v>272411919</v>
      </c>
      <c r="H7" s="126" t="n">
        <f aca="false">IFERROR((G7-C7)/ABS(C7),0)</f>
        <v>519.845168148767</v>
      </c>
      <c r="I7" s="19" t="s">
        <v>309</v>
      </c>
      <c r="J7" s="127" t="str">
        <f aca="false">IF(D7&gt;1000000,"Strong","Below target")</f>
        <v>Strong</v>
      </c>
    </row>
    <row r="8" customFormat="false" ht="21.75" hidden="false" customHeight="true" outlineLevel="0" collapsed="false">
      <c r="A8" s="1"/>
      <c r="B8" s="20" t="s">
        <v>310</v>
      </c>
      <c r="C8" s="106" t="n">
        <f aca="false">IFERROR(REVENUE!N16,0)</f>
        <v>1680120</v>
      </c>
      <c r="D8" s="106" t="n">
        <f aca="false">IFERROR(REVENUE!AA16,0)</f>
        <v>4595940</v>
      </c>
      <c r="E8" s="103" t="n">
        <f aca="false">IFERROR(REVENUE!AN16,0)</f>
        <v>14063220</v>
      </c>
      <c r="F8" s="73" t="n">
        <f aca="false">IFERROR(REVENUE!BA16,0)</f>
        <v>43999740</v>
      </c>
      <c r="G8" s="73" t="n">
        <f aca="false">IFERROR(REVENUE!BN16,0)</f>
        <v>138043620</v>
      </c>
      <c r="H8" s="126" t="n">
        <f aca="false">IFERROR((G8-C8)/ABS(C8),0)</f>
        <v>81.1629526462396</v>
      </c>
      <c r="I8" s="19" t="s">
        <v>311</v>
      </c>
      <c r="J8" s="128" t="s">
        <v>312</v>
      </c>
    </row>
    <row r="9" customFormat="false" ht="21.75" hidden="false" customHeight="true" outlineLevel="0" collapsed="false">
      <c r="A9" s="1"/>
      <c r="B9" s="13" t="s">
        <v>313</v>
      </c>
      <c r="C9" s="129" t="n">
        <f aca="false">IFERROR(REVENUE!M9,0)</f>
        <v>1143</v>
      </c>
      <c r="D9" s="129" t="n">
        <f aca="false">IFERROR(REVENUE!Z9,0)</f>
        <v>3348</v>
      </c>
      <c r="E9" s="130" t="n">
        <f aca="false">IFERROR(REVENUE!AM9,0)</f>
        <v>10401</v>
      </c>
      <c r="F9" s="58" t="n">
        <f aca="false">IFERROR(REVENUE!AZ9,0)</f>
        <v>32605</v>
      </c>
      <c r="G9" s="58" t="n">
        <f aca="false">IFERROR(REVENUE!BM9,0)</f>
        <v>102320</v>
      </c>
      <c r="H9" s="126" t="n">
        <f aca="false">IFERROR((G9-C9)/ABS(C9),0)</f>
        <v>88.5188101487314</v>
      </c>
      <c r="I9" s="19" t="s">
        <v>314</v>
      </c>
      <c r="J9" s="128" t="s">
        <v>312</v>
      </c>
    </row>
    <row r="10" customFormat="false" ht="21.75" hidden="false" customHeight="true" outlineLevel="0" collapsed="false">
      <c r="A10" s="1"/>
      <c r="B10" s="20" t="s">
        <v>315</v>
      </c>
      <c r="C10" s="129" t="n">
        <f aca="false">IFERROR(REVENUE!M24,0)</f>
        <v>154</v>
      </c>
      <c r="D10" s="129" t="n">
        <f aca="false">IFERROR(REVENUE!Z24,0)</f>
        <v>870</v>
      </c>
      <c r="E10" s="130" t="n">
        <f aca="false">IFERROR(REVENUE!AM24,0)</f>
        <v>4714</v>
      </c>
      <c r="F10" s="58" t="n">
        <f aca="false">IFERROR(REVENUE!AZ24,0)</f>
        <v>25238</v>
      </c>
      <c r="G10" s="58" t="n">
        <f aca="false">IFERROR(REVENUE!BM24,0)</f>
        <v>135048</v>
      </c>
      <c r="H10" s="126" t="n">
        <f aca="false">IFERROR((G10-C10)/ABS(C10),0)</f>
        <v>875.935064935065</v>
      </c>
      <c r="I10" s="19" t="s">
        <v>316</v>
      </c>
      <c r="J10" s="128" t="s">
        <v>312</v>
      </c>
    </row>
    <row r="11" customFormat="false" ht="6" hidden="false" customHeight="tru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customFormat="false" ht="21.75" hidden="false" customHeight="true" outlineLevel="0" collapsed="false">
      <c r="A12" s="1"/>
      <c r="B12" s="57" t="s">
        <v>317</v>
      </c>
      <c r="C12" s="57"/>
      <c r="D12" s="57"/>
      <c r="E12" s="57"/>
      <c r="F12" s="57"/>
      <c r="G12" s="57"/>
      <c r="H12" s="57"/>
      <c r="I12" s="57"/>
      <c r="J12" s="57"/>
      <c r="K12" s="57"/>
    </row>
    <row r="13" customFormat="false" ht="21.75" hidden="false" customHeight="true" outlineLevel="0" collapsed="false">
      <c r="A13" s="1"/>
      <c r="B13" s="13" t="s">
        <v>222</v>
      </c>
      <c r="C13" s="131" t="n">
        <f aca="false">IFERROR('P&amp;L'!N15,0)</f>
        <v>0.839938367118728</v>
      </c>
      <c r="D13" s="131" t="n">
        <f aca="false">IFERROR('P&amp;L'!AA15,0)</f>
        <v>0.908141022349269</v>
      </c>
      <c r="E13" s="90" t="n">
        <f aca="false">IFERROR('P&amp;L'!AN15,0)</f>
        <v>0.943314037104371</v>
      </c>
      <c r="F13" s="86" t="n">
        <f aca="false">IFERROR('P&amp;L'!BA15,0)</f>
        <v>0.964861187276279</v>
      </c>
      <c r="G13" s="86" t="n">
        <f aca="false">IFERROR('P&amp;L'!BN15,0)</f>
        <v>0.978560878690998</v>
      </c>
      <c r="H13" s="126" t="n">
        <f aca="false">IFERROR(G13-C13,0)</f>
        <v>0.13862251157227</v>
      </c>
      <c r="I13" s="19" t="s">
        <v>318</v>
      </c>
      <c r="J13" s="127" t="str">
        <f aca="false">IF(C13&gt;0.4,"On track","Review COGS")</f>
        <v>On track</v>
      </c>
    </row>
    <row r="14" customFormat="false" ht="21.75" hidden="false" customHeight="true" outlineLevel="0" collapsed="false">
      <c r="A14" s="1"/>
      <c r="B14" s="20" t="s">
        <v>258</v>
      </c>
      <c r="C14" s="131" t="n">
        <f aca="false">IFERROR('P&amp;L'!N34,0)</f>
        <v>-0.916650760008842</v>
      </c>
      <c r="D14" s="131" t="n">
        <f aca="false">IFERROR('P&amp;L'!AA34,0)</f>
        <v>0.52273737183547</v>
      </c>
      <c r="E14" s="90" t="n">
        <f aca="false">IFERROR('P&amp;L'!AN34,0)</f>
        <v>0.863391561207895</v>
      </c>
      <c r="F14" s="86" t="n">
        <f aca="false">IFERROR('P&amp;L'!BA34,0)</f>
        <v>0.948829139795576</v>
      </c>
      <c r="G14" s="86" t="n">
        <f aca="false">IFERROR('P&amp;L'!BN34,0)</f>
        <v>0.975429498016689</v>
      </c>
      <c r="H14" s="126" t="n">
        <f aca="false">IFERROR(G14-C14,0)</f>
        <v>1.89208025802553</v>
      </c>
      <c r="I14" s="19" t="s">
        <v>319</v>
      </c>
      <c r="J14" s="128" t="s">
        <v>312</v>
      </c>
    </row>
    <row r="15" customFormat="false" ht="21.75" hidden="false" customHeight="true" outlineLevel="0" collapsed="false">
      <c r="A15" s="1"/>
      <c r="B15" s="13" t="s">
        <v>320</v>
      </c>
      <c r="C15" s="106" t="n">
        <f aca="false">IFERROR('P&amp;L'!N37,0)</f>
        <v>-650039.68</v>
      </c>
      <c r="D15" s="106" t="n">
        <f aca="false">IFERROR('P&amp;L'!AA37,0)</f>
        <v>267297.21</v>
      </c>
      <c r="E15" s="103" t="n">
        <f aca="false">IFERROR('P&amp;L'!AN37,0)</f>
        <v>6395630.565</v>
      </c>
      <c r="F15" s="73" t="n">
        <f aca="false">IFERROR('P&amp;L'!BA37,0)</f>
        <v>37343720.355</v>
      </c>
      <c r="G15" s="73" t="n">
        <f aca="false">IFERROR('P&amp;L'!BN37,0)</f>
        <v>197886953.865</v>
      </c>
      <c r="H15" s="126" t="n">
        <f aca="false">IFERROR((G15-C15)/ABS(C15),0)</f>
        <v>305.422883638427</v>
      </c>
      <c r="I15" s="19" t="s">
        <v>321</v>
      </c>
      <c r="J15" s="128" t="s">
        <v>312</v>
      </c>
    </row>
    <row r="16" customFormat="false" ht="6" hidden="false" customHeight="tru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customFormat="false" ht="21.75" hidden="false" customHeight="true" outlineLevel="0" collapsed="false">
      <c r="A17" s="1"/>
      <c r="B17" s="57" t="s">
        <v>322</v>
      </c>
      <c r="C17" s="57"/>
      <c r="D17" s="57"/>
      <c r="E17" s="57"/>
      <c r="F17" s="57"/>
      <c r="G17" s="57"/>
      <c r="H17" s="57"/>
      <c r="I17" s="57"/>
      <c r="J17" s="57"/>
      <c r="K17" s="57"/>
    </row>
    <row r="18" customFormat="false" ht="21.75" hidden="false" customHeight="true" outlineLevel="0" collapsed="false">
      <c r="A18" s="1"/>
      <c r="B18" s="20" t="s">
        <v>323</v>
      </c>
      <c r="C18" s="132" t="n">
        <f aca="false">ASSUMPTIONS!$B$33*ASSUMPTIONS!$B$35+ASSUMPTIONS!$B$34*(1-ASSUMPTIONS!$B$35)</f>
        <v>56</v>
      </c>
      <c r="D18" s="132" t="n">
        <f aca="false">ASSUMPTIONS!$B$33*ASSUMPTIONS!$B$35+ASSUMPTIONS!$B$34*(1-ASSUMPTIONS!$B$35)</f>
        <v>56</v>
      </c>
      <c r="E18" s="36" t="n">
        <f aca="false">ASSUMPTIONS!$B$33*ASSUMPTIONS!$B$35+ASSUMPTIONS!$B$34*(1-ASSUMPTIONS!$B$35)</f>
        <v>56</v>
      </c>
      <c r="F18" s="133" t="n">
        <f aca="false">ASSUMPTIONS!$B$33*ASSUMPTIONS!$B$35+ASSUMPTIONS!$B$34*(1-ASSUMPTIONS!$B$35)</f>
        <v>56</v>
      </c>
      <c r="G18" s="133" t="n">
        <f aca="false">ASSUMPTIONS!$B$33*ASSUMPTIONS!$B$35+ASSUMPTIONS!$B$34*(1-ASSUMPTIONS!$B$35)</f>
        <v>56</v>
      </c>
      <c r="H18" s="128" t="s">
        <v>312</v>
      </c>
      <c r="I18" s="19" t="s">
        <v>324</v>
      </c>
      <c r="J18" s="128" t="s">
        <v>312</v>
      </c>
    </row>
    <row r="19" customFormat="false" ht="21.75" hidden="false" customHeight="true" outlineLevel="0" collapsed="false">
      <c r="A19" s="1"/>
      <c r="B19" s="13" t="s">
        <v>325</v>
      </c>
      <c r="C19" s="106" t="n">
        <f aca="false">IFERROR((ASSUMPTIONS!$B$29*'P&amp;L'!M15)/ASSUMPTIONS!$B$28,0)</f>
        <v>12557.078588425</v>
      </c>
      <c r="D19" s="106" t="n">
        <f aca="false">IFERROR((ASSUMPTIONS!$B$29*'P&amp;L'!Z15)/ASSUMPTIONS!$B$28,0)</f>
        <v>13576.7082841216</v>
      </c>
      <c r="E19" s="103" t="n">
        <f aca="false">IFERROR((ASSUMPTIONS!$B$29*'P&amp;L'!AM15)/ASSUMPTIONS!$B$28,0)</f>
        <v>14102.5448547103</v>
      </c>
      <c r="F19" s="73" t="n">
        <f aca="false">IFERROR((ASSUMPTIONS!$B$29*'P&amp;L'!AZ15)/ASSUMPTIONS!$B$28,0)</f>
        <v>14424.6747497804</v>
      </c>
      <c r="G19" s="73" t="n">
        <f aca="false">IFERROR((ASSUMPTIONS!$B$29*'P&amp;L'!BM15)/ASSUMPTIONS!$B$28,0)</f>
        <v>14629.4851364304</v>
      </c>
      <c r="H19" s="128" t="s">
        <v>312</v>
      </c>
      <c r="I19" s="19" t="s">
        <v>326</v>
      </c>
      <c r="J19" s="128" t="s">
        <v>312</v>
      </c>
    </row>
    <row r="20" customFormat="false" ht="21.75" hidden="false" customHeight="true" outlineLevel="0" collapsed="false">
      <c r="A20" s="1"/>
      <c r="B20" s="20" t="s">
        <v>327</v>
      </c>
      <c r="C20" s="134" t="n">
        <f aca="false">IFERROR(C19/C18,0)</f>
        <v>224.233546221875</v>
      </c>
      <c r="D20" s="135" t="n">
        <f aca="false">IFERROR(D19/D18,0)</f>
        <v>242.441219359314</v>
      </c>
      <c r="E20" s="134" t="n">
        <f aca="false">IFERROR(E19/E18,0)</f>
        <v>251.831158119827</v>
      </c>
      <c r="F20" s="136" t="n">
        <f aca="false">IFERROR(C19/C18,0)</f>
        <v>224.233546221875</v>
      </c>
      <c r="G20" s="136" t="n">
        <f aca="false">IFERROR(C19/C18,0)</f>
        <v>224.233546221875</v>
      </c>
      <c r="H20" s="128" t="s">
        <v>312</v>
      </c>
      <c r="I20" s="19" t="s">
        <v>328</v>
      </c>
      <c r="J20" s="137" t="str">
        <f aca="false">IF(C20&gt;3,"Strong",IF(C20&gt;1.5,"OK","Review"))</f>
        <v>Strong</v>
      </c>
    </row>
    <row r="21" customFormat="false" ht="21.75" hidden="false" customHeight="true" outlineLevel="0" collapsed="false">
      <c r="A21" s="1"/>
      <c r="B21" s="13" t="s">
        <v>329</v>
      </c>
      <c r="C21" s="138" t="n">
        <f aca="false">IFERROR((ASSUMPTIONS!$B$33*ASSUMPTIONS!$B$35+ASSUMPTIONS!$B$34*(1-ASSUMPTIONS!$B$35))/(ASSUMPTIONS!$B$29*'P&amp;L'!M15),0)</f>
        <v>0.222981801083973</v>
      </c>
      <c r="D21" s="138" t="s">
        <v>312</v>
      </c>
      <c r="E21" s="139" t="s">
        <v>312</v>
      </c>
      <c r="F21" s="140" t="n">
        <f aca="false">IFERROR((ASSUMPTIONS!$B$33*ASSUMPTIONS!$B$35+ASSUMPTIONS!$B$34*(1-ASSUMPTIONS!$B$35))/(ASSUMPTIONS!$B$29*'P&amp;L'!AZ15),0)</f>
        <v>0.194111829110229</v>
      </c>
      <c r="G21" s="140" t="n">
        <f aca="false">IFERROR((ASSUMPTIONS!$B$33*ASSUMPTIONS!$B$35+ASSUMPTIONS!$B$34*(1-ASSUMPTIONS!$B$35))/(ASSUMPTIONS!$B$29*'P&amp;L'!BM15),0)</f>
        <v>0.191394295416961</v>
      </c>
      <c r="H21" s="128" t="s">
        <v>312</v>
      </c>
      <c r="I21" s="19" t="s">
        <v>330</v>
      </c>
      <c r="J21" s="128" t="s">
        <v>312</v>
      </c>
    </row>
    <row r="22" customFormat="false" ht="6" hidden="false" customHeight="tru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customFormat="false" ht="21.75" hidden="false" customHeight="true" outlineLevel="0" collapsed="false">
      <c r="A23" s="1"/>
      <c r="B23" s="57" t="s">
        <v>331</v>
      </c>
      <c r="C23" s="57"/>
      <c r="D23" s="57"/>
      <c r="E23" s="57"/>
      <c r="F23" s="57"/>
      <c r="G23" s="57"/>
      <c r="H23" s="57"/>
      <c r="I23" s="57"/>
      <c r="J23" s="57"/>
      <c r="K23" s="57"/>
    </row>
    <row r="24" customFormat="false" ht="21.75" hidden="false" customHeight="true" outlineLevel="0" collapsed="false">
      <c r="A24" s="1"/>
      <c r="B24" s="20" t="s">
        <v>332</v>
      </c>
      <c r="C24" s="106" t="n">
        <f aca="false">IFERROR('CASH FLOW'!M25,0)</f>
        <v>1484546.34666667</v>
      </c>
      <c r="D24" s="106" t="n">
        <f aca="false">IFERROR('CASH FLOW'!Z25,0)</f>
        <v>4876922.62</v>
      </c>
      <c r="E24" s="103" t="n">
        <f aca="false">IFERROR('CASH FLOW'!AM25,0)</f>
        <v>13244750.2666667</v>
      </c>
      <c r="F24" s="73" t="n">
        <f aca="false">IFERROR('CASH FLOW'!AZ25,0)</f>
        <v>62113960.1533333</v>
      </c>
      <c r="G24" s="73" t="n">
        <f aca="false">IFERROR('CASH FLOW'!BM25,0)</f>
        <v>320806145.44</v>
      </c>
      <c r="H24" s="128" t="s">
        <v>312</v>
      </c>
      <c r="I24" s="19" t="s">
        <v>333</v>
      </c>
      <c r="J24" s="128" t="s">
        <v>312</v>
      </c>
    </row>
    <row r="25" customFormat="false" ht="21.75" hidden="false" customHeight="true" outlineLevel="0" collapsed="false">
      <c r="A25" s="1"/>
      <c r="B25" s="13" t="s">
        <v>334</v>
      </c>
      <c r="C25" s="138" t="n">
        <f aca="false">IFERROR('CASH FLOW'!M28,0)</f>
        <v>26.8939360671961</v>
      </c>
      <c r="D25" s="138" t="n">
        <f aca="false">IFERROR('CASH FLOW'!Z28,0)</f>
        <v>999</v>
      </c>
      <c r="E25" s="139" t="n">
        <f aca="false">IFERROR('CASH FLOW'!AM28,0)</f>
        <v>999</v>
      </c>
      <c r="F25" s="140" t="n">
        <f aca="false">IFERROR('CASH FLOW'!AZ28,0)</f>
        <v>999</v>
      </c>
      <c r="G25" s="140" t="n">
        <f aca="false">IFERROR('CASH FLOW'!BM28,0)</f>
        <v>999</v>
      </c>
      <c r="H25" s="128" t="s">
        <v>312</v>
      </c>
      <c r="I25" s="19" t="s">
        <v>335</v>
      </c>
      <c r="J25" s="127" t="str">
        <f aca="false">IF(C25&gt;18,"Safe",IF(C25&gt;12,"Plan raise","Urgent"))</f>
        <v>Safe</v>
      </c>
    </row>
    <row r="26" customFormat="false" ht="21.75" hidden="false" customHeight="true" outlineLevel="0" collapsed="false">
      <c r="A26" s="1"/>
      <c r="B26" s="20" t="s">
        <v>336</v>
      </c>
      <c r="C26" s="106" t="n">
        <f aca="false">IFERROR('CASH FLOW'!M27,0)</f>
        <v>-55200.04</v>
      </c>
      <c r="D26" s="106" t="n">
        <f aca="false">IFERROR('CASH FLOW'!Z27,0)</f>
        <v>0</v>
      </c>
      <c r="E26" s="103" t="n">
        <f aca="false">IFERROR('CASH FLOW'!AM27,0)</f>
        <v>0</v>
      </c>
      <c r="F26" s="73" t="n">
        <f aca="false">IFERROR('CASH FLOW'!AZ27,0)</f>
        <v>0</v>
      </c>
      <c r="G26" s="73" t="n">
        <f aca="false">IFERROR('CASH FLOW'!BM27,0)</f>
        <v>0</v>
      </c>
      <c r="H26" s="128" t="s">
        <v>312</v>
      </c>
      <c r="I26" s="19" t="s">
        <v>337</v>
      </c>
      <c r="J26" s="128" t="s">
        <v>312</v>
      </c>
    </row>
    <row r="27" customFormat="false" ht="6" hidden="false" customHeight="tru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customFormat="false" ht="60" hidden="false" customHeight="true" outlineLevel="0" collapsed="false">
      <c r="A28" s="1"/>
      <c r="B28" s="141" t="s">
        <v>338</v>
      </c>
      <c r="C28" s="141"/>
      <c r="D28" s="141"/>
      <c r="E28" s="141"/>
      <c r="F28" s="141"/>
      <c r="G28" s="141"/>
      <c r="H28" s="141"/>
      <c r="I28" s="141"/>
      <c r="J28" s="141"/>
      <c r="K28" s="141"/>
    </row>
    <row r="29" customFormat="false" ht="15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</row>
    <row r="30" customFormat="false" ht="15.7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</row>
    <row r="31" customFormat="false" ht="15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</row>
    <row r="32" customFormat="false" ht="15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</row>
    <row r="33" customFormat="false" ht="15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</row>
    <row r="34" customFormat="false" ht="15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</row>
    <row r="35" customFormat="false" ht="15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</row>
    <row r="36" customFormat="false" ht="15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</row>
    <row r="37" customFormat="false" ht="15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</row>
    <row r="38" customFormat="false" ht="15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</row>
    <row r="39" customFormat="false" ht="15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</row>
    <row r="40" customFormat="false" ht="15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</row>
    <row r="41" customFormat="false" ht="15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</row>
    <row r="42" customFormat="false" ht="15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</row>
    <row r="43" customFormat="false" ht="15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</row>
    <row r="44" customFormat="false" ht="15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</row>
    <row r="45" customFormat="false" ht="15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</row>
    <row r="46" customFormat="false" ht="15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</row>
    <row r="47" customFormat="false" ht="15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</row>
    <row r="48" customFormat="false" ht="15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</row>
    <row r="49" customFormat="false" ht="15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</row>
    <row r="50" customFormat="false" ht="15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</row>
    <row r="51" customFormat="false" ht="15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</row>
    <row r="52" customFormat="false" ht="15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</row>
    <row r="53" customFormat="false" ht="15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</row>
    <row r="54" customFormat="false" ht="15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</row>
    <row r="55" customFormat="false" ht="15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</row>
    <row r="56" customFormat="false" ht="15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</row>
    <row r="57" customFormat="false" ht="15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</row>
    <row r="58" customFormat="false" ht="15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</row>
    <row r="59" customFormat="false" ht="15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</row>
    <row r="60" customFormat="false" ht="15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</row>
    <row r="61" customFormat="false" ht="15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</row>
    <row r="62" customFormat="false" ht="15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</row>
    <row r="63" customFormat="false" ht="15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</row>
    <row r="64" customFormat="false" ht="15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</row>
    <row r="65" customFormat="false" ht="15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</row>
    <row r="66" customFormat="false" ht="15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</row>
    <row r="67" customFormat="false" ht="15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</row>
    <row r="68" customFormat="false" ht="15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</row>
    <row r="69" customFormat="false" ht="15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</row>
    <row r="70" customFormat="false" ht="15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</row>
    <row r="71" customFormat="false" ht="15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</row>
    <row r="72" customFormat="false" ht="15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</row>
    <row r="73" customFormat="false" ht="15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</row>
    <row r="74" customFormat="false" ht="15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</row>
    <row r="75" customFormat="false" ht="15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</row>
    <row r="76" customFormat="false" ht="15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</row>
    <row r="77" customFormat="false" ht="15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</row>
    <row r="78" customFormat="false" ht="15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</row>
    <row r="79" customFormat="false" ht="15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</row>
    <row r="80" customFormat="false" ht="15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</row>
    <row r="81" customFormat="false" ht="15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</row>
    <row r="82" customFormat="false" ht="15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</row>
    <row r="83" customFormat="false" ht="15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</row>
    <row r="84" customFormat="false" ht="15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</row>
    <row r="85" customFormat="false" ht="15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</row>
    <row r="86" customFormat="false" ht="15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</row>
    <row r="87" customFormat="false" ht="15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</row>
    <row r="88" customFormat="false" ht="15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</row>
    <row r="89" customFormat="false" ht="15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</row>
    <row r="90" customFormat="false" ht="15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</row>
    <row r="91" customFormat="false" ht="15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</row>
    <row r="92" customFormat="false" ht="15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</row>
    <row r="93" customFormat="false" ht="15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</row>
    <row r="94" customFormat="false" ht="15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</row>
    <row r="95" customFormat="false" ht="15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</row>
    <row r="96" customFormat="false" ht="15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</row>
    <row r="97" customFormat="false" ht="15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</row>
    <row r="98" customFormat="false" ht="15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</row>
    <row r="99" customFormat="false" ht="15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</row>
    <row r="100" customFormat="false" ht="15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</row>
    <row r="101" customFormat="false" ht="15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</row>
    <row r="102" customFormat="false" ht="15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</row>
    <row r="103" customFormat="false" ht="15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</row>
    <row r="104" customFormat="false" ht="15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</row>
    <row r="105" customFormat="false" ht="15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</row>
    <row r="106" customFormat="false" ht="15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</row>
    <row r="107" customFormat="false" ht="15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</row>
    <row r="108" customFormat="false" ht="15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</row>
    <row r="109" customFormat="false" ht="15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</row>
    <row r="110" customFormat="false" ht="15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</row>
    <row r="111" customFormat="false" ht="15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</row>
    <row r="112" customFormat="false" ht="15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</row>
    <row r="113" customFormat="false" ht="15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</row>
    <row r="114" customFormat="false" ht="15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</row>
    <row r="115" customFormat="false" ht="15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</row>
    <row r="116" customFormat="false" ht="15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</row>
    <row r="117" customFormat="false" ht="15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</row>
    <row r="118" customFormat="false" ht="15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</row>
    <row r="119" customFormat="false" ht="15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</row>
    <row r="120" customFormat="false" ht="15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</row>
    <row r="121" customFormat="false" ht="15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</row>
    <row r="122" customFormat="false" ht="15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</row>
    <row r="123" customFormat="false" ht="15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</row>
    <row r="124" customFormat="false" ht="15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</row>
    <row r="125" customFormat="false" ht="15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</row>
    <row r="126" customFormat="false" ht="15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</row>
    <row r="127" customFormat="false" ht="15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</row>
    <row r="128" customFormat="false" ht="15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</row>
    <row r="129" customFormat="false" ht="15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</row>
    <row r="130" customFormat="false" ht="15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</row>
    <row r="131" customFormat="false" ht="15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</row>
    <row r="132" customFormat="false" ht="15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</row>
    <row r="133" customFormat="false" ht="15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</row>
    <row r="134" customFormat="false" ht="15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</row>
    <row r="135" customFormat="false" ht="15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</row>
    <row r="136" customFormat="false" ht="15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</row>
    <row r="137" customFormat="false" ht="15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</row>
    <row r="138" customFormat="false" ht="15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</row>
    <row r="139" customFormat="false" ht="15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</row>
    <row r="140" customFormat="false" ht="15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</row>
    <row r="141" customFormat="false" ht="15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</row>
    <row r="142" customFormat="false" ht="15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</row>
    <row r="143" customFormat="false" ht="15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</row>
    <row r="144" customFormat="false" ht="15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</row>
    <row r="145" customFormat="false" ht="15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</row>
    <row r="146" customFormat="false" ht="15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</row>
    <row r="147" customFormat="false" ht="15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</row>
    <row r="148" customFormat="false" ht="15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</row>
    <row r="149" customFormat="false" ht="15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</row>
    <row r="150" customFormat="false" ht="15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</row>
    <row r="151" customFormat="false" ht="15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</row>
    <row r="152" customFormat="false" ht="15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</row>
    <row r="153" customFormat="false" ht="15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</row>
    <row r="154" customFormat="false" ht="15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</row>
    <row r="155" customFormat="false" ht="15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</row>
    <row r="156" customFormat="false" ht="15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</row>
    <row r="157" customFormat="false" ht="15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</row>
    <row r="158" customFormat="false" ht="15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</row>
    <row r="159" customFormat="false" ht="15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</row>
    <row r="160" customFormat="false" ht="15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</row>
    <row r="161" customFormat="false" ht="15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</row>
    <row r="162" customFormat="false" ht="15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</row>
    <row r="163" customFormat="false" ht="15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</row>
    <row r="164" customFormat="false" ht="15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</row>
    <row r="165" customFormat="false" ht="15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</row>
    <row r="166" customFormat="false" ht="15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</row>
    <row r="167" customFormat="false" ht="15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</row>
    <row r="168" customFormat="false" ht="15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</row>
    <row r="169" customFormat="false" ht="15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</row>
    <row r="170" customFormat="false" ht="15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</row>
    <row r="171" customFormat="false" ht="15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</row>
    <row r="172" customFormat="false" ht="15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</row>
    <row r="173" customFormat="false" ht="15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</row>
    <row r="174" customFormat="false" ht="15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</row>
    <row r="175" customFormat="false" ht="15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</row>
    <row r="176" customFormat="false" ht="15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</row>
    <row r="177" customFormat="false" ht="15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</row>
    <row r="178" customFormat="false" ht="15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</row>
    <row r="179" customFormat="false" ht="15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</row>
    <row r="180" customFormat="false" ht="15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</row>
    <row r="181" customFormat="false" ht="15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</row>
    <row r="182" customFormat="false" ht="15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</row>
    <row r="183" customFormat="false" ht="15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</row>
    <row r="184" customFormat="false" ht="15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</row>
    <row r="185" customFormat="false" ht="15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</row>
    <row r="186" customFormat="false" ht="15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</row>
    <row r="187" customFormat="false" ht="15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</row>
    <row r="188" customFormat="false" ht="15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</row>
    <row r="189" customFormat="false" ht="15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</row>
    <row r="190" customFormat="false" ht="15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</row>
    <row r="191" customFormat="false" ht="15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</row>
    <row r="192" customFormat="false" ht="15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</row>
    <row r="193" customFormat="false" ht="15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</row>
    <row r="194" customFormat="false" ht="15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</row>
    <row r="195" customFormat="false" ht="15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</row>
    <row r="196" customFormat="false" ht="15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</row>
    <row r="197" customFormat="false" ht="15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</row>
    <row r="198" customFormat="false" ht="15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</row>
    <row r="199" customFormat="false" ht="15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</row>
    <row r="200" customFormat="false" ht="15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</row>
    <row r="201" customFormat="false" ht="15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</row>
    <row r="202" customFormat="false" ht="15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</row>
    <row r="203" customFormat="false" ht="15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</row>
    <row r="204" customFormat="false" ht="15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</row>
    <row r="205" customFormat="false" ht="15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</row>
    <row r="206" customFormat="false" ht="15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</row>
    <row r="207" customFormat="false" ht="15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</row>
    <row r="208" customFormat="false" ht="15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</row>
    <row r="209" customFormat="false" ht="15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</row>
    <row r="210" customFormat="false" ht="15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</row>
    <row r="211" customFormat="false" ht="15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</row>
    <row r="212" customFormat="false" ht="15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</row>
    <row r="213" customFormat="false" ht="15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</row>
    <row r="214" customFormat="false" ht="15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</row>
    <row r="215" customFormat="false" ht="15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</row>
  </sheetData>
  <mergeCells count="7">
    <mergeCell ref="B1:K1"/>
    <mergeCell ref="B2:K2"/>
    <mergeCell ref="B6:K6"/>
    <mergeCell ref="B12:K12"/>
    <mergeCell ref="B17:K17"/>
    <mergeCell ref="B23:K23"/>
    <mergeCell ref="B28:K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8" min="2" style="0" width="18"/>
  </cols>
  <sheetData>
    <row r="1" customFormat="false" ht="17.35" hidden="false" customHeight="false" outlineLevel="0" collapsed="false">
      <c r="A1" s="142" t="s">
        <v>339</v>
      </c>
      <c r="B1" s="143"/>
      <c r="C1" s="143"/>
      <c r="D1" s="143"/>
      <c r="E1" s="143"/>
      <c r="F1" s="143"/>
      <c r="G1" s="143"/>
      <c r="H1" s="143"/>
    </row>
    <row r="2" customFormat="false" ht="15" hidden="false" customHeight="false" outlineLevel="0" collapsed="false">
      <c r="A2" s="144" t="s">
        <v>340</v>
      </c>
      <c r="B2" s="145"/>
      <c r="C2" s="145"/>
      <c r="D2" s="145"/>
      <c r="E2" s="145"/>
      <c r="F2" s="145"/>
      <c r="G2" s="145"/>
      <c r="H2" s="145"/>
    </row>
    <row r="4" customFormat="false" ht="15" hidden="false" customHeight="false" outlineLevel="0" collapsed="false">
      <c r="A4" s="146" t="s">
        <v>341</v>
      </c>
      <c r="B4" s="146" t="s">
        <v>342</v>
      </c>
      <c r="C4" s="146" t="s">
        <v>343</v>
      </c>
      <c r="D4" s="146" t="s">
        <v>344</v>
      </c>
      <c r="E4" s="146" t="s">
        <v>345</v>
      </c>
      <c r="F4" s="146" t="s">
        <v>346</v>
      </c>
      <c r="G4" s="146" t="s">
        <v>347</v>
      </c>
      <c r="H4" s="146" t="s">
        <v>348</v>
      </c>
    </row>
    <row r="5" customFormat="false" ht="15" hidden="false" customHeight="false" outlineLevel="0" collapsed="false">
      <c r="A5" s="147" t="s">
        <v>349</v>
      </c>
      <c r="B5" s="148"/>
      <c r="C5" s="148"/>
      <c r="D5" s="148"/>
      <c r="E5" s="148"/>
      <c r="F5" s="148"/>
      <c r="G5" s="148"/>
      <c r="H5" s="148"/>
    </row>
    <row r="6" customFormat="false" ht="15" hidden="false" customHeight="false" outlineLevel="0" collapsed="false">
      <c r="A6" s="149" t="s">
        <v>350</v>
      </c>
      <c r="B6" s="150" t="n">
        <v>4000000</v>
      </c>
      <c r="C6" s="151" t="n">
        <v>0.001</v>
      </c>
      <c r="D6" s="152" t="n">
        <f aca="false">B6*C6</f>
        <v>4000</v>
      </c>
      <c r="E6" s="153" t="n">
        <f aca="false">IFERROR(B6/B17,0)</f>
        <v>0.296296296296296</v>
      </c>
      <c r="F6" s="152" t="n">
        <f aca="false">IFERROR(E6*10000000,0)</f>
        <v>2962962.96296296</v>
      </c>
      <c r="G6" s="152" t="n">
        <f aca="false">IFERROR(E6*25000000,0)</f>
        <v>7407407.40740741</v>
      </c>
      <c r="H6" s="152" t="n">
        <f aca="false">IFERROR(E6*50000000,0)</f>
        <v>14814814.8148148</v>
      </c>
    </row>
    <row r="7" customFormat="false" ht="15" hidden="false" customHeight="false" outlineLevel="0" collapsed="false">
      <c r="A7" s="149" t="s">
        <v>351</v>
      </c>
      <c r="B7" s="150" t="n">
        <v>4000000</v>
      </c>
      <c r="C7" s="151" t="n">
        <v>0.001</v>
      </c>
      <c r="D7" s="152" t="n">
        <f aca="false">B7*C7</f>
        <v>4000</v>
      </c>
      <c r="E7" s="153" t="n">
        <f aca="false">IFERROR(B7/B17,0)</f>
        <v>0.296296296296296</v>
      </c>
      <c r="F7" s="152" t="n">
        <f aca="false">IFERROR(E7*10000000,0)</f>
        <v>2962962.96296296</v>
      </c>
      <c r="G7" s="152" t="n">
        <f aca="false">IFERROR(E7*25000000,0)</f>
        <v>7407407.40740741</v>
      </c>
      <c r="H7" s="152" t="n">
        <f aca="false">IFERROR(E7*50000000,0)</f>
        <v>14814814.8148148</v>
      </c>
    </row>
    <row r="8" customFormat="false" ht="15" hidden="false" customHeight="false" outlineLevel="0" collapsed="false">
      <c r="A8" s="147" t="s">
        <v>352</v>
      </c>
      <c r="B8" s="148"/>
      <c r="C8" s="148"/>
      <c r="D8" s="148"/>
      <c r="E8" s="148"/>
      <c r="F8" s="148"/>
      <c r="G8" s="148"/>
      <c r="H8" s="148"/>
    </row>
    <row r="9" customFormat="false" ht="15" hidden="false" customHeight="false" outlineLevel="0" collapsed="false">
      <c r="A9" s="149" t="s">
        <v>353</v>
      </c>
      <c r="B9" s="150" t="n">
        <v>1000000</v>
      </c>
      <c r="E9" s="153" t="n">
        <f aca="false">IFERROR(B9/B17,0)</f>
        <v>0.0740740740740741</v>
      </c>
      <c r="F9" s="152" t="n">
        <f aca="false">IFERROR(E9*10000000,0)</f>
        <v>740740.740740741</v>
      </c>
      <c r="G9" s="152" t="n">
        <f aca="false">IFERROR(E9*25000000,0)</f>
        <v>1851851.85185185</v>
      </c>
      <c r="H9" s="152" t="n">
        <f aca="false">IFERROR(E9*50000000,0)</f>
        <v>3703703.7037037</v>
      </c>
    </row>
    <row r="10" customFormat="false" ht="15" hidden="false" customHeight="false" outlineLevel="0" collapsed="false">
      <c r="A10" s="147" t="s">
        <v>354</v>
      </c>
      <c r="B10" s="148"/>
      <c r="C10" s="148"/>
      <c r="D10" s="148"/>
      <c r="E10" s="148"/>
      <c r="F10" s="148"/>
      <c r="G10" s="148"/>
      <c r="H10" s="148"/>
    </row>
    <row r="11" customFormat="false" ht="15" hidden="false" customHeight="false" outlineLevel="0" collapsed="false">
      <c r="A11" s="149" t="s">
        <v>355</v>
      </c>
      <c r="B11" s="150" t="n">
        <v>500000</v>
      </c>
      <c r="C11" s="154" t="n">
        <v>0.5</v>
      </c>
      <c r="D11" s="152" t="n">
        <f aca="false">B11*C11</f>
        <v>250000</v>
      </c>
      <c r="E11" s="153" t="n">
        <f aca="false">IFERROR(B11/B17,0)</f>
        <v>0.037037037037037</v>
      </c>
      <c r="F11" s="152" t="n">
        <f aca="false">IFERROR(E11*10000000,0)</f>
        <v>370370.37037037</v>
      </c>
      <c r="G11" s="152" t="n">
        <f aca="false">IFERROR(E11*25000000,0)</f>
        <v>925925.925925926</v>
      </c>
      <c r="H11" s="152" t="n">
        <f aca="false">IFERROR(E11*50000000,0)</f>
        <v>1851851.85185185</v>
      </c>
    </row>
    <row r="12" customFormat="false" ht="15" hidden="false" customHeight="false" outlineLevel="0" collapsed="false">
      <c r="A12" s="147" t="s">
        <v>356</v>
      </c>
      <c r="B12" s="148"/>
      <c r="C12" s="148"/>
      <c r="D12" s="148"/>
      <c r="E12" s="148"/>
      <c r="F12" s="148"/>
      <c r="G12" s="148"/>
      <c r="H12" s="148"/>
    </row>
    <row r="13" customFormat="false" ht="15" hidden="false" customHeight="false" outlineLevel="0" collapsed="false">
      <c r="A13" s="149" t="s">
        <v>357</v>
      </c>
      <c r="B13" s="150" t="n">
        <v>1500000</v>
      </c>
      <c r="C13" s="154" t="n">
        <v>1</v>
      </c>
      <c r="D13" s="152" t="n">
        <f aca="false">B13*C13</f>
        <v>1500000</v>
      </c>
      <c r="E13" s="153" t="n">
        <f aca="false">IFERROR(B13/B17,0)</f>
        <v>0.111111111111111</v>
      </c>
      <c r="F13" s="152" t="n">
        <f aca="false">IFERROR(E13*10000000,0)</f>
        <v>1111111.11111111</v>
      </c>
      <c r="G13" s="152" t="n">
        <f aca="false">IFERROR(E13*25000000,0)</f>
        <v>2777777.77777778</v>
      </c>
      <c r="H13" s="152" t="n">
        <f aca="false">IFERROR(E13*50000000,0)</f>
        <v>5555555.55555556</v>
      </c>
    </row>
    <row r="14" customFormat="false" ht="15" hidden="false" customHeight="false" outlineLevel="0" collapsed="false">
      <c r="A14" s="147" t="s">
        <v>358</v>
      </c>
      <c r="B14" s="148"/>
      <c r="C14" s="148"/>
      <c r="D14" s="148"/>
      <c r="E14" s="148"/>
      <c r="F14" s="148"/>
      <c r="G14" s="148"/>
      <c r="H14" s="148"/>
    </row>
    <row r="15" customFormat="false" ht="15" hidden="false" customHeight="false" outlineLevel="0" collapsed="false">
      <c r="A15" s="149" t="s">
        <v>359</v>
      </c>
      <c r="B15" s="150" t="n">
        <v>2500000</v>
      </c>
      <c r="C15" s="154" t="n">
        <v>2</v>
      </c>
      <c r="D15" s="152" t="n">
        <f aca="false">B15*C15</f>
        <v>5000000</v>
      </c>
      <c r="E15" s="153" t="n">
        <f aca="false">IFERROR(B15/B17,0)</f>
        <v>0.185185185185185</v>
      </c>
      <c r="F15" s="152" t="n">
        <f aca="false">IFERROR(E15*10000000,0)</f>
        <v>1851851.85185185</v>
      </c>
      <c r="G15" s="152" t="n">
        <f aca="false">IFERROR(E15*25000000,0)</f>
        <v>4629629.62962963</v>
      </c>
      <c r="H15" s="152" t="n">
        <f aca="false">IFERROR(E15*50000000,0)</f>
        <v>9259259.25925926</v>
      </c>
    </row>
    <row r="17" customFormat="false" ht="15" hidden="false" customHeight="false" outlineLevel="0" collapsed="false">
      <c r="A17" s="155" t="s">
        <v>360</v>
      </c>
      <c r="B17" s="156" t="n">
        <f aca="false">SUM(B6:B7)+B9+B11+B13+B15</f>
        <v>13500000</v>
      </c>
      <c r="C17" s="157"/>
      <c r="D17" s="156" t="n">
        <f aca="false">SUM(D6:D15)</f>
        <v>6758000</v>
      </c>
      <c r="E17" s="157"/>
      <c r="F17" s="157"/>
      <c r="G17" s="157"/>
      <c r="H17" s="15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20"/>
  </cols>
  <sheetData>
    <row r="1" customFormat="false" ht="17.35" hidden="false" customHeight="false" outlineLevel="0" collapsed="false">
      <c r="A1" s="142" t="s">
        <v>361</v>
      </c>
      <c r="B1" s="143"/>
      <c r="C1" s="143"/>
      <c r="D1" s="143"/>
      <c r="E1" s="143"/>
    </row>
    <row r="2" customFormat="false" ht="15" hidden="false" customHeight="false" outlineLevel="0" collapsed="false">
      <c r="A2" s="144" t="s">
        <v>362</v>
      </c>
      <c r="B2" s="145"/>
      <c r="C2" s="145"/>
      <c r="D2" s="145"/>
      <c r="E2" s="145"/>
    </row>
    <row r="4" customFormat="false" ht="15" hidden="false" customHeight="false" outlineLevel="0" collapsed="false">
      <c r="A4" s="158" t="s">
        <v>303</v>
      </c>
      <c r="B4" s="158" t="s">
        <v>363</v>
      </c>
      <c r="C4" s="158" t="s">
        <v>364</v>
      </c>
      <c r="D4" s="158" t="s">
        <v>365</v>
      </c>
    </row>
    <row r="6" customFormat="false" ht="15" hidden="false" customHeight="false" outlineLevel="0" collapsed="false">
      <c r="A6" s="159" t="s">
        <v>366</v>
      </c>
      <c r="B6" s="150" t="n">
        <v>8000000</v>
      </c>
      <c r="C6" s="150" t="n">
        <v>12000000</v>
      </c>
      <c r="D6" s="150" t="n">
        <v>18000000</v>
      </c>
    </row>
    <row r="7" customFormat="false" ht="15" hidden="false" customHeight="false" outlineLevel="0" collapsed="false">
      <c r="A7" s="160" t="s">
        <v>367</v>
      </c>
      <c r="B7" s="150" t="n">
        <v>2000000</v>
      </c>
      <c r="C7" s="150" t="n">
        <v>3000000</v>
      </c>
      <c r="D7" s="150" t="n">
        <v>5000000</v>
      </c>
    </row>
    <row r="8" customFormat="false" ht="15" hidden="false" customHeight="false" outlineLevel="0" collapsed="false">
      <c r="A8" s="159" t="s">
        <v>368</v>
      </c>
      <c r="B8" s="152" t="n">
        <f aca="false">B6+B7</f>
        <v>10000000</v>
      </c>
      <c r="C8" s="152" t="n">
        <f aca="false">C6+C7</f>
        <v>15000000</v>
      </c>
      <c r="D8" s="152" t="n">
        <f aca="false">D6+D7</f>
        <v>23000000</v>
      </c>
    </row>
    <row r="9" customFormat="false" ht="15" hidden="false" customHeight="false" outlineLevel="0" collapsed="false">
      <c r="A9" s="160" t="s">
        <v>369</v>
      </c>
    </row>
    <row r="10" customFormat="false" ht="15" hidden="false" customHeight="false" outlineLevel="0" collapsed="false">
      <c r="A10" s="159" t="s">
        <v>370</v>
      </c>
      <c r="B10" s="153" t="n">
        <f aca="false">IFERROR(B7/B8,0)</f>
        <v>0.2</v>
      </c>
      <c r="C10" s="153" t="n">
        <f aca="false">IFERROR(C7/C8,0)</f>
        <v>0.2</v>
      </c>
      <c r="D10" s="153" t="n">
        <f aca="false">IFERROR(D7/D8,0)</f>
        <v>0.217391304347826</v>
      </c>
    </row>
    <row r="11" customFormat="false" ht="15" hidden="false" customHeight="false" outlineLevel="0" collapsed="false">
      <c r="A11" s="160" t="s">
        <v>371</v>
      </c>
      <c r="B11" s="153" t="n">
        <f aca="false">IFERROR(0.6*(1-B10),0)</f>
        <v>0.48</v>
      </c>
      <c r="C11" s="153" t="n">
        <f aca="false">IFERROR(0.6*(1-C10),0)</f>
        <v>0.48</v>
      </c>
      <c r="D11" s="153" t="n">
        <f aca="false">IFERROR(0.6*(1-D10),0)</f>
        <v>0.469565217391304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0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42" t="s">
        <v>372</v>
      </c>
      <c r="B1" s="143"/>
      <c r="C1" s="143"/>
    </row>
    <row r="2" customFormat="false" ht="15" hidden="false" customHeight="false" outlineLevel="0" collapsed="false">
      <c r="A2" s="144" t="s">
        <v>373</v>
      </c>
      <c r="B2" s="145"/>
      <c r="C2" s="145"/>
    </row>
    <row r="4" customFormat="false" ht="15" hidden="false" customHeight="false" outlineLevel="0" collapsed="false">
      <c r="A4" s="158" t="s">
        <v>374</v>
      </c>
      <c r="B4" s="143"/>
      <c r="C4" s="143"/>
    </row>
    <row r="5" customFormat="false" ht="15" hidden="false" customHeight="false" outlineLevel="0" collapsed="false">
      <c r="A5" s="147" t="s">
        <v>375</v>
      </c>
      <c r="B5" s="148"/>
      <c r="C5" s="148"/>
    </row>
    <row r="6" customFormat="false" ht="15" hidden="false" customHeight="false" outlineLevel="0" collapsed="false">
      <c r="A6" s="159" t="s">
        <v>376</v>
      </c>
      <c r="B6" s="161"/>
      <c r="C6" s="144" t="s">
        <v>377</v>
      </c>
    </row>
    <row r="7" customFormat="false" ht="15" hidden="false" customHeight="false" outlineLevel="0" collapsed="false">
      <c r="A7" s="160" t="s">
        <v>378</v>
      </c>
      <c r="B7" s="161"/>
      <c r="C7" s="144" t="s">
        <v>377</v>
      </c>
    </row>
    <row r="8" customFormat="false" ht="15" hidden="false" customHeight="false" outlineLevel="0" collapsed="false">
      <c r="A8" s="159" t="s">
        <v>379</v>
      </c>
      <c r="B8" s="161"/>
      <c r="C8" s="144" t="s">
        <v>377</v>
      </c>
    </row>
    <row r="9" customFormat="false" ht="15" hidden="false" customHeight="false" outlineLevel="0" collapsed="false">
      <c r="A9" s="160" t="s">
        <v>380</v>
      </c>
      <c r="B9" s="161"/>
      <c r="C9" s="144" t="s">
        <v>377</v>
      </c>
    </row>
    <row r="10" customFormat="false" ht="15" hidden="false" customHeight="false" outlineLevel="0" collapsed="false">
      <c r="A10" s="159" t="s">
        <v>381</v>
      </c>
      <c r="B10" s="161"/>
      <c r="C10" s="144" t="s">
        <v>377</v>
      </c>
    </row>
    <row r="12" customFormat="false" ht="15" hidden="false" customHeight="false" outlineLevel="0" collapsed="false">
      <c r="A12" s="147" t="s">
        <v>382</v>
      </c>
      <c r="B12" s="148"/>
      <c r="C12" s="148"/>
    </row>
    <row r="13" customFormat="false" ht="15" hidden="false" customHeight="false" outlineLevel="0" collapsed="false">
      <c r="A13" s="160" t="s">
        <v>383</v>
      </c>
      <c r="B13" s="161"/>
      <c r="C13" s="144" t="s">
        <v>377</v>
      </c>
    </row>
    <row r="14" customFormat="false" ht="15" hidden="false" customHeight="false" outlineLevel="0" collapsed="false">
      <c r="A14" s="159" t="s">
        <v>384</v>
      </c>
      <c r="B14" s="161"/>
      <c r="C14" s="144" t="s">
        <v>377</v>
      </c>
    </row>
    <row r="15" customFormat="false" ht="15" hidden="false" customHeight="false" outlineLevel="0" collapsed="false">
      <c r="A15" s="160" t="s">
        <v>385</v>
      </c>
      <c r="B15" s="161"/>
      <c r="C15" s="144" t="s">
        <v>377</v>
      </c>
    </row>
    <row r="16" customFormat="false" ht="15" hidden="false" customHeight="false" outlineLevel="0" collapsed="false">
      <c r="A16" s="159" t="s">
        <v>386</v>
      </c>
      <c r="B16" s="161"/>
      <c r="C16" s="144" t="s">
        <v>377</v>
      </c>
    </row>
    <row r="17" customFormat="false" ht="15" hidden="false" customHeight="false" outlineLevel="0" collapsed="false">
      <c r="A17" s="160" t="s">
        <v>387</v>
      </c>
      <c r="B17" s="161"/>
      <c r="C17" s="144" t="s">
        <v>377</v>
      </c>
    </row>
    <row r="19" customFormat="false" ht="15" hidden="false" customHeight="false" outlineLevel="0" collapsed="false">
      <c r="A19" s="147" t="s">
        <v>388</v>
      </c>
      <c r="B19" s="148"/>
      <c r="C19" s="148"/>
    </row>
    <row r="20" customFormat="false" ht="15" hidden="false" customHeight="false" outlineLevel="0" collapsed="false">
      <c r="A20" s="159" t="s">
        <v>389</v>
      </c>
      <c r="B20" s="161"/>
      <c r="C20" s="144" t="s">
        <v>377</v>
      </c>
    </row>
    <row r="21" customFormat="false" ht="15" hidden="false" customHeight="false" outlineLevel="0" collapsed="false">
      <c r="A21" s="160" t="s">
        <v>390</v>
      </c>
      <c r="B21" s="161"/>
      <c r="C21" s="144" t="s">
        <v>377</v>
      </c>
    </row>
    <row r="22" customFormat="false" ht="15" hidden="false" customHeight="false" outlineLevel="0" collapsed="false">
      <c r="A22" s="159" t="s">
        <v>391</v>
      </c>
      <c r="B22" s="161"/>
      <c r="C22" s="144" t="s">
        <v>377</v>
      </c>
    </row>
    <row r="23" customFormat="false" ht="15" hidden="false" customHeight="false" outlineLevel="0" collapsed="false">
      <c r="A23" s="160" t="s">
        <v>392</v>
      </c>
      <c r="B23" s="161"/>
      <c r="C23" s="144" t="s">
        <v>377</v>
      </c>
    </row>
    <row r="24" customFormat="false" ht="15" hidden="false" customHeight="false" outlineLevel="0" collapsed="false">
      <c r="A24" s="159" t="s">
        <v>393</v>
      </c>
      <c r="B24" s="161"/>
      <c r="C24" s="144" t="s">
        <v>377</v>
      </c>
    </row>
    <row r="26" customFormat="false" ht="15" hidden="false" customHeight="false" outlineLevel="0" collapsed="false">
      <c r="A26" s="147" t="s">
        <v>394</v>
      </c>
      <c r="B26" s="148"/>
      <c r="C26" s="148"/>
    </row>
    <row r="27" customFormat="false" ht="15" hidden="false" customHeight="false" outlineLevel="0" collapsed="false">
      <c r="A27" s="160" t="s">
        <v>395</v>
      </c>
      <c r="B27" s="161"/>
      <c r="C27" s="144" t="s">
        <v>377</v>
      </c>
    </row>
    <row r="28" customFormat="false" ht="15" hidden="false" customHeight="false" outlineLevel="0" collapsed="false">
      <c r="A28" s="159" t="s">
        <v>396</v>
      </c>
      <c r="B28" s="161"/>
      <c r="C28" s="144" t="s">
        <v>377</v>
      </c>
    </row>
    <row r="29" customFormat="false" ht="15" hidden="false" customHeight="false" outlineLevel="0" collapsed="false">
      <c r="A29" s="160" t="s">
        <v>397</v>
      </c>
      <c r="B29" s="161"/>
      <c r="C29" s="144" t="s">
        <v>377</v>
      </c>
    </row>
    <row r="30" customFormat="false" ht="15" hidden="false" customHeight="false" outlineLevel="0" collapsed="false">
      <c r="A30" s="159" t="s">
        <v>398</v>
      </c>
      <c r="B30" s="161"/>
      <c r="C30" s="144" t="s">
        <v>377</v>
      </c>
    </row>
    <row r="31" customFormat="false" ht="15" hidden="false" customHeight="false" outlineLevel="0" collapsed="false">
      <c r="A31" s="160" t="s">
        <v>399</v>
      </c>
      <c r="B31" s="161"/>
      <c r="C31" s="144" t="s">
        <v>377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2026-03-08T23:04:41Z</dcterms:created>
  <dc:creator>openpyxl</dc:creator>
  <dc:description/>
  <dc:language>en-US</dc:language>
  <cp:lastModifiedBy/>
  <dcterms:modified xsi:type="dcterms:W3CDTF">2026-03-10T22:05:38Z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