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Dashboard" sheetId="1" state="visible" r:id="rId3"/>
    <sheet name="1_Net_Worth" sheetId="2" state="visible" r:id="rId4"/>
    <sheet name="2_Budget_50-30-20" sheetId="3" state="visible" r:id="rId5"/>
    <sheet name="3_Emergency_Fund" sheetId="4" state="visible" r:id="rId6"/>
    <sheet name="4_Debt_Payoff" sheetId="5" state="visible" r:id="rId7"/>
    <sheet name="5_Compound_Growth" sheetId="6" state="visible" r:id="rId8"/>
    <sheet name="6_Retirement" sheetId="7" state="visible" r:id="rId9"/>
    <sheet name="7_Salary_Negotiation" sheetId="8" state="visible" r:id="rId10"/>
    <sheet name="8_Buy_vs_Rent" sheetId="9" state="visible" r:id="rId11"/>
    <sheet name="9_Credit_Card_Cost" sheetId="10" state="visible" r:id="rId12"/>
    <sheet name="10_Tax_Brackets" sheetId="11" state="visible" r:id="rId13"/>
    <sheet name="11_Roth_vs_Trad" sheetId="12" state="visible" r:id="rId14"/>
    <sheet name="12_Student_Loans" sheetId="13" state="visible" r:id="rId15"/>
    <sheet name="13_Personal_Runway" sheetId="14" state="visible" r:id="rId16"/>
    <sheet name="14_LEAP_Scorecard" sheetId="15" state="visible" r:id="rId17"/>
    <sheet name="15_Three_Numbers" sheetId="16" state="visible" r:id="rId18"/>
    <sheet name="16_Insurance_Needs" sheetId="17" state="visible" r:id="rId19"/>
    <sheet name="17_Mortgage_Affordability" sheetId="18" state="visible" r:id="rId20"/>
    <sheet name="18_Tax_Optimizer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<sst xmlns="http://schemas.openxmlformats.org/spreadsheetml/2006/main" count="421" uniqueCount="375">
  <si>
    <t xml:space="preserve">Start Ready Toolkit</t>
  </si>
  <si>
    <t xml:space="preserve">18 Personal Finance Calculators - raisereadybook.com</t>
  </si>
  <si>
    <t xml:space="preserve">How to Use This Toolkit</t>
  </si>
  <si>
    <t xml:space="preserve">1. Each tab is a standalone calculator for a different financial decision</t>
  </si>
  <si>
    <t xml:space="preserve">2. Enter your data into the BLUE input cells (yellow background)</t>
  </si>
  <si>
    <t xml:space="preserve">3. All formulas automatically recalculate when you change inputs</t>
  </si>
  <si>
    <t xml:space="preserve">4. Results appear in the GOLD cells (light background)</t>
  </si>
  <si>
    <t xml:space="preserve">5. Most tabs include notes explaining what each metric means</t>
  </si>
  <si>
    <t xml:space="preserve">6. Use the navigation tabs at the bottom to move between calculators</t>
  </si>
  <si>
    <t xml:space="preserve">7. Make copies of tabs to run multiple scenarios (e.g., different job offers)</t>
  </si>
  <si>
    <t xml:space="preserve">8. All calculations use standard financial formulas (PMT, FV, NPV, etc.)</t>
  </si>
  <si>
    <t xml:space="preserve">9. Print individual tabs or save as PDF for sharing with advisors</t>
  </si>
  <si>
    <t xml:space="preserve">10. Results are for education only; consult a professional before major decisions</t>
  </si>
  <si>
    <t xml:space="preserve">Calculator Index</t>
  </si>
  <si>
    <t xml:space="preserve">#</t>
  </si>
  <si>
    <t xml:space="preserve">Calculator</t>
  </si>
  <si>
    <t xml:space="preserve">Category</t>
  </si>
  <si>
    <t xml:space="preserve">Key Outputs</t>
  </si>
  <si>
    <t xml:space="preserve">Tab</t>
  </si>
  <si>
    <t xml:space="preserve">Net Worth Calculator</t>
  </si>
  <si>
    <t xml:space="preserve">Assessment</t>
  </si>
  <si>
    <t xml:space="preserve">Total Assets, Net Worth, Savings Rate</t>
  </si>
  <si>
    <t xml:space="preserve">Tab 1</t>
  </si>
  <si>
    <t xml:space="preserve">50/30/20 Budget</t>
  </si>
  <si>
    <t xml:space="preserve">Planning</t>
  </si>
  <si>
    <t xml:space="preserve">Needs, Wants, Savings Allocation</t>
  </si>
  <si>
    <t xml:space="preserve">Tab 2</t>
  </si>
  <si>
    <t xml:space="preserve">Emergency Fund</t>
  </si>
  <si>
    <t xml:space="preserve">Target Amount, Gap, Months to Full</t>
  </si>
  <si>
    <t xml:space="preserve">Tab 3</t>
  </si>
  <si>
    <t xml:space="preserve">Debt Payoff</t>
  </si>
  <si>
    <t xml:space="preserve">Payoff</t>
  </si>
  <si>
    <t xml:space="preserve">Total Debt, Weighted APR, Payoff Timeline</t>
  </si>
  <si>
    <t xml:space="preserve">Tab 4</t>
  </si>
  <si>
    <t xml:space="preserve">Compound Growth</t>
  </si>
  <si>
    <t xml:space="preserve">Investing</t>
  </si>
  <si>
    <t xml:space="preserve">Final Value, Growth Amount, Milestones</t>
  </si>
  <si>
    <t xml:space="preserve">Tab 5</t>
  </si>
  <si>
    <t xml:space="preserve">Retirement</t>
  </si>
  <si>
    <t xml:space="preserve">Required Nest Egg, Projected Savings, Surplus</t>
  </si>
  <si>
    <t xml:space="preserve">Tab 6</t>
  </si>
  <si>
    <t xml:space="preserve">Salary Negotiation</t>
  </si>
  <si>
    <t xml:space="preserve">Career</t>
  </si>
  <si>
    <t xml:space="preserve">Lifetime Earnings, Retirement Impact</t>
  </si>
  <si>
    <t xml:space="preserve">Tab 7</t>
  </si>
  <si>
    <t xml:space="preserve">Buy vs Rent</t>
  </si>
  <si>
    <t xml:space="preserve">Housing</t>
  </si>
  <si>
    <t xml:space="preserve">Total Cost, Home Equity, Recommendation</t>
  </si>
  <si>
    <t xml:space="preserve">Tab 8</t>
  </si>
  <si>
    <t xml:space="preserve">Credit Card Cost</t>
  </si>
  <si>
    <t xml:space="preserve">Interest Payoff Timeline, Interest Savings</t>
  </si>
  <si>
    <t xml:space="preserve">Tab 9</t>
  </si>
  <si>
    <t xml:space="preserve">Tax Brackets</t>
  </si>
  <si>
    <t xml:space="preserve">Taxes</t>
  </si>
  <si>
    <t xml:space="preserve">Taxable Income, Total Tax, Effective Rate</t>
  </si>
  <si>
    <t xml:space="preserve">Tab 10</t>
  </si>
  <si>
    <t xml:space="preserve">Roth vs Trad IRA</t>
  </si>
  <si>
    <t xml:space="preserve">Retirement Value, Tax Impact, Recommendation</t>
  </si>
  <si>
    <t xml:space="preserve">Tab 11</t>
  </si>
  <si>
    <t xml:space="preserve">Student Loans</t>
  </si>
  <si>
    <t xml:space="preserve">Monthly Payment, Total Interest, Payment Ratio</t>
  </si>
  <si>
    <t xml:space="preserve">Tab 12</t>
  </si>
  <si>
    <t xml:space="preserve">Personal Runway</t>
  </si>
  <si>
    <t xml:space="preserve">Months of Runway, Savings Buffer</t>
  </si>
  <si>
    <t xml:space="preserve">Tab 13</t>
  </si>
  <si>
    <t xml:space="preserve">LEAP Scorecard</t>
  </si>
  <si>
    <t xml:space="preserve">Decision</t>
  </si>
  <si>
    <t xml:space="preserve">Readiness Score, Verdict, Risk Assessment</t>
  </si>
  <si>
    <t xml:space="preserve">Tab 14</t>
  </si>
  <si>
    <t xml:space="preserve">Three Numbers</t>
  </si>
  <si>
    <t xml:space="preserve">Emergency Fund, Net Worth, Surplus</t>
  </si>
  <si>
    <t xml:space="preserve">Tab 15</t>
  </si>
  <si>
    <t xml:space="preserve">Insurance Needs</t>
  </si>
  <si>
    <t xml:space="preserve">Life Insurance Need, Disability Coverage</t>
  </si>
  <si>
    <t xml:space="preserve">Tab 16</t>
  </si>
  <si>
    <t xml:space="preserve">Mortgage Affordability</t>
  </si>
  <si>
    <t xml:space="preserve">Max Loan, Max Home Price, Payment Breakdown</t>
  </si>
  <si>
    <t xml:space="preserve">Tab 17</t>
  </si>
  <si>
    <t xml:space="preserve">Tax-Advantaged Accounts</t>
  </si>
  <si>
    <t xml:space="preserve">Contribution Priority, Tax Savings</t>
  </si>
  <si>
    <t xml:space="preserve">Tab 18</t>
  </si>
  <si>
    <t xml:space="preserve">From Start Ready by Yanni Papoutsi | raisereadybook.com | $9.99</t>
  </si>
  <si>
    <t xml:space="preserve">Assets, Liabilities &amp; Monthly Cash Flow</t>
  </si>
  <si>
    <t xml:space="preserve">ASSETS</t>
  </si>
  <si>
    <t xml:space="preserve">Checking Account</t>
  </si>
  <si>
    <t xml:space="preserve">Savings Account</t>
  </si>
  <si>
    <t xml:space="preserve">Retirement Accounts</t>
  </si>
  <si>
    <t xml:space="preserve">Investments (Taxable)</t>
  </si>
  <si>
    <t xml:space="preserve">Car Value</t>
  </si>
  <si>
    <t xml:space="preserve">Real Estate Equity</t>
  </si>
  <si>
    <t xml:space="preserve">Other Assets</t>
  </si>
  <si>
    <t xml:space="preserve">TOTAL ASSETS</t>
  </si>
  <si>
    <t xml:space="preserve">LIABILITIES</t>
  </si>
  <si>
    <t xml:space="preserve">Credit Cards</t>
  </si>
  <si>
    <t xml:space="preserve">Car Loan</t>
  </si>
  <si>
    <t xml:space="preserve">Mortgage</t>
  </si>
  <si>
    <t xml:space="preserve">Other Liabilities</t>
  </si>
  <si>
    <t xml:space="preserve">TOTAL LIABILITIES</t>
  </si>
  <si>
    <t xml:space="preserve">NET WORTH</t>
  </si>
  <si>
    <t xml:space="preserve">MONTHLY CASH FLOW</t>
  </si>
  <si>
    <t xml:space="preserve">Monthly Income (After Tax)</t>
  </si>
  <si>
    <t xml:space="preserve">Monthly Expenses</t>
  </si>
  <si>
    <t xml:space="preserve">Monthly Savings</t>
  </si>
  <si>
    <t xml:space="preserve">Savings Rate</t>
  </si>
  <si>
    <t xml:space="preserve">50/30/20 Budget Allocator</t>
  </si>
  <si>
    <t xml:space="preserve">Income allocation: 50% Needs, 30% Wants, 20% Savings</t>
  </si>
  <si>
    <t xml:space="preserve">INCOME</t>
  </si>
  <si>
    <t xml:space="preserve">Monthly After-Tax Income</t>
  </si>
  <si>
    <t xml:space="preserve">ALLOCATION</t>
  </si>
  <si>
    <t xml:space="preserve">Needs (50%)</t>
  </si>
  <si>
    <t xml:space="preserve">Wants (30%)</t>
  </si>
  <si>
    <t xml:space="preserve">Savings (20%)</t>
  </si>
  <si>
    <t xml:space="preserve">GROWTH PROJECTIONS</t>
  </si>
  <si>
    <t xml:space="preserve">Annual Savings (20%)</t>
  </si>
  <si>
    <t xml:space="preserve">10-Year Growth at 7%</t>
  </si>
  <si>
    <t xml:space="preserve">Emergency Fund Calculator</t>
  </si>
  <si>
    <t xml:space="preserve">How much to save and how long until you're covered</t>
  </si>
  <si>
    <t xml:space="preserve">INPUTS</t>
  </si>
  <si>
    <t xml:space="preserve">Monthly Essential Expenses</t>
  </si>
  <si>
    <t xml:space="preserve">Target Months of Coverage</t>
  </si>
  <si>
    <t xml:space="preserve">Current Emergency Savings</t>
  </si>
  <si>
    <t xml:space="preserve">Monthly Contribution to Fund</t>
  </si>
  <si>
    <t xml:space="preserve">RESULTS</t>
  </si>
  <si>
    <t xml:space="preserve">Target Emergency Fund Amount</t>
  </si>
  <si>
    <t xml:space="preserve">Current Progress (%)</t>
  </si>
  <si>
    <t xml:space="preserve">Funding Gap</t>
  </si>
  <si>
    <t xml:space="preserve">Months to Full Fund</t>
  </si>
  <si>
    <t xml:space="preserve">Debt Payoff Simulator</t>
  </si>
  <si>
    <t xml:space="preserve">Compare payoff timelines with extra payments</t>
  </si>
  <si>
    <t xml:space="preserve">DEBT ACCOUNTS</t>
  </si>
  <si>
    <t xml:space="preserve">Name</t>
  </si>
  <si>
    <t xml:space="preserve">Balance</t>
  </si>
  <si>
    <t xml:space="preserve">APR %</t>
  </si>
  <si>
    <t xml:space="preserve">Min Payment</t>
  </si>
  <si>
    <t xml:space="preserve">Credit Card</t>
  </si>
  <si>
    <t xml:space="preserve">Student Loan</t>
  </si>
  <si>
    <t xml:space="preserve">Extra Monthly Payment</t>
  </si>
  <si>
    <t xml:space="preserve">ANALYSIS</t>
  </si>
  <si>
    <t xml:space="preserve">Total Debt</t>
  </si>
  <si>
    <t xml:space="preserve">Total Minimum Payments</t>
  </si>
  <si>
    <t xml:space="preserve">Weighted Average APR</t>
  </si>
  <si>
    <t xml:space="preserve">Note: Extra payment applies to highest-rate debt first (avalanche method)</t>
  </si>
  <si>
    <t xml:space="preserve">Compound Growth Visualizer</t>
  </si>
  <si>
    <t xml:space="preserve">Watch your money grow over time</t>
  </si>
  <si>
    <t xml:space="preserve">Starting Amount</t>
  </si>
  <si>
    <t xml:space="preserve">Monthly Contribution</t>
  </si>
  <si>
    <t xml:space="preserve">Annual Return %</t>
  </si>
  <si>
    <t xml:space="preserve">Years</t>
  </si>
  <si>
    <t xml:space="preserve">Total Contributed</t>
  </si>
  <si>
    <t xml:space="preserve">Final Value</t>
  </si>
  <si>
    <t xml:space="preserve">Investment Growth</t>
  </si>
  <si>
    <t xml:space="preserve">MILESTONE TABLE</t>
  </si>
  <si>
    <t xml:space="preserve">Year</t>
  </si>
  <si>
    <t xml:space="preserve">Contributions</t>
  </si>
  <si>
    <t xml:space="preserve">Growth</t>
  </si>
  <si>
    <t xml:space="preserve">Total Value</t>
  </si>
  <si>
    <t xml:space="preserve">Retirement Calculator</t>
  </si>
  <si>
    <t xml:space="preserve">Will you have enough to retire?</t>
  </si>
  <si>
    <t xml:space="preserve">Current Age</t>
  </si>
  <si>
    <t xml:space="preserve">Retirement Age</t>
  </si>
  <si>
    <t xml:space="preserve">Current Retirement Savings</t>
  </si>
  <si>
    <t xml:space="preserve">Expected Annual Return %</t>
  </si>
  <si>
    <t xml:space="preserve">Desired Annual Spending in Retirement</t>
  </si>
  <si>
    <t xml:space="preserve">Safe Withdrawal Rate %</t>
  </si>
  <si>
    <t xml:space="preserve">Years to Retirement</t>
  </si>
  <si>
    <t xml:space="preserve">Required Nest Egg (4% rule)</t>
  </si>
  <si>
    <t xml:space="preserve">Projected Savings at Retirement</t>
  </si>
  <si>
    <t xml:space="preserve">Surplus/(Shortfall)</t>
  </si>
  <si>
    <t xml:space="preserve">Salary Negotiation Calculator</t>
  </si>
  <si>
    <t xml:space="preserve">Impact of negotiated salary over a career</t>
  </si>
  <si>
    <t xml:space="preserve">CURRENT SITUATION</t>
  </si>
  <si>
    <t xml:space="preserve">Current Salary</t>
  </si>
  <si>
    <t xml:space="preserve">NEGOTIATED OFFER</t>
  </si>
  <si>
    <t xml:space="preserve">Negotiated Salary</t>
  </si>
  <si>
    <t xml:space="preserve">ASSUMPTIONS</t>
  </si>
  <si>
    <t xml:space="preserve">Annual Raise % (existing job)</t>
  </si>
  <si>
    <t xml:space="preserve">Career Years</t>
  </si>
  <si>
    <t xml:space="preserve">401(k) Contribution %</t>
  </si>
  <si>
    <t xml:space="preserve">Investment Return %</t>
  </si>
  <si>
    <t xml:space="preserve">IMPACT</t>
  </si>
  <si>
    <t xml:space="preserve">Annual Salary Difference</t>
  </si>
  <si>
    <t xml:space="preserve">Lifetime Earnings Difference (with 3% raises)</t>
  </si>
  <si>
    <t xml:space="preserve">401(k) Difference Over Career</t>
  </si>
  <si>
    <t xml:space="preserve">Buy vs Rent Comparator</t>
  </si>
  <si>
    <t xml:space="preserve">Compare total costs over 10 years</t>
  </si>
  <si>
    <t xml:space="preserve">BUY ASSUMPTIONS</t>
  </si>
  <si>
    <t xml:space="preserve">Home Price</t>
  </si>
  <si>
    <t xml:space="preserve">Down Payment %</t>
  </si>
  <si>
    <t xml:space="preserve">Mortgage Rate %</t>
  </si>
  <si>
    <t xml:space="preserve">Loan Term (years)</t>
  </si>
  <si>
    <t xml:space="preserve">Property Tax Rate %</t>
  </si>
  <si>
    <t xml:space="preserve">Annual Maintenance %</t>
  </si>
  <si>
    <t xml:space="preserve">Home Appreciation %</t>
  </si>
  <si>
    <t xml:space="preserve">RENT ASSUMPTIONS</t>
  </si>
  <si>
    <t xml:space="preserve">Monthly Rent</t>
  </si>
  <si>
    <t xml:space="preserve">Annual Rent Increase %</t>
  </si>
  <si>
    <t xml:space="preserve">INVESTMENT ALTERNATIVE</t>
  </si>
  <si>
    <t xml:space="preserve">Analysis Period (years)</t>
  </si>
  <si>
    <t xml:space="preserve">BUY COSTS</t>
  </si>
  <si>
    <t xml:space="preserve">Down Payment</t>
  </si>
  <si>
    <t xml:space="preserve">Monthly Mortgage Payment</t>
  </si>
  <si>
    <t xml:space="preserve">Monthly Property Tax</t>
  </si>
  <si>
    <t xml:space="preserve">Monthly Maintenance</t>
  </si>
  <si>
    <t xml:space="preserve">Total Buy Cost (10 years)</t>
  </si>
  <si>
    <t xml:space="preserve">RENT COSTS</t>
  </si>
  <si>
    <t xml:space="preserve">Total Rent (10 years, with increases)</t>
  </si>
  <si>
    <t xml:space="preserve">EQUITY &amp; COMPARISON</t>
  </si>
  <si>
    <t xml:space="preserve">Home Value at Year 10</t>
  </si>
  <si>
    <t xml:space="preserve">Net Cost Comparison</t>
  </si>
  <si>
    <t xml:space="preserve">Buy generally better with equity growth</t>
  </si>
  <si>
    <t xml:space="preserve">Credit Card True Cost</t>
  </si>
  <si>
    <t xml:space="preserve">Compare payoff strategies</t>
  </si>
  <si>
    <t xml:space="preserve">Credit Card Balance</t>
  </si>
  <si>
    <t xml:space="preserve">Annual Interest Rate %</t>
  </si>
  <si>
    <t xml:space="preserve">Minimum Payment %</t>
  </si>
  <si>
    <t xml:space="preserve">Fixed Monthly Payment Option</t>
  </si>
  <si>
    <t xml:space="preserve">MINIMUM PAYMENT STRATEGY</t>
  </si>
  <si>
    <t xml:space="preserve">Monthly Minimum Payment</t>
  </si>
  <si>
    <t xml:space="preserve">Months to Payoff (min payments)</t>
  </si>
  <si>
    <t xml:space="preserve">Total Interest (min payments)</t>
  </si>
  <si>
    <t xml:space="preserve">FIXED PAYMENT STRATEGY</t>
  </si>
  <si>
    <t xml:space="preserve">Months to Payoff (fixed payment)</t>
  </si>
  <si>
    <t xml:space="preserve">Total Interest (fixed payment)</t>
  </si>
  <si>
    <t xml:space="preserve">Interest Savings with Fixed Payment</t>
  </si>
  <si>
    <t xml:space="preserve">Tax Bracket Visualizer - 2025</t>
  </si>
  <si>
    <t xml:space="preserve">Federal income tax: single filer</t>
  </si>
  <si>
    <t xml:space="preserve">Annual Gross Income</t>
  </si>
  <si>
    <t xml:space="preserve">Standard Deduction</t>
  </si>
  <si>
    <t xml:space="preserve">TAXABLE INCOME</t>
  </si>
  <si>
    <t xml:space="preserve">Taxable Income</t>
  </si>
  <si>
    <t xml:space="preserve">TAX BRACKETS (2025 - Single)</t>
  </si>
  <si>
    <t xml:space="preserve">Bracket</t>
  </si>
  <si>
    <t xml:space="preserve">Rate</t>
  </si>
  <si>
    <t xml:space="preserve">Income Range</t>
  </si>
  <si>
    <t xml:space="preserve">Tax</t>
  </si>
  <si>
    <t xml:space="preserve">10%</t>
  </si>
  <si>
    <t xml:space="preserve">$0 - $11,600</t>
  </si>
  <si>
    <t xml:space="preserve">12%</t>
  </si>
  <si>
    <t xml:space="preserve">$11,601 - $47,150</t>
  </si>
  <si>
    <t xml:space="preserve">22%</t>
  </si>
  <si>
    <t xml:space="preserve">$47,151 - $100,525</t>
  </si>
  <si>
    <t xml:space="preserve">24%</t>
  </si>
  <si>
    <t xml:space="preserve">$100,526 - $191,950</t>
  </si>
  <si>
    <t xml:space="preserve">32%</t>
  </si>
  <si>
    <t xml:space="preserve">$191,951 - $243,725</t>
  </si>
  <si>
    <t xml:space="preserve">SUMMARY</t>
  </si>
  <si>
    <t xml:space="preserve">Total Federal Income Tax</t>
  </si>
  <si>
    <t xml:space="preserve">Effective Tax Rate</t>
  </si>
  <si>
    <t xml:space="preserve">Marginal Tax Rate</t>
  </si>
  <si>
    <t xml:space="preserve">Roth vs Traditional IRA</t>
  </si>
  <si>
    <t xml:space="preserve">Long-term tax comparison</t>
  </si>
  <si>
    <t xml:space="preserve">Annual Contribution</t>
  </si>
  <si>
    <t xml:space="preserve">Current Tax Rate %</t>
  </si>
  <si>
    <t xml:space="preserve">Retirement Tax Rate %</t>
  </si>
  <si>
    <t xml:space="preserve">TRADITIONAL IRA</t>
  </si>
  <si>
    <t xml:space="preserve">Pre-tax Contribution Value</t>
  </si>
  <si>
    <t xml:space="preserve">Value at Retirement</t>
  </si>
  <si>
    <t xml:space="preserve">Taxes Owed in Retirement</t>
  </si>
  <si>
    <t xml:space="preserve">After-Tax Value</t>
  </si>
  <si>
    <t xml:space="preserve">ROTH IRA</t>
  </si>
  <si>
    <t xml:space="preserve">After-Tax Contribution</t>
  </si>
  <si>
    <t xml:space="preserve">$0 (tax-free)</t>
  </si>
  <si>
    <t xml:space="preserve">RECOMMENDATION</t>
  </si>
  <si>
    <t xml:space="preserve">Roth Advantage</t>
  </si>
  <si>
    <t xml:space="preserve">Student Loan Simulator</t>
  </si>
  <si>
    <t xml:space="preserve">Standard Repayment &amp; Forgiveness Analysis</t>
  </si>
  <si>
    <t xml:space="preserve">LOAN INPUTS</t>
  </si>
  <si>
    <t xml:space="preserve">Loan Balance</t>
  </si>
  <si>
    <t xml:space="preserve">Interest Rate %</t>
  </si>
  <si>
    <t xml:space="preserve">Standard Repayment Term (years)</t>
  </si>
  <si>
    <t xml:space="preserve">INCOME INFO</t>
  </si>
  <si>
    <t xml:space="preserve">Annual Income</t>
  </si>
  <si>
    <t xml:space="preserve">Annual Income Growth %</t>
  </si>
  <si>
    <t xml:space="preserve">STANDARD REPAYMENT</t>
  </si>
  <si>
    <t xml:space="preserve">Monthly Payment</t>
  </si>
  <si>
    <t xml:space="preserve">Total Interest Over 10 Years</t>
  </si>
  <si>
    <t xml:space="preserve">Total Amount Paid</t>
  </si>
  <si>
    <t xml:space="preserve">DEBT-TO-INCOME RATIO</t>
  </si>
  <si>
    <t xml:space="preserve">Monthly Income</t>
  </si>
  <si>
    <t xml:space="preserve">Payment-to-Income Ratio</t>
  </si>
  <si>
    <t xml:space="preserve">Personal Runway Calculator</t>
  </si>
  <si>
    <t xml:space="preserve">How long can you sustain with current savings</t>
  </si>
  <si>
    <t xml:space="preserve">Liquid Savings (Cash)</t>
  </si>
  <si>
    <t xml:space="preserve">Current Monthly Spending</t>
  </si>
  <si>
    <t xml:space="preserve">Survival Monthly Spending (minimum)</t>
  </si>
  <si>
    <t xml:space="preserve">Expected Monthly Income During Transition</t>
  </si>
  <si>
    <t xml:space="preserve">RUNWAY ANALYSIS</t>
  </si>
  <si>
    <t xml:space="preserve">Monthly Burn (current spending)</t>
  </si>
  <si>
    <t xml:space="preserve">Runway (current spending)</t>
  </si>
  <si>
    <t xml:space="preserve">Monthly Burn (survival spending)</t>
  </si>
  <si>
    <t xml:space="preserve">Runway (survival spending)</t>
  </si>
  <si>
    <t xml:space="preserve">Difference (months gained)</t>
  </si>
  <si>
    <t xml:space="preserve">Self-assessment for making major life changes</t>
  </si>
  <si>
    <t xml:space="preserve">RATE EACH ITEM 1-5</t>
  </si>
  <si>
    <t xml:space="preserve">Item</t>
  </si>
  <si>
    <t xml:space="preserve">Rating (1-5)</t>
  </si>
  <si>
    <t xml:space="preserve">Notes</t>
  </si>
  <si>
    <t xml:space="preserve">1. Financial Runway (months of savings)</t>
  </si>
  <si>
    <t xml:space="preserve">2. Skills Match (for new role/project)</t>
  </si>
  <si>
    <t xml:space="preserve">3. Market Validation (customer/user interest)</t>
  </si>
  <si>
    <t xml:space="preserve">4. Team/Co-founder (aligned, capable)</t>
  </si>
  <si>
    <t xml:space="preserve">5. Savings Buffer (beyond emergency fund)</t>
  </si>
  <si>
    <t xml:space="preserve">6. Risk Tolerance (comfortable with uncertainty)</t>
  </si>
  <si>
    <t xml:space="preserve">7. Backup Plan (fallback option ready)</t>
  </si>
  <si>
    <t xml:space="preserve">8. Support System (family/friends)</t>
  </si>
  <si>
    <t xml:space="preserve">9. Domain Expertise (knowledge depth)</t>
  </si>
  <si>
    <t xml:space="preserve">10. Conviction Level (belief in decision)</t>
  </si>
  <si>
    <t xml:space="preserve">SCORECARD RESULTS</t>
  </si>
  <si>
    <t xml:space="preserve">Total Score</t>
  </si>
  <si>
    <t xml:space="preserve">Percentage</t>
  </si>
  <si>
    <t xml:space="preserve">VERDICT</t>
  </si>
  <si>
    <t xml:space="preserve">Three Numbers Dashboard</t>
  </si>
  <si>
    <t xml:space="preserve">Quick financial health snapshot</t>
  </si>
  <si>
    <t xml:space="preserve">Liquid Savings</t>
  </si>
  <si>
    <t xml:space="preserve">Monthly Income (after tax)</t>
  </si>
  <si>
    <t xml:space="preserve">Total Assets</t>
  </si>
  <si>
    <t xml:space="preserve">Total Liabilities</t>
  </si>
  <si>
    <t xml:space="preserve">THREE KEY NUMBERS</t>
  </si>
  <si>
    <t xml:space="preserve">#1: Emergency Fund Months</t>
  </si>
  <si>
    <t xml:space="preserve">#2: Net Worth</t>
  </si>
  <si>
    <t xml:space="preserve">#3: Monthly Surplus</t>
  </si>
  <si>
    <t xml:space="preserve">FINANCIAL HEALTH SCORE</t>
  </si>
  <si>
    <t xml:space="preserve">Score</t>
  </si>
  <si>
    <t xml:space="preserve">Insurance Needs Checklist</t>
  </si>
  <si>
    <t xml:space="preserve">Determine adequate coverage amounts</t>
  </si>
  <si>
    <t xml:space="preserve">Number of Dependents</t>
  </si>
  <si>
    <t xml:space="preserve">Mortgage Balance</t>
  </si>
  <si>
    <t xml:space="preserve">Other Debts</t>
  </si>
  <si>
    <t xml:space="preserve">Years of Income to Replace</t>
  </si>
  <si>
    <t xml:space="preserve">Existing Life Insurance</t>
  </si>
  <si>
    <t xml:space="preserve">INSURANCE NEEDS</t>
  </si>
  <si>
    <t xml:space="preserve">Life Insurance Need</t>
  </si>
  <si>
    <t xml:space="preserve">Disability Income Coverage</t>
  </si>
  <si>
    <t xml:space="preserve">Umbrella Policy</t>
  </si>
  <si>
    <t xml:space="preserve">Recommended: $1-2M</t>
  </si>
  <si>
    <t xml:space="preserve">Maximum home price you can afford</t>
  </si>
  <si>
    <t xml:space="preserve">INCOME &amp; DEBTS</t>
  </si>
  <si>
    <t xml:space="preserve">Monthly Existing Debt Payments</t>
  </si>
  <si>
    <t xml:space="preserve">DOWN PAYMENT</t>
  </si>
  <si>
    <t xml:space="preserve">Down Payment Amount</t>
  </si>
  <si>
    <t xml:space="preserve">MORTGAGE TERMS</t>
  </si>
  <si>
    <t xml:space="preserve">Mortgage Interest Rate %</t>
  </si>
  <si>
    <t xml:space="preserve">PROPERTY COSTS</t>
  </si>
  <si>
    <t xml:space="preserve">Annual Property Tax Rate %</t>
  </si>
  <si>
    <t xml:space="preserve">Annual Homeowners Insurance</t>
  </si>
  <si>
    <t xml:space="preserve">AFFORDABILITY ANALYSIS</t>
  </si>
  <si>
    <t xml:space="preserve">Max Monthly Housing (28% rule)</t>
  </si>
  <si>
    <t xml:space="preserve">Max Monthly Available (43% - debts)</t>
  </si>
  <si>
    <t xml:space="preserve">Conservative Max Monthly</t>
  </si>
  <si>
    <t xml:space="preserve">Max Loan Amount</t>
  </si>
  <si>
    <t xml:space="preserve">Max Home Price</t>
  </si>
  <si>
    <t xml:space="preserve">PAYMENT BREAKDOWN</t>
  </si>
  <si>
    <t xml:space="preserve">Principal &amp; Interest</t>
  </si>
  <si>
    <t xml:space="preserve">Monthly Insurance</t>
  </si>
  <si>
    <t xml:space="preserve">Tax-Advantaged Account Optimizer</t>
  </si>
  <si>
    <t xml:space="preserve">Smart contribution priority order</t>
  </si>
  <si>
    <t xml:space="preserve">Total Retirement Savings Budget</t>
  </si>
  <si>
    <t xml:space="preserve">Employer 401(k) Match %</t>
  </si>
  <si>
    <t xml:space="preserve">Employer Match Cap %</t>
  </si>
  <si>
    <t xml:space="preserve">HSA Eligible (1=Yes, 0=No)</t>
  </si>
  <si>
    <t xml:space="preserve">Current Marginal Tax Rate %</t>
  </si>
  <si>
    <t xml:space="preserve">PRIORITY 1: Employer Match (Get Free Money!)</t>
  </si>
  <si>
    <t xml:space="preserve">Contribution Amount</t>
  </si>
  <si>
    <t xml:space="preserve">Immediate Employer Match (free!)</t>
  </si>
  <si>
    <t xml:space="preserve">Tax Savings</t>
  </si>
  <si>
    <t xml:space="preserve">PRIORITY 2: Max HSA (Triple Tax Advantage)</t>
  </si>
  <si>
    <t xml:space="preserve">HSA Contribution (self-only)</t>
  </si>
  <si>
    <t xml:space="preserve">PRIORITY 3: Roth IRA (Tax-Free Growth)</t>
  </si>
  <si>
    <t xml:space="preserve">Roth IRA Contribution</t>
  </si>
  <si>
    <t xml:space="preserve">$7,000</t>
  </si>
  <si>
    <t xml:space="preserve">PRIORITY 4: Remaining 401(k)</t>
  </si>
  <si>
    <t xml:space="preserve">Remaining Budget</t>
  </si>
  <si>
    <t xml:space="preserve">Tax Savings on 401(k)</t>
  </si>
  <si>
    <t xml:space="preserve">TOTAL TAX SAVINGS</t>
  </si>
  <si>
    <t xml:space="preserve">Total Tax Savings This Year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</si>
</sst>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0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8080D"/>
      <name val="Arial"/>
      <family val="0"/>
      <charset val="1"/>
    </font>
    <font>
      <sz val="10"/>
      <color rgb="FF6E6A61"/>
      <name val="Arial"/>
      <family val="0"/>
      <charset val="1"/>
    </font>
    <font>
      <b val="true"/>
      <sz val="12"/>
      <color rgb="FFC8A45A"/>
      <name val="Arial"/>
      <family val="0"/>
      <charset val="1"/>
    </font>
    <font>
      <i val="true"/>
      <sz val="9"/>
      <color rgb="FF6E6A6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8080D"/>
      <name val="Arial"/>
      <family val="0"/>
      <charset val="1"/>
    </font>
    <font>
      <b val="true"/>
      <sz val="14"/>
      <color rgb="FF08080D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5EDDA"/>
        <bgColor rgb="FFFBF5E8"/>
      </patternFill>
    </fill>
    <fill>
      <patternFill patternType="solid">
        <fgColor rgb="FF08080D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BF5E8"/>
        <bgColor rgb="FFF5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A45A"/>
      </left>
      <right style="thin">
        <color rgb="FFC8A45A"/>
      </right>
      <top style="thin">
        <color rgb="FFC8A45A"/>
      </top>
      <bottom style="thin">
        <color rgb="FFC8A45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5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D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A61"/>
      <rgbColor rgb="FFC8A45A"/>
      <rgbColor rgb="FF003366"/>
      <rgbColor rgb="FF339966"/>
      <rgbColor rgb="FF0808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6" customFormat="false" ht="18" hidden="false" customHeight="true" outlineLevel="0" collapsed="false">
      <c r="A6" s="3" t="s">
        <v>2</v>
      </c>
      <c r="B6" s="3"/>
      <c r="C6" s="3"/>
      <c r="D6" s="3"/>
      <c r="E6" s="3"/>
    </row>
    <row r="7" customFormat="false" ht="15" hidden="false" customHeight="false" outlineLevel="0" collapsed="false">
      <c r="A7" s="4" t="s">
        <v>3</v>
      </c>
      <c r="B7" s="4"/>
      <c r="C7" s="4"/>
      <c r="D7" s="4"/>
      <c r="E7" s="4"/>
    </row>
    <row r="8" customFormat="false" ht="15" hidden="false" customHeight="false" outlineLevel="0" collapsed="false">
      <c r="A8" s="4" t="s">
        <v>4</v>
      </c>
      <c r="B8" s="4"/>
      <c r="C8" s="4"/>
      <c r="D8" s="4"/>
      <c r="E8" s="4"/>
    </row>
    <row r="9" customFormat="false" ht="15" hidden="false" customHeight="false" outlineLevel="0" collapsed="false">
      <c r="A9" s="4" t="s">
        <v>5</v>
      </c>
      <c r="B9" s="4"/>
      <c r="C9" s="4"/>
      <c r="D9" s="4"/>
      <c r="E9" s="4"/>
    </row>
    <row r="10" customFormat="false" ht="15" hidden="false" customHeight="false" outlineLevel="0" collapsed="false">
      <c r="A10" s="4" t="s">
        <v>6</v>
      </c>
      <c r="B10" s="4"/>
      <c r="C10" s="4"/>
      <c r="D10" s="4"/>
      <c r="E10" s="4"/>
    </row>
    <row r="11" customFormat="false" ht="15" hidden="false" customHeight="false" outlineLevel="0" collapsed="false">
      <c r="A11" s="4" t="s">
        <v>7</v>
      </c>
      <c r="B11" s="4"/>
      <c r="C11" s="4"/>
      <c r="D11" s="4"/>
      <c r="E11" s="4"/>
    </row>
    <row r="12" customFormat="false" ht="15" hidden="false" customHeight="false" outlineLevel="0" collapsed="false">
      <c r="A12" s="4" t="s">
        <v>8</v>
      </c>
      <c r="B12" s="4"/>
      <c r="C12" s="4"/>
      <c r="D12" s="4"/>
      <c r="E12" s="4"/>
    </row>
    <row r="13" customFormat="false" ht="15" hidden="false" customHeight="false" outlineLevel="0" collapsed="false">
      <c r="A13" s="4" t="s">
        <v>9</v>
      </c>
      <c r="B13" s="4"/>
      <c r="C13" s="4"/>
      <c r="D13" s="4"/>
      <c r="E13" s="4"/>
    </row>
    <row r="14" customFormat="false" ht="15" hidden="false" customHeight="false" outlineLevel="0" collapsed="false">
      <c r="A14" s="4" t="s">
        <v>10</v>
      </c>
      <c r="B14" s="4"/>
      <c r="C14" s="4"/>
      <c r="D14" s="4"/>
      <c r="E14" s="4"/>
    </row>
    <row r="15" customFormat="false" ht="15" hidden="false" customHeight="false" outlineLevel="0" collapsed="false">
      <c r="A15" s="4" t="s">
        <v>11</v>
      </c>
      <c r="B15" s="4"/>
      <c r="C15" s="4"/>
      <c r="D15" s="4"/>
      <c r="E15" s="4"/>
    </row>
    <row r="16" customFormat="false" ht="15" hidden="false" customHeight="false" outlineLevel="0" collapsed="false">
      <c r="A16" s="4" t="s">
        <v>12</v>
      </c>
      <c r="B16" s="4"/>
      <c r="C16" s="4"/>
      <c r="D16" s="4"/>
      <c r="E16" s="4"/>
    </row>
    <row r="18" customFormat="false" ht="18" hidden="false" customHeight="true" outlineLevel="0" collapsed="false">
      <c r="A18" s="3" t="s">
        <v>13</v>
      </c>
      <c r="B18" s="3"/>
      <c r="C18" s="3"/>
      <c r="D18" s="3"/>
      <c r="E18" s="3"/>
    </row>
    <row r="19" customFormat="false" ht="18" hidden="false" customHeight="true" outlineLevel="0" collapsed="false">
      <c r="A19" s="5" t="s">
        <v>14</v>
      </c>
      <c r="B19" s="5" t="s">
        <v>15</v>
      </c>
      <c r="C19" s="5" t="s">
        <v>16</v>
      </c>
      <c r="D19" s="5" t="s">
        <v>17</v>
      </c>
      <c r="E19" s="5" t="s">
        <v>18</v>
      </c>
    </row>
    <row r="20" customFormat="false" ht="15" hidden="false" customHeight="false" outlineLevel="0" collapsed="false">
      <c r="A20" s="6" t="n">
        <v>1</v>
      </c>
      <c r="B20" s="7" t="s">
        <v>19</v>
      </c>
      <c r="C20" s="7" t="s">
        <v>20</v>
      </c>
      <c r="D20" s="8" t="s">
        <v>21</v>
      </c>
      <c r="E20" s="7" t="s">
        <v>22</v>
      </c>
    </row>
    <row r="21" customFormat="false" ht="15" hidden="false" customHeight="false" outlineLevel="0" collapsed="false">
      <c r="A21" s="6" t="n">
        <v>2</v>
      </c>
      <c r="B21" s="7" t="s">
        <v>23</v>
      </c>
      <c r="C21" s="7" t="s">
        <v>24</v>
      </c>
      <c r="D21" s="8" t="s">
        <v>25</v>
      </c>
      <c r="E21" s="7" t="s">
        <v>26</v>
      </c>
    </row>
    <row r="22" customFormat="false" ht="15" hidden="false" customHeight="false" outlineLevel="0" collapsed="false">
      <c r="A22" s="6" t="n">
        <v>3</v>
      </c>
      <c r="B22" s="7" t="s">
        <v>27</v>
      </c>
      <c r="C22" s="7" t="s">
        <v>24</v>
      </c>
      <c r="D22" s="8" t="s">
        <v>28</v>
      </c>
      <c r="E22" s="7" t="s">
        <v>29</v>
      </c>
    </row>
    <row r="23" customFormat="false" ht="15" hidden="false" customHeight="false" outlineLevel="0" collapsed="false">
      <c r="A23" s="6" t="n">
        <v>4</v>
      </c>
      <c r="B23" s="7" t="s">
        <v>30</v>
      </c>
      <c r="C23" s="7" t="s">
        <v>31</v>
      </c>
      <c r="D23" s="8" t="s">
        <v>32</v>
      </c>
      <c r="E23" s="7" t="s">
        <v>33</v>
      </c>
    </row>
    <row r="24" customFormat="false" ht="15" hidden="false" customHeight="false" outlineLevel="0" collapsed="false">
      <c r="A24" s="6" t="n">
        <v>5</v>
      </c>
      <c r="B24" s="7" t="s">
        <v>34</v>
      </c>
      <c r="C24" s="7" t="s">
        <v>35</v>
      </c>
      <c r="D24" s="8" t="s">
        <v>36</v>
      </c>
      <c r="E24" s="7" t="s">
        <v>37</v>
      </c>
    </row>
    <row r="25" customFormat="false" ht="15" hidden="false" customHeight="false" outlineLevel="0" collapsed="false">
      <c r="A25" s="6" t="n">
        <v>6</v>
      </c>
      <c r="B25" s="7" t="s">
        <v>38</v>
      </c>
      <c r="C25" s="7" t="s">
        <v>24</v>
      </c>
      <c r="D25" s="8" t="s">
        <v>39</v>
      </c>
      <c r="E25" s="7" t="s">
        <v>40</v>
      </c>
    </row>
    <row r="26" customFormat="false" ht="15" hidden="false" customHeight="false" outlineLevel="0" collapsed="false">
      <c r="A26" s="6" t="n">
        <v>7</v>
      </c>
      <c r="B26" s="7" t="s">
        <v>41</v>
      </c>
      <c r="C26" s="7" t="s">
        <v>42</v>
      </c>
      <c r="D26" s="8" t="s">
        <v>43</v>
      </c>
      <c r="E26" s="7" t="s">
        <v>44</v>
      </c>
    </row>
    <row r="27" customFormat="false" ht="15" hidden="false" customHeight="false" outlineLevel="0" collapsed="false">
      <c r="A27" s="6" t="n">
        <v>8</v>
      </c>
      <c r="B27" s="7" t="s">
        <v>45</v>
      </c>
      <c r="C27" s="7" t="s">
        <v>46</v>
      </c>
      <c r="D27" s="8" t="s">
        <v>47</v>
      </c>
      <c r="E27" s="7" t="s">
        <v>48</v>
      </c>
    </row>
    <row r="28" customFormat="false" ht="15" hidden="false" customHeight="false" outlineLevel="0" collapsed="false">
      <c r="A28" s="6" t="n">
        <v>9</v>
      </c>
      <c r="B28" s="7" t="s">
        <v>49</v>
      </c>
      <c r="C28" s="7" t="s">
        <v>31</v>
      </c>
      <c r="D28" s="8" t="s">
        <v>50</v>
      </c>
      <c r="E28" s="7" t="s">
        <v>51</v>
      </c>
    </row>
    <row r="29" customFormat="false" ht="15" hidden="false" customHeight="false" outlineLevel="0" collapsed="false">
      <c r="A29" s="6" t="n">
        <v>10</v>
      </c>
      <c r="B29" s="7" t="s">
        <v>52</v>
      </c>
      <c r="C29" s="7" t="s">
        <v>53</v>
      </c>
      <c r="D29" s="8" t="s">
        <v>54</v>
      </c>
      <c r="E29" s="7" t="s">
        <v>55</v>
      </c>
    </row>
    <row r="30" customFormat="false" ht="15" hidden="false" customHeight="false" outlineLevel="0" collapsed="false">
      <c r="A30" s="6" t="n">
        <v>11</v>
      </c>
      <c r="B30" s="7" t="s">
        <v>56</v>
      </c>
      <c r="C30" s="7" t="s">
        <v>35</v>
      </c>
      <c r="D30" s="8" t="s">
        <v>57</v>
      </c>
      <c r="E30" s="7" t="s">
        <v>58</v>
      </c>
    </row>
    <row r="31" customFormat="false" ht="15" hidden="false" customHeight="false" outlineLevel="0" collapsed="false">
      <c r="A31" s="6" t="n">
        <v>12</v>
      </c>
      <c r="B31" s="7" t="s">
        <v>59</v>
      </c>
      <c r="C31" s="7" t="s">
        <v>31</v>
      </c>
      <c r="D31" s="8" t="s">
        <v>60</v>
      </c>
      <c r="E31" s="7" t="s">
        <v>61</v>
      </c>
    </row>
    <row r="32" customFormat="false" ht="15" hidden="false" customHeight="false" outlineLevel="0" collapsed="false">
      <c r="A32" s="6" t="n">
        <v>13</v>
      </c>
      <c r="B32" s="7" t="s">
        <v>62</v>
      </c>
      <c r="C32" s="7" t="s">
        <v>20</v>
      </c>
      <c r="D32" s="8" t="s">
        <v>63</v>
      </c>
      <c r="E32" s="7" t="s">
        <v>64</v>
      </c>
    </row>
    <row r="33" customFormat="false" ht="15" hidden="false" customHeight="false" outlineLevel="0" collapsed="false">
      <c r="A33" s="6" t="n">
        <v>14</v>
      </c>
      <c r="B33" s="7" t="s">
        <v>65</v>
      </c>
      <c r="C33" s="7" t="s">
        <v>66</v>
      </c>
      <c r="D33" s="8" t="s">
        <v>67</v>
      </c>
      <c r="E33" s="7" t="s">
        <v>68</v>
      </c>
    </row>
    <row r="34" customFormat="false" ht="15" hidden="false" customHeight="false" outlineLevel="0" collapsed="false">
      <c r="A34" s="6" t="n">
        <v>15</v>
      </c>
      <c r="B34" s="7" t="s">
        <v>69</v>
      </c>
      <c r="C34" s="7" t="s">
        <v>20</v>
      </c>
      <c r="D34" s="8" t="s">
        <v>70</v>
      </c>
      <c r="E34" s="7" t="s">
        <v>71</v>
      </c>
    </row>
    <row r="35" customFormat="false" ht="15" hidden="false" customHeight="false" outlineLevel="0" collapsed="false">
      <c r="A35" s="6" t="n">
        <v>16</v>
      </c>
      <c r="B35" s="7" t="s">
        <v>72</v>
      </c>
      <c r="C35" s="7" t="s">
        <v>24</v>
      </c>
      <c r="D35" s="8" t="s">
        <v>73</v>
      </c>
      <c r="E35" s="7" t="s">
        <v>74</v>
      </c>
    </row>
    <row r="36" customFormat="false" ht="15" hidden="false" customHeight="false" outlineLevel="0" collapsed="false">
      <c r="A36" s="6" t="n">
        <v>17</v>
      </c>
      <c r="B36" s="7" t="s">
        <v>75</v>
      </c>
      <c r="C36" s="7" t="s">
        <v>46</v>
      </c>
      <c r="D36" s="8" t="s">
        <v>76</v>
      </c>
      <c r="E36" s="7" t="s">
        <v>77</v>
      </c>
    </row>
    <row r="37" customFormat="false" ht="15" hidden="false" customHeight="false" outlineLevel="0" collapsed="false">
      <c r="A37" s="6" t="n">
        <v>18</v>
      </c>
      <c r="B37" s="7" t="s">
        <v>78</v>
      </c>
      <c r="C37" s="7" t="s">
        <v>35</v>
      </c>
      <c r="D37" s="8" t="s">
        <v>79</v>
      </c>
      <c r="E37" s="7" t="s">
        <v>80</v>
      </c>
    </row>
    <row r="40" customFormat="false" ht="15" hidden="false" customHeight="false" outlineLevel="0" collapsed="false">
      <c r="A40" s="9" t="s">
        <v>81</v>
      </c>
      <c r="B40" s="9"/>
      <c r="C40" s="9"/>
      <c r="D40" s="9"/>
      <c r="E40" s="9"/>
    </row>
  </sheetData>
  <mergeCells count="15">
    <mergeCell ref="A1:E1"/>
    <mergeCell ref="A2:E2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8:E18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24.75" hidden="false" customHeight="true" outlineLevel="0" collapsed="false">
      <c r="A1" s="1" t="s">
        <v>19</v>
      </c>
      <c r="B1" s="1"/>
      <c r="C1" s="1"/>
      <c r="D1" s="1"/>
      <c r="E1" s="1"/>
    </row>
    <row r="2" customFormat="false" ht="18" hidden="false" customHeight="true" outlineLevel="0" collapsed="false">
      <c r="A2" s="2" t="s">
        <v>82</v>
      </c>
      <c r="B2" s="2"/>
      <c r="C2" s="2"/>
      <c r="D2" s="2"/>
      <c r="E2" s="2"/>
    </row>
    <row r="5" customFormat="false" ht="18" hidden="false" customHeight="true" outlineLevel="0" collapsed="false">
      <c r="A5" s="3" t="s">
        <v>83</v>
      </c>
      <c r="B5" s="3"/>
      <c r="C5" s="3"/>
      <c r="D5" s="3"/>
      <c r="E5" s="3"/>
    </row>
    <row r="6" customFormat="false" ht="15" hidden="false" customHeight="false" outlineLevel="0" collapsed="false">
      <c r="A6" s="10" t="s">
        <v>84</v>
      </c>
      <c r="B6" s="11" t="n">
        <v>50000</v>
      </c>
    </row>
    <row r="7" customFormat="false" ht="15" hidden="false" customHeight="false" outlineLevel="0" collapsed="false">
      <c r="A7" s="10" t="s">
        <v>85</v>
      </c>
      <c r="B7" s="11" t="n">
        <v>25000</v>
      </c>
    </row>
    <row r="8" customFormat="false" ht="15" hidden="false" customHeight="false" outlineLevel="0" collapsed="false">
      <c r="A8" s="10" t="s">
        <v>86</v>
      </c>
      <c r="B8" s="11" t="n">
        <v>150000</v>
      </c>
    </row>
    <row r="9" customFormat="false" ht="15" hidden="false" customHeight="false" outlineLevel="0" collapsed="false">
      <c r="A9" s="10" t="s">
        <v>87</v>
      </c>
      <c r="B9" s="11" t="n">
        <v>75000</v>
      </c>
    </row>
    <row r="10" customFormat="false" ht="15" hidden="false" customHeight="false" outlineLevel="0" collapsed="false">
      <c r="A10" s="10" t="s">
        <v>88</v>
      </c>
      <c r="B10" s="11" t="n">
        <v>15000</v>
      </c>
    </row>
    <row r="11" customFormat="false" ht="15" hidden="false" customHeight="false" outlineLevel="0" collapsed="false">
      <c r="A11" s="10" t="s">
        <v>89</v>
      </c>
      <c r="B11" s="11" t="n">
        <v>120000</v>
      </c>
    </row>
    <row r="12" customFormat="false" ht="15" hidden="false" customHeight="false" outlineLevel="0" collapsed="false">
      <c r="A12" s="10" t="s">
        <v>90</v>
      </c>
      <c r="B12" s="11" t="n">
        <v>5000</v>
      </c>
    </row>
    <row r="13" customFormat="false" ht="15" hidden="false" customHeight="false" outlineLevel="0" collapsed="false">
      <c r="A13" s="10" t="s">
        <v>91</v>
      </c>
      <c r="B13" s="12" t="n">
        <f aca="false">SUM(B4:B10)</f>
        <v>315000</v>
      </c>
    </row>
    <row r="15" customFormat="false" ht="18" hidden="false" customHeight="true" outlineLevel="0" collapsed="false">
      <c r="A15" s="3" t="s">
        <v>92</v>
      </c>
      <c r="B15" s="3"/>
      <c r="C15" s="3"/>
      <c r="D15" s="3"/>
      <c r="E15" s="3"/>
    </row>
    <row r="16" customFormat="false" ht="15" hidden="false" customHeight="false" outlineLevel="0" collapsed="false">
      <c r="A16" s="10" t="s">
        <v>59</v>
      </c>
      <c r="B16" s="11" t="n">
        <v>45000</v>
      </c>
    </row>
    <row r="17" customFormat="false" ht="15" hidden="false" customHeight="false" outlineLevel="0" collapsed="false">
      <c r="A17" s="10" t="s">
        <v>93</v>
      </c>
      <c r="B17" s="11" t="n">
        <v>3000</v>
      </c>
    </row>
    <row r="18" customFormat="false" ht="15" hidden="false" customHeight="false" outlineLevel="0" collapsed="false">
      <c r="A18" s="10" t="s">
        <v>94</v>
      </c>
      <c r="B18" s="11" t="n">
        <v>12000</v>
      </c>
    </row>
    <row r="19" customFormat="false" ht="15" hidden="false" customHeight="false" outlineLevel="0" collapsed="false">
      <c r="A19" s="10" t="s">
        <v>95</v>
      </c>
      <c r="B19" s="11" t="n">
        <v>0</v>
      </c>
    </row>
    <row r="20" customFormat="false" ht="15" hidden="false" customHeight="false" outlineLevel="0" collapsed="false">
      <c r="A20" s="10" t="s">
        <v>96</v>
      </c>
      <c r="B20" s="11" t="n">
        <v>2000</v>
      </c>
    </row>
    <row r="21" customFormat="false" ht="15" hidden="false" customHeight="false" outlineLevel="0" collapsed="false">
      <c r="A21" s="10" t="s">
        <v>97</v>
      </c>
      <c r="B21" s="12" t="n">
        <f aca="false">SUM(B15:B19)</f>
        <v>60000</v>
      </c>
    </row>
    <row r="23" customFormat="false" ht="17.35" hidden="false" customHeight="false" outlineLevel="0" collapsed="false">
      <c r="A23" s="10" t="s">
        <v>98</v>
      </c>
      <c r="B23" s="13" t="n">
        <f aca="false">B13-B21</f>
        <v>255000</v>
      </c>
    </row>
    <row r="25" customFormat="false" ht="18" hidden="false" customHeight="true" outlineLevel="0" collapsed="false">
      <c r="A25" s="3" t="s">
        <v>99</v>
      </c>
      <c r="B25" s="3"/>
      <c r="C25" s="3"/>
      <c r="D25" s="3"/>
      <c r="E25" s="3"/>
    </row>
    <row r="26" customFormat="false" ht="15" hidden="false" customHeight="false" outlineLevel="0" collapsed="false">
      <c r="A26" s="10" t="s">
        <v>100</v>
      </c>
      <c r="B26" s="11" t="n">
        <v>7500</v>
      </c>
    </row>
    <row r="27" customFormat="false" ht="15" hidden="false" customHeight="false" outlineLevel="0" collapsed="false">
      <c r="A27" s="10" t="s">
        <v>101</v>
      </c>
      <c r="B27" s="11" t="n">
        <v>5200</v>
      </c>
    </row>
    <row r="28" customFormat="false" ht="15" hidden="false" customHeight="false" outlineLevel="0" collapsed="false">
      <c r="A28" s="10" t="s">
        <v>102</v>
      </c>
      <c r="B28" s="12" t="n">
        <f aca="false">B26-B27</f>
        <v>2300</v>
      </c>
    </row>
    <row r="29" customFormat="false" ht="15" hidden="false" customHeight="false" outlineLevel="0" collapsed="false">
      <c r="A29" s="10" t="s">
        <v>103</v>
      </c>
      <c r="B29" s="14" t="n">
        <f aca="false">B28/B26</f>
        <v>0.306666666666667</v>
      </c>
    </row>
  </sheetData>
  <mergeCells count="5">
    <mergeCell ref="A1:E1"/>
    <mergeCell ref="A2:E2"/>
    <mergeCell ref="A5:E5"/>
    <mergeCell ref="A15:E15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24.75" hidden="false" customHeight="true" outlineLevel="0" collapsed="false">
      <c r="A1" s="1" t="s">
        <v>104</v>
      </c>
      <c r="B1" s="1"/>
      <c r="C1" s="1"/>
      <c r="D1" s="1"/>
      <c r="E1" s="1"/>
    </row>
    <row r="2" customFormat="false" ht="18" hidden="false" customHeight="true" outlineLevel="0" collapsed="false">
      <c r="A2" s="2" t="s">
        <v>105</v>
      </c>
      <c r="B2" s="2"/>
      <c r="C2" s="2"/>
      <c r="D2" s="2"/>
      <c r="E2" s="2"/>
    </row>
    <row r="5" customFormat="false" ht="18" hidden="false" customHeight="true" outlineLevel="0" collapsed="false">
      <c r="A5" s="3" t="s">
        <v>106</v>
      </c>
      <c r="B5" s="3"/>
      <c r="C5" s="3"/>
      <c r="D5" s="3"/>
      <c r="E5" s="3"/>
    </row>
    <row r="6" customFormat="false" ht="15" hidden="false" customHeight="false" outlineLevel="0" collapsed="false">
      <c r="A6" s="10" t="s">
        <v>107</v>
      </c>
      <c r="B6" s="11" t="n">
        <v>6000</v>
      </c>
    </row>
    <row r="8" customFormat="false" ht="18" hidden="false" customHeight="true" outlineLevel="0" collapsed="false">
      <c r="A8" s="3" t="s">
        <v>108</v>
      </c>
      <c r="B8" s="3"/>
      <c r="C8" s="3"/>
      <c r="D8" s="3"/>
      <c r="E8" s="3"/>
    </row>
    <row r="9" customFormat="false" ht="15" hidden="false" customHeight="false" outlineLevel="0" collapsed="false">
      <c r="A9" s="10" t="s">
        <v>109</v>
      </c>
      <c r="B9" s="12" t="n">
        <f aca="false">B6*0.5</f>
        <v>3000</v>
      </c>
    </row>
    <row r="10" customFormat="false" ht="15" hidden="false" customHeight="false" outlineLevel="0" collapsed="false">
      <c r="A10" s="10" t="s">
        <v>110</v>
      </c>
      <c r="B10" s="12" t="n">
        <f aca="false">B6*0.3</f>
        <v>1800</v>
      </c>
    </row>
    <row r="11" customFormat="false" ht="15" hidden="false" customHeight="false" outlineLevel="0" collapsed="false">
      <c r="A11" s="10" t="s">
        <v>111</v>
      </c>
      <c r="B11" s="12" t="n">
        <f aca="false">B6*0.2</f>
        <v>1200</v>
      </c>
    </row>
    <row r="13" customFormat="false" ht="18" hidden="false" customHeight="true" outlineLevel="0" collapsed="false">
      <c r="A13" s="3" t="s">
        <v>112</v>
      </c>
      <c r="B13" s="3"/>
      <c r="C13" s="3"/>
      <c r="D13" s="3"/>
      <c r="E13" s="3"/>
    </row>
    <row r="14" customFormat="false" ht="15" hidden="false" customHeight="false" outlineLevel="0" collapsed="false">
      <c r="A14" s="10" t="s">
        <v>113</v>
      </c>
      <c r="B14" s="12" t="n">
        <f aca="false">B11*12</f>
        <v>14400</v>
      </c>
    </row>
    <row r="15" customFormat="false" ht="15" hidden="false" customHeight="false" outlineLevel="0" collapsed="false">
      <c r="A15" s="10" t="s">
        <v>114</v>
      </c>
      <c r="B15" s="12" t="n">
        <f aca="false">FV(0.07/12,120,-B11,0)</f>
        <v>207701.768920244</v>
      </c>
    </row>
  </sheetData>
  <mergeCells count="5">
    <mergeCell ref="A1:E1"/>
    <mergeCell ref="A2:E2"/>
    <mergeCell ref="A5:E5"/>
    <mergeCell ref="A8:E8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24.75" hidden="false" customHeight="true" outlineLevel="0" collapsed="false">
      <c r="A1" s="1" t="s">
        <v>115</v>
      </c>
      <c r="B1" s="1"/>
      <c r="C1" s="1"/>
      <c r="D1" s="1"/>
      <c r="E1" s="1"/>
    </row>
    <row r="2" customFormat="false" ht="18" hidden="false" customHeight="true" outlineLevel="0" collapsed="false">
      <c r="A2" s="2" t="s">
        <v>116</v>
      </c>
      <c r="B2" s="2"/>
      <c r="C2" s="2"/>
      <c r="D2" s="2"/>
      <c r="E2" s="2"/>
    </row>
    <row r="5" customFormat="false" ht="18" hidden="false" customHeight="true" outlineLevel="0" collapsed="false">
      <c r="A5" s="3" t="s">
        <v>117</v>
      </c>
      <c r="B5" s="3"/>
      <c r="C5" s="3"/>
      <c r="D5" s="3"/>
      <c r="E5" s="3"/>
    </row>
    <row r="6" customFormat="false" ht="15" hidden="false" customHeight="false" outlineLevel="0" collapsed="false">
      <c r="A6" s="10" t="s">
        <v>118</v>
      </c>
      <c r="B6" s="11" t="n">
        <v>4000</v>
      </c>
    </row>
    <row r="7" customFormat="false" ht="15" hidden="false" customHeight="false" outlineLevel="0" collapsed="false">
      <c r="A7" s="10" t="s">
        <v>119</v>
      </c>
      <c r="B7" s="15" t="n">
        <v>6</v>
      </c>
    </row>
    <row r="8" customFormat="false" ht="15" hidden="false" customHeight="false" outlineLevel="0" collapsed="false">
      <c r="A8" s="10" t="s">
        <v>120</v>
      </c>
      <c r="B8" s="11" t="n">
        <v>8000</v>
      </c>
    </row>
    <row r="9" customFormat="false" ht="15" hidden="false" customHeight="false" outlineLevel="0" collapsed="false">
      <c r="A9" s="10" t="s">
        <v>121</v>
      </c>
      <c r="B9" s="11" t="n">
        <v>500</v>
      </c>
    </row>
    <row r="11" customFormat="false" ht="18" hidden="false" customHeight="true" outlineLevel="0" collapsed="false">
      <c r="A11" s="3" t="s">
        <v>122</v>
      </c>
      <c r="B11" s="3"/>
      <c r="C11" s="3"/>
      <c r="D11" s="3"/>
      <c r="E11" s="3"/>
    </row>
    <row r="12" customFormat="false" ht="15" hidden="false" customHeight="false" outlineLevel="0" collapsed="false">
      <c r="A12" s="10" t="s">
        <v>123</v>
      </c>
      <c r="B12" s="12" t="n">
        <f aca="false">B6*B7</f>
        <v>24000</v>
      </c>
    </row>
    <row r="13" customFormat="false" ht="15" hidden="false" customHeight="false" outlineLevel="0" collapsed="false">
      <c r="A13" s="10" t="s">
        <v>124</v>
      </c>
      <c r="B13" s="14" t="n">
        <f aca="false">B8/B12</f>
        <v>0.333333333333333</v>
      </c>
    </row>
    <row r="14" customFormat="false" ht="15" hidden="false" customHeight="false" outlineLevel="0" collapsed="false">
      <c r="A14" s="10" t="s">
        <v>125</v>
      </c>
      <c r="B14" s="12" t="n">
        <f aca="false">B12-B8</f>
        <v>16000</v>
      </c>
    </row>
    <row r="15" customFormat="false" ht="15" hidden="false" customHeight="false" outlineLevel="0" collapsed="false">
      <c r="A15" s="10" t="s">
        <v>126</v>
      </c>
      <c r="B15" s="16" t="n">
        <f aca="false">IF(B9=0,0,B14/B9)</f>
        <v>32</v>
      </c>
    </row>
  </sheetData>
  <mergeCells count="4">
    <mergeCell ref="A1:E1"/>
    <mergeCell ref="A2:E2"/>
    <mergeCell ref="A5:E5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24.75" hidden="false" customHeight="true" outlineLevel="0" collapsed="false">
      <c r="A1" s="1" t="s">
        <v>127</v>
      </c>
      <c r="B1" s="1"/>
      <c r="C1" s="1"/>
      <c r="D1" s="1"/>
      <c r="E1" s="1"/>
    </row>
    <row r="2" customFormat="false" ht="18" hidden="false" customHeight="true" outlineLevel="0" collapsed="false">
      <c r="A2" s="2" t="s">
        <v>128</v>
      </c>
      <c r="B2" s="2"/>
      <c r="C2" s="2"/>
      <c r="D2" s="2"/>
      <c r="E2" s="2"/>
    </row>
    <row r="5" customFormat="false" ht="18" hidden="false" customHeight="true" outlineLevel="0" collapsed="false">
      <c r="A5" s="3" t="s">
        <v>129</v>
      </c>
      <c r="B5" s="3"/>
      <c r="C5" s="3"/>
      <c r="D5" s="3"/>
      <c r="E5" s="3"/>
    </row>
    <row r="6" customFormat="false" ht="18" hidden="false" customHeight="true" outlineLevel="0" collapsed="false">
      <c r="A6" s="5" t="s">
        <v>130</v>
      </c>
      <c r="B6" s="5" t="s">
        <v>131</v>
      </c>
      <c r="C6" s="5" t="s">
        <v>132</v>
      </c>
      <c r="D6" s="5" t="s">
        <v>133</v>
      </c>
    </row>
    <row r="7" customFormat="false" ht="15" hidden="false" customHeight="false" outlineLevel="0" collapsed="false">
      <c r="A7" s="10" t="s">
        <v>134</v>
      </c>
      <c r="B7" s="11" t="n">
        <v>8000</v>
      </c>
      <c r="C7" s="17" t="n">
        <v>22</v>
      </c>
      <c r="D7" s="11" t="n">
        <v>200</v>
      </c>
    </row>
    <row r="8" customFormat="false" ht="15" hidden="false" customHeight="false" outlineLevel="0" collapsed="false">
      <c r="A8" s="10" t="s">
        <v>135</v>
      </c>
      <c r="B8" s="11" t="n">
        <v>35000</v>
      </c>
      <c r="C8" s="17" t="n">
        <v>5.5</v>
      </c>
      <c r="D8" s="11" t="n">
        <v>350</v>
      </c>
    </row>
    <row r="9" customFormat="false" ht="15" hidden="false" customHeight="false" outlineLevel="0" collapsed="false">
      <c r="A9" s="10" t="s">
        <v>94</v>
      </c>
      <c r="B9" s="11" t="n">
        <v>15000</v>
      </c>
      <c r="C9" s="17" t="n">
        <v>6</v>
      </c>
      <c r="D9" s="11" t="n">
        <v>300</v>
      </c>
    </row>
    <row r="11" customFormat="false" ht="15" hidden="false" customHeight="false" outlineLevel="0" collapsed="false">
      <c r="A11" s="10" t="s">
        <v>136</v>
      </c>
      <c r="B11" s="11" t="n">
        <v>200</v>
      </c>
    </row>
    <row r="13" customFormat="false" ht="18" hidden="false" customHeight="true" outlineLevel="0" collapsed="false">
      <c r="A13" s="3" t="s">
        <v>137</v>
      </c>
      <c r="B13" s="3"/>
      <c r="C13" s="3"/>
      <c r="D13" s="3"/>
      <c r="E13" s="3"/>
    </row>
    <row r="14" customFormat="false" ht="15" hidden="false" customHeight="false" outlineLevel="0" collapsed="false">
      <c r="A14" s="10" t="s">
        <v>138</v>
      </c>
      <c r="B14" s="12" t="n">
        <f aca="false">B7+B8+B9</f>
        <v>58000</v>
      </c>
    </row>
    <row r="15" customFormat="false" ht="15" hidden="false" customHeight="false" outlineLevel="0" collapsed="false">
      <c r="A15" s="10" t="s">
        <v>139</v>
      </c>
      <c r="B15" s="12" t="n">
        <f aca="false">B7+B8+B9</f>
        <v>58000</v>
      </c>
    </row>
    <row r="16" customFormat="false" ht="15" hidden="false" customHeight="false" outlineLevel="0" collapsed="false">
      <c r="A16" s="10" t="s">
        <v>140</v>
      </c>
      <c r="B16" s="14" t="n">
        <f aca="false">(B7*B7+B8*B8+B9*B9)/B14</f>
        <v>26103.4482758621</v>
      </c>
    </row>
    <row r="18" customFormat="false" ht="15" hidden="false" customHeight="false" outlineLevel="0" collapsed="false">
      <c r="A18" s="18" t="s">
        <v>141</v>
      </c>
      <c r="B18" s="18"/>
      <c r="C18" s="18"/>
      <c r="D18" s="18"/>
      <c r="E18" s="18"/>
    </row>
  </sheetData>
  <mergeCells count="5">
    <mergeCell ref="A1:E1"/>
    <mergeCell ref="A2:E2"/>
    <mergeCell ref="A5:E5"/>
    <mergeCell ref="A13:E13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24.75" hidden="false" customHeight="true" outlineLevel="0" collapsed="false">
      <c r="A1" s="1" t="s">
        <v>142</v>
      </c>
      <c r="B1" s="1"/>
      <c r="C1" s="1"/>
      <c r="D1" s="1"/>
      <c r="E1" s="1"/>
    </row>
    <row r="2" customFormat="false" ht="18" hidden="false" customHeight="true" outlineLevel="0" collapsed="false">
      <c r="A2" s="2" t="s">
        <v>143</v>
      </c>
      <c r="B2" s="2"/>
      <c r="C2" s="2"/>
      <c r="D2" s="2"/>
      <c r="E2" s="2"/>
    </row>
    <row r="5" customFormat="false" ht="18" hidden="false" customHeight="true" outlineLevel="0" collapsed="false">
      <c r="A5" s="3" t="s">
        <v>117</v>
      </c>
      <c r="B5" s="3"/>
      <c r="C5" s="3"/>
      <c r="D5" s="3"/>
      <c r="E5" s="3"/>
    </row>
    <row r="6" customFormat="false" ht="15" hidden="false" customHeight="false" outlineLevel="0" collapsed="false">
      <c r="A6" s="10" t="s">
        <v>144</v>
      </c>
      <c r="B6" s="11" t="n">
        <v>10000</v>
      </c>
    </row>
    <row r="7" customFormat="false" ht="15" hidden="false" customHeight="false" outlineLevel="0" collapsed="false">
      <c r="A7" s="10" t="s">
        <v>145</v>
      </c>
      <c r="B7" s="11" t="n">
        <v>500</v>
      </c>
    </row>
    <row r="8" customFormat="false" ht="15" hidden="false" customHeight="false" outlineLevel="0" collapsed="false">
      <c r="A8" s="10" t="s">
        <v>146</v>
      </c>
      <c r="B8" s="17" t="n">
        <v>8</v>
      </c>
    </row>
    <row r="9" customFormat="false" ht="15" hidden="false" customHeight="false" outlineLevel="0" collapsed="false">
      <c r="A9" s="10" t="s">
        <v>147</v>
      </c>
      <c r="B9" s="15" t="n">
        <v>30</v>
      </c>
    </row>
    <row r="11" customFormat="false" ht="18" hidden="false" customHeight="true" outlineLevel="0" collapsed="false">
      <c r="A11" s="3" t="s">
        <v>122</v>
      </c>
      <c r="B11" s="3"/>
      <c r="C11" s="3"/>
      <c r="D11" s="3"/>
      <c r="E11" s="3"/>
    </row>
    <row r="12" customFormat="false" ht="15" hidden="false" customHeight="false" outlineLevel="0" collapsed="false">
      <c r="A12" s="10" t="s">
        <v>148</v>
      </c>
      <c r="B12" s="12" t="n">
        <f aca="false">B6+B7*12*B9</f>
        <v>190000</v>
      </c>
    </row>
    <row r="13" customFormat="false" ht="15" hidden="false" customHeight="false" outlineLevel="0" collapsed="false">
      <c r="A13" s="10" t="s">
        <v>149</v>
      </c>
      <c r="B13" s="12" t="n">
        <f aca="false">FV(B8/100/12,B9*12,-B7,-B6)</f>
        <v>854537.020909224</v>
      </c>
    </row>
    <row r="14" customFormat="false" ht="15" hidden="false" customHeight="false" outlineLevel="0" collapsed="false">
      <c r="A14" s="10" t="s">
        <v>150</v>
      </c>
      <c r="B14" s="12" t="n">
        <f aca="false">B13-B12</f>
        <v>664537.020909224</v>
      </c>
    </row>
    <row r="16" customFormat="false" ht="18" hidden="false" customHeight="true" outlineLevel="0" collapsed="false">
      <c r="A16" s="3" t="s">
        <v>151</v>
      </c>
      <c r="B16" s="3"/>
      <c r="C16" s="3"/>
      <c r="D16" s="3"/>
      <c r="E16" s="3"/>
    </row>
    <row r="17" customFormat="false" ht="18" hidden="false" customHeight="true" outlineLevel="0" collapsed="false">
      <c r="A17" s="5" t="s">
        <v>152</v>
      </c>
      <c r="B17" s="5" t="s">
        <v>153</v>
      </c>
      <c r="C17" s="5" t="s">
        <v>154</v>
      </c>
      <c r="D17" s="5" t="s">
        <v>155</v>
      </c>
    </row>
    <row r="18" customFormat="false" ht="15" hidden="false" customHeight="false" outlineLevel="0" collapsed="false">
      <c r="A18" s="6" t="n">
        <v>5</v>
      </c>
      <c r="B18" s="19" t="n">
        <f aca="false">B6+B7*12*5</f>
        <v>40000</v>
      </c>
      <c r="C18" s="19" t="n">
        <f aca="false">D18-B18</f>
        <v>11636.8852056364</v>
      </c>
      <c r="D18" s="19" t="n">
        <f aca="false">FV(B8/100/12,5*12,-B7,-B6)</f>
        <v>51636.8852056364</v>
      </c>
    </row>
    <row r="19" customFormat="false" ht="15" hidden="false" customHeight="false" outlineLevel="0" collapsed="false">
      <c r="A19" s="6" t="n">
        <v>10</v>
      </c>
      <c r="B19" s="19" t="n">
        <f aca="false">B6+B7*12*10</f>
        <v>70000</v>
      </c>
      <c r="C19" s="19" t="n">
        <f aca="false">D19-B19</f>
        <v>43669.4199363004</v>
      </c>
      <c r="D19" s="19" t="n">
        <f aca="false">FV(B8/100/12,10*12,-B7,-B6)</f>
        <v>113669.4199363</v>
      </c>
    </row>
    <row r="20" customFormat="false" ht="15" hidden="false" customHeight="false" outlineLevel="0" collapsed="false">
      <c r="A20" s="6" t="n">
        <v>15</v>
      </c>
      <c r="B20" s="19" t="n">
        <f aca="false">B6+B7*12*15</f>
        <v>100000</v>
      </c>
      <c r="C20" s="19" t="n">
        <f aca="false">D20-B20</f>
        <v>106088.32557985</v>
      </c>
      <c r="D20" s="19" t="n">
        <f aca="false">FV(B8/100/12,15*12,-B7,-B6)</f>
        <v>206088.32557985</v>
      </c>
    </row>
    <row r="21" customFormat="false" ht="15" hidden="false" customHeight="false" outlineLevel="0" collapsed="false">
      <c r="A21" s="6" t="n">
        <v>20</v>
      </c>
      <c r="B21" s="19" t="n">
        <f aca="false">B6+B7*12*20</f>
        <v>130000</v>
      </c>
      <c r="C21" s="19" t="n">
        <f aca="false">D21-B21</f>
        <v>213778.235518824</v>
      </c>
      <c r="D21" s="19" t="n">
        <f aca="false">FV(B8/100/12,20*12,-B7,-B6)</f>
        <v>343778.235518824</v>
      </c>
    </row>
    <row r="22" customFormat="false" ht="15" hidden="false" customHeight="false" outlineLevel="0" collapsed="false">
      <c r="A22" s="6" t="n">
        <v>25</v>
      </c>
      <c r="B22" s="19" t="n">
        <f aca="false">B6+B7*12*25</f>
        <v>160000</v>
      </c>
      <c r="C22" s="19" t="n">
        <f aca="false">D22-B22</f>
        <v>388914.956917839</v>
      </c>
      <c r="D22" s="19" t="n">
        <f aca="false">FV(B8/100/12,25*12,-B7,-B6)</f>
        <v>548914.956917839</v>
      </c>
    </row>
    <row r="23" customFormat="false" ht="15" hidden="false" customHeight="false" outlineLevel="0" collapsed="false">
      <c r="A23" s="6" t="n">
        <v>30</v>
      </c>
      <c r="B23" s="19" t="n">
        <f aca="false">B6+B7*12*30</f>
        <v>190000</v>
      </c>
      <c r="C23" s="19" t="n">
        <f aca="false">D23-B23</f>
        <v>664537.020909224</v>
      </c>
      <c r="D23" s="19" t="n">
        <f aca="false">FV(B8/100/12,30*12,-B7,-B6)</f>
        <v>854537.020909224</v>
      </c>
    </row>
  </sheetData>
  <mergeCells count="5">
    <mergeCell ref="A1:E1"/>
    <mergeCell ref="A2:E2"/>
    <mergeCell ref="A5:E5"/>
    <mergeCell ref="A11:E11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24.75" hidden="false" customHeight="true" outlineLevel="0" collapsed="false">
      <c r="A1" s="1" t="s">
        <v>156</v>
      </c>
      <c r="B1" s="1"/>
      <c r="C1" s="1"/>
      <c r="D1" s="1"/>
      <c r="E1" s="1"/>
    </row>
    <row r="2" customFormat="false" ht="18" hidden="false" customHeight="true" outlineLevel="0" collapsed="false">
      <c r="A2" s="2" t="s">
        <v>157</v>
      </c>
      <c r="B2" s="2"/>
      <c r="C2" s="2"/>
      <c r="D2" s="2"/>
      <c r="E2" s="2"/>
    </row>
    <row r="5" customFormat="false" ht="18" hidden="false" customHeight="true" outlineLevel="0" collapsed="false">
      <c r="A5" s="3" t="s">
        <v>117</v>
      </c>
      <c r="B5" s="3"/>
      <c r="C5" s="3"/>
      <c r="D5" s="3"/>
      <c r="E5" s="3"/>
    </row>
    <row r="6" customFormat="false" ht="15" hidden="false" customHeight="false" outlineLevel="0" collapsed="false">
      <c r="A6" s="10" t="s">
        <v>158</v>
      </c>
      <c r="B6" s="15" t="n">
        <v>30</v>
      </c>
    </row>
    <row r="7" customFormat="false" ht="15" hidden="false" customHeight="false" outlineLevel="0" collapsed="false">
      <c r="A7" s="10" t="s">
        <v>159</v>
      </c>
      <c r="B7" s="15" t="n">
        <v>65</v>
      </c>
    </row>
    <row r="8" customFormat="false" ht="15" hidden="false" customHeight="false" outlineLevel="0" collapsed="false">
      <c r="A8" s="10" t="s">
        <v>160</v>
      </c>
      <c r="B8" s="11" t="n">
        <v>50000</v>
      </c>
    </row>
    <row r="9" customFormat="false" ht="15" hidden="false" customHeight="false" outlineLevel="0" collapsed="false">
      <c r="A9" s="10" t="s">
        <v>145</v>
      </c>
      <c r="B9" s="11" t="n">
        <v>1000</v>
      </c>
    </row>
    <row r="10" customFormat="false" ht="15" hidden="false" customHeight="false" outlineLevel="0" collapsed="false">
      <c r="A10" s="10" t="s">
        <v>161</v>
      </c>
      <c r="B10" s="17" t="n">
        <v>7</v>
      </c>
    </row>
    <row r="11" customFormat="false" ht="15" hidden="false" customHeight="false" outlineLevel="0" collapsed="false">
      <c r="A11" s="10" t="s">
        <v>162</v>
      </c>
      <c r="B11" s="11" t="n">
        <v>60000</v>
      </c>
    </row>
    <row r="12" customFormat="false" ht="15" hidden="false" customHeight="false" outlineLevel="0" collapsed="false">
      <c r="A12" s="10" t="s">
        <v>163</v>
      </c>
      <c r="B12" s="17" t="n">
        <v>4</v>
      </c>
    </row>
    <row r="14" customFormat="false" ht="18" hidden="false" customHeight="true" outlineLevel="0" collapsed="false">
      <c r="A14" s="3" t="s">
        <v>137</v>
      </c>
      <c r="B14" s="3"/>
      <c r="C14" s="3"/>
      <c r="D14" s="3"/>
      <c r="E14" s="3"/>
    </row>
    <row r="15" customFormat="false" ht="15" hidden="false" customHeight="false" outlineLevel="0" collapsed="false">
      <c r="A15" s="10" t="s">
        <v>164</v>
      </c>
      <c r="B15" s="20" t="n">
        <f aca="false">B7-B6</f>
        <v>35</v>
      </c>
    </row>
    <row r="16" customFormat="false" ht="15" hidden="false" customHeight="false" outlineLevel="0" collapsed="false">
      <c r="A16" s="10" t="s">
        <v>165</v>
      </c>
      <c r="B16" s="12" t="n">
        <f aca="false">B11/(B12/100)</f>
        <v>1500000</v>
      </c>
    </row>
    <row r="17" customFormat="false" ht="15" hidden="false" customHeight="false" outlineLevel="0" collapsed="false">
      <c r="A17" s="10" t="s">
        <v>166</v>
      </c>
      <c r="B17" s="12" t="n">
        <f aca="false">FV(B10/12,B15*12,-B9,-B8)</f>
        <v>3.41979120219663E+088</v>
      </c>
    </row>
    <row r="18" customFormat="false" ht="17.35" hidden="false" customHeight="false" outlineLevel="0" collapsed="false">
      <c r="A18" s="10" t="s">
        <v>167</v>
      </c>
      <c r="B18" s="13" t="n">
        <f aca="false">B17-B16</f>
        <v>3.41979120219663E+088</v>
      </c>
    </row>
  </sheetData>
  <mergeCells count="4">
    <mergeCell ref="A1:E1"/>
    <mergeCell ref="A2:E2"/>
    <mergeCell ref="A5:E5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24.75" hidden="false" customHeight="true" outlineLevel="0" collapsed="false">
      <c r="A1" s="1" t="s">
        <v>168</v>
      </c>
      <c r="B1" s="1"/>
      <c r="C1" s="1"/>
      <c r="D1" s="1"/>
      <c r="E1" s="1"/>
    </row>
    <row r="2" customFormat="false" ht="18" hidden="false" customHeight="true" outlineLevel="0" collapsed="false">
      <c r="A2" s="2" t="s">
        <v>169</v>
      </c>
      <c r="B2" s="2"/>
      <c r="C2" s="2"/>
      <c r="D2" s="2"/>
      <c r="E2" s="2"/>
    </row>
    <row r="5" customFormat="false" ht="18" hidden="false" customHeight="true" outlineLevel="0" collapsed="false">
      <c r="A5" s="3" t="s">
        <v>170</v>
      </c>
      <c r="B5" s="3"/>
      <c r="C5" s="3"/>
      <c r="D5" s="3"/>
      <c r="E5" s="3"/>
    </row>
    <row r="6" customFormat="false" ht="15" hidden="false" customHeight="false" outlineLevel="0" collapsed="false">
      <c r="A6" s="10" t="s">
        <v>171</v>
      </c>
      <c r="B6" s="11" t="n">
        <v>75000</v>
      </c>
    </row>
    <row r="8" customFormat="false" ht="18" hidden="false" customHeight="true" outlineLevel="0" collapsed="false">
      <c r="A8" s="3" t="s">
        <v>172</v>
      </c>
      <c r="B8" s="3"/>
      <c r="C8" s="3"/>
      <c r="D8" s="3"/>
      <c r="E8" s="3"/>
    </row>
    <row r="9" customFormat="false" ht="15" hidden="false" customHeight="false" outlineLevel="0" collapsed="false">
      <c r="A9" s="10" t="s">
        <v>173</v>
      </c>
      <c r="B9" s="11" t="n">
        <v>85000</v>
      </c>
    </row>
    <row r="11" customFormat="false" ht="18" hidden="false" customHeight="true" outlineLevel="0" collapsed="false">
      <c r="A11" s="3" t="s">
        <v>174</v>
      </c>
      <c r="B11" s="3"/>
      <c r="C11" s="3"/>
      <c r="D11" s="3"/>
      <c r="E11" s="3"/>
    </row>
    <row r="12" customFormat="false" ht="15" hidden="false" customHeight="false" outlineLevel="0" collapsed="false">
      <c r="A12" s="10" t="s">
        <v>175</v>
      </c>
      <c r="B12" s="17" t="n">
        <v>3</v>
      </c>
    </row>
    <row r="13" customFormat="false" ht="15" hidden="false" customHeight="false" outlineLevel="0" collapsed="false">
      <c r="A13" s="10" t="s">
        <v>176</v>
      </c>
      <c r="B13" s="15" t="n">
        <v>30</v>
      </c>
    </row>
    <row r="14" customFormat="false" ht="15" hidden="false" customHeight="false" outlineLevel="0" collapsed="false">
      <c r="A14" s="10" t="s">
        <v>177</v>
      </c>
      <c r="B14" s="17" t="n">
        <v>10</v>
      </c>
    </row>
    <row r="15" customFormat="false" ht="15" hidden="false" customHeight="false" outlineLevel="0" collapsed="false">
      <c r="A15" s="10" t="s">
        <v>178</v>
      </c>
      <c r="B15" s="17" t="n">
        <v>7</v>
      </c>
    </row>
    <row r="17" customFormat="false" ht="18" hidden="false" customHeight="true" outlineLevel="0" collapsed="false">
      <c r="A17" s="3" t="s">
        <v>179</v>
      </c>
      <c r="B17" s="3"/>
      <c r="C17" s="3"/>
      <c r="D17" s="3"/>
      <c r="E17" s="3"/>
    </row>
    <row r="18" customFormat="false" ht="15" hidden="false" customHeight="false" outlineLevel="0" collapsed="false">
      <c r="A18" s="10" t="s">
        <v>180</v>
      </c>
      <c r="B18" s="12" t="n">
        <f aca="false">B9-B6</f>
        <v>10000</v>
      </c>
    </row>
    <row r="19" customFormat="false" ht="15" hidden="false" customHeight="false" outlineLevel="0" collapsed="false">
      <c r="A19" s="10" t="s">
        <v>181</v>
      </c>
      <c r="B19" s="12" t="n">
        <f aca="false">B18*B13*1.5</f>
        <v>450000</v>
      </c>
    </row>
    <row r="20" customFormat="false" ht="15" hidden="false" customHeight="false" outlineLevel="0" collapsed="false">
      <c r="A20" s="10" t="s">
        <v>182</v>
      </c>
      <c r="B20" s="12" t="n">
        <f aca="false">FV(B15/12,B13*12,-(B18*(B14/100)),0)</f>
        <v>1.20262706094094E+075</v>
      </c>
    </row>
  </sheetData>
  <mergeCells count="6">
    <mergeCell ref="A1:E1"/>
    <mergeCell ref="A2:E2"/>
    <mergeCell ref="A5:E5"/>
    <mergeCell ref="A8:E8"/>
    <mergeCell ref="A11:E11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24.75" hidden="false" customHeight="true" outlineLevel="0" collapsed="false">
      <c r="A1" s="1" t="s">
        <v>183</v>
      </c>
      <c r="B1" s="1"/>
      <c r="C1" s="1"/>
      <c r="D1" s="1"/>
      <c r="E1" s="1"/>
    </row>
    <row r="2" customFormat="false" ht="18" hidden="false" customHeight="true" outlineLevel="0" collapsed="false">
      <c r="A2" s="2" t="s">
        <v>184</v>
      </c>
      <c r="B2" s="2"/>
      <c r="C2" s="2"/>
      <c r="D2" s="2"/>
      <c r="E2" s="2"/>
    </row>
    <row r="5" customFormat="false" ht="18" hidden="false" customHeight="true" outlineLevel="0" collapsed="false">
      <c r="A5" s="3" t="s">
        <v>185</v>
      </c>
      <c r="B5" s="3"/>
      <c r="C5" s="3"/>
      <c r="D5" s="3"/>
      <c r="E5" s="3"/>
    </row>
    <row r="6" customFormat="false" ht="15" hidden="false" customHeight="false" outlineLevel="0" collapsed="false">
      <c r="A6" s="10" t="s">
        <v>186</v>
      </c>
      <c r="B6" s="11" t="n">
        <v>400000</v>
      </c>
    </row>
    <row r="7" customFormat="false" ht="15" hidden="false" customHeight="false" outlineLevel="0" collapsed="false">
      <c r="A7" s="10" t="s">
        <v>187</v>
      </c>
      <c r="B7" s="17" t="n">
        <v>20</v>
      </c>
    </row>
    <row r="8" customFormat="false" ht="15" hidden="false" customHeight="false" outlineLevel="0" collapsed="false">
      <c r="A8" s="10" t="s">
        <v>188</v>
      </c>
      <c r="B8" s="17" t="n">
        <v>6.5</v>
      </c>
    </row>
    <row r="9" customFormat="false" ht="15" hidden="false" customHeight="false" outlineLevel="0" collapsed="false">
      <c r="A9" s="10" t="s">
        <v>189</v>
      </c>
      <c r="B9" s="15" t="n">
        <v>30</v>
      </c>
    </row>
    <row r="10" customFormat="false" ht="15" hidden="false" customHeight="false" outlineLevel="0" collapsed="false">
      <c r="A10" s="10" t="s">
        <v>190</v>
      </c>
      <c r="B10" s="17" t="n">
        <v>1.2</v>
      </c>
    </row>
    <row r="11" customFormat="false" ht="15" hidden="false" customHeight="false" outlineLevel="0" collapsed="false">
      <c r="A11" s="10" t="s">
        <v>191</v>
      </c>
      <c r="B11" s="17" t="n">
        <v>1</v>
      </c>
    </row>
    <row r="12" customFormat="false" ht="15" hidden="false" customHeight="false" outlineLevel="0" collapsed="false">
      <c r="A12" s="10" t="s">
        <v>192</v>
      </c>
      <c r="B12" s="17" t="n">
        <v>3</v>
      </c>
    </row>
    <row r="14" customFormat="false" ht="18" hidden="false" customHeight="true" outlineLevel="0" collapsed="false">
      <c r="A14" s="3" t="s">
        <v>193</v>
      </c>
      <c r="B14" s="3"/>
      <c r="C14" s="3"/>
      <c r="D14" s="3"/>
      <c r="E14" s="3"/>
    </row>
    <row r="15" customFormat="false" ht="15" hidden="false" customHeight="false" outlineLevel="0" collapsed="false">
      <c r="A15" s="10" t="s">
        <v>194</v>
      </c>
      <c r="B15" s="11" t="n">
        <v>2000</v>
      </c>
    </row>
    <row r="16" customFormat="false" ht="15" hidden="false" customHeight="false" outlineLevel="0" collapsed="false">
      <c r="A16" s="10" t="s">
        <v>195</v>
      </c>
      <c r="B16" s="17" t="n">
        <v>3</v>
      </c>
    </row>
    <row r="18" customFormat="false" ht="18" hidden="false" customHeight="true" outlineLevel="0" collapsed="false">
      <c r="A18" s="3" t="s">
        <v>196</v>
      </c>
      <c r="B18" s="3"/>
      <c r="C18" s="3"/>
      <c r="D18" s="3"/>
      <c r="E18" s="3"/>
    </row>
    <row r="19" customFormat="false" ht="15" hidden="false" customHeight="false" outlineLevel="0" collapsed="false">
      <c r="A19" s="10" t="s">
        <v>178</v>
      </c>
      <c r="B19" s="17" t="n">
        <v>8</v>
      </c>
    </row>
    <row r="20" customFormat="false" ht="15" hidden="false" customHeight="false" outlineLevel="0" collapsed="false">
      <c r="A20" s="10" t="s">
        <v>197</v>
      </c>
      <c r="B20" s="15" t="n">
        <v>10</v>
      </c>
    </row>
    <row r="22" customFormat="false" ht="18" hidden="false" customHeight="true" outlineLevel="0" collapsed="false">
      <c r="A22" s="3" t="s">
        <v>198</v>
      </c>
      <c r="B22" s="3"/>
      <c r="C22" s="3"/>
      <c r="D22" s="3"/>
      <c r="E22" s="3"/>
    </row>
    <row r="23" customFormat="false" ht="15" hidden="false" customHeight="false" outlineLevel="0" collapsed="false">
      <c r="A23" s="10" t="s">
        <v>199</v>
      </c>
      <c r="B23" s="12" t="n">
        <f aca="false">B6*B7/100</f>
        <v>80000</v>
      </c>
    </row>
    <row r="24" customFormat="false" ht="15" hidden="false" customHeight="false" outlineLevel="0" collapsed="false">
      <c r="A24" s="10" t="s">
        <v>200</v>
      </c>
      <c r="B24" s="12" t="n">
        <f aca="false">PMT(B8/100/12,B9*12,-(B6-B23))</f>
        <v>2022.61767517748</v>
      </c>
    </row>
    <row r="25" customFormat="false" ht="15" hidden="false" customHeight="false" outlineLevel="0" collapsed="false">
      <c r="A25" s="10" t="s">
        <v>201</v>
      </c>
      <c r="B25" s="12" t="n">
        <f aca="false">B6*B10/100/12</f>
        <v>400</v>
      </c>
    </row>
    <row r="26" customFormat="false" ht="15" hidden="false" customHeight="false" outlineLevel="0" collapsed="false">
      <c r="A26" s="10" t="s">
        <v>202</v>
      </c>
      <c r="B26" s="12" t="n">
        <f aca="false">B6*B11/100/12</f>
        <v>333.333333333333</v>
      </c>
    </row>
    <row r="27" customFormat="false" ht="15" hidden="false" customHeight="false" outlineLevel="0" collapsed="false">
      <c r="A27" s="10" t="s">
        <v>203</v>
      </c>
      <c r="B27" s="12" t="n">
        <f aca="false">B23+(B24+B25+B26)*12*B20</f>
        <v>410714.121021298</v>
      </c>
    </row>
    <row r="29" customFormat="false" ht="18" hidden="false" customHeight="true" outlineLevel="0" collapsed="false">
      <c r="A29" s="3" t="s">
        <v>204</v>
      </c>
      <c r="B29" s="3"/>
      <c r="C29" s="3"/>
      <c r="D29" s="3"/>
      <c r="E29" s="3"/>
    </row>
    <row r="30" customFormat="false" ht="15" hidden="false" customHeight="false" outlineLevel="0" collapsed="false">
      <c r="A30" s="10" t="s">
        <v>205</v>
      </c>
      <c r="B30" s="12" t="n">
        <f aca="true">SUM(B15*(1+B16/100)^ROW(INDIRECT("1:"&amp;B20))*12)</f>
        <v>283387.096579557</v>
      </c>
    </row>
    <row r="32" customFormat="false" ht="18" hidden="false" customHeight="true" outlineLevel="0" collapsed="false">
      <c r="A32" s="3" t="s">
        <v>206</v>
      </c>
      <c r="B32" s="3"/>
      <c r="C32" s="3"/>
      <c r="D32" s="3"/>
      <c r="E32" s="3"/>
    </row>
    <row r="33" customFormat="false" ht="15" hidden="false" customHeight="false" outlineLevel="0" collapsed="false">
      <c r="A33" s="10" t="s">
        <v>207</v>
      </c>
      <c r="B33" s="12" t="n">
        <f aca="false">B6*(1+B12/100)^B20</f>
        <v>537566.551737649</v>
      </c>
    </row>
    <row r="34" customFormat="false" ht="15" hidden="false" customHeight="false" outlineLevel="0" collapsed="false">
      <c r="A34" s="10" t="s">
        <v>208</v>
      </c>
      <c r="B34" s="10" t="s">
        <v>209</v>
      </c>
    </row>
  </sheetData>
  <mergeCells count="8">
    <mergeCell ref="A1:E1"/>
    <mergeCell ref="A2:E2"/>
    <mergeCell ref="A5:E5"/>
    <mergeCell ref="A14:E14"/>
    <mergeCell ref="A18:E18"/>
    <mergeCell ref="A22:E22"/>
    <mergeCell ref="A29:E29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24.75" hidden="false" customHeight="true" outlineLevel="0" collapsed="false">
      <c r="A1" s="1" t="s">
        <v>210</v>
      </c>
      <c r="B1" s="1"/>
      <c r="C1" s="1"/>
      <c r="D1" s="1"/>
      <c r="E1" s="1"/>
    </row>
    <row r="2" customFormat="false" ht="18" hidden="false" customHeight="true" outlineLevel="0" collapsed="false">
      <c r="A2" s="2" t="s">
        <v>211</v>
      </c>
      <c r="B2" s="2"/>
      <c r="C2" s="2"/>
      <c r="D2" s="2"/>
      <c r="E2" s="2"/>
    </row>
    <row r="5" customFormat="false" ht="18" hidden="false" customHeight="true" outlineLevel="0" collapsed="false">
      <c r="A5" s="3" t="s">
        <v>117</v>
      </c>
      <c r="B5" s="3"/>
      <c r="C5" s="3"/>
      <c r="D5" s="3"/>
      <c r="E5" s="3"/>
    </row>
    <row r="6" customFormat="false" ht="15" hidden="false" customHeight="false" outlineLevel="0" collapsed="false">
      <c r="A6" s="10" t="s">
        <v>212</v>
      </c>
      <c r="B6" s="11" t="n">
        <v>8000</v>
      </c>
    </row>
    <row r="7" customFormat="false" ht="15" hidden="false" customHeight="false" outlineLevel="0" collapsed="false">
      <c r="A7" s="10" t="s">
        <v>213</v>
      </c>
      <c r="B7" s="17" t="n">
        <v>22</v>
      </c>
    </row>
    <row r="8" customFormat="false" ht="15" hidden="false" customHeight="false" outlineLevel="0" collapsed="false">
      <c r="A8" s="10" t="s">
        <v>214</v>
      </c>
      <c r="B8" s="17" t="n">
        <v>2</v>
      </c>
    </row>
    <row r="9" customFormat="false" ht="15" hidden="false" customHeight="false" outlineLevel="0" collapsed="false">
      <c r="A9" s="10" t="s">
        <v>215</v>
      </c>
      <c r="B9" s="11" t="n">
        <v>300</v>
      </c>
    </row>
    <row r="11" customFormat="false" ht="18" hidden="false" customHeight="true" outlineLevel="0" collapsed="false">
      <c r="A11" s="3" t="s">
        <v>216</v>
      </c>
      <c r="B11" s="3"/>
      <c r="C11" s="3"/>
      <c r="D11" s="3"/>
      <c r="E11" s="3"/>
    </row>
    <row r="12" customFormat="false" ht="15" hidden="false" customHeight="false" outlineLevel="0" collapsed="false">
      <c r="A12" s="10" t="s">
        <v>217</v>
      </c>
      <c r="B12" s="12" t="n">
        <f aca="false">B6*B8/100</f>
        <v>160</v>
      </c>
    </row>
    <row r="13" customFormat="false" ht="15" hidden="false" customHeight="false" outlineLevel="0" collapsed="false">
      <c r="A13" s="10" t="s">
        <v>218</v>
      </c>
      <c r="B13" s="20" t="n">
        <f aca="false">NPER(B7/100/12,-B12,B6)</f>
        <v>136.779054056763</v>
      </c>
    </row>
    <row r="14" customFormat="false" ht="15" hidden="false" customHeight="false" outlineLevel="0" collapsed="false">
      <c r="A14" s="10" t="s">
        <v>219</v>
      </c>
      <c r="B14" s="12" t="n">
        <f aca="false">B12*B13-B6</f>
        <v>13884.6486490821</v>
      </c>
    </row>
    <row r="16" customFormat="false" ht="18" hidden="false" customHeight="true" outlineLevel="0" collapsed="false">
      <c r="A16" s="3" t="s">
        <v>220</v>
      </c>
      <c r="B16" s="3"/>
      <c r="C16" s="3"/>
      <c r="D16" s="3"/>
      <c r="E16" s="3"/>
    </row>
    <row r="17" customFormat="false" ht="15" hidden="false" customHeight="false" outlineLevel="0" collapsed="false">
      <c r="A17" s="10" t="s">
        <v>221</v>
      </c>
      <c r="B17" s="20" t="n">
        <f aca="false">NPER(B7/100/12,-B9,B6)</f>
        <v>36.9437466058284</v>
      </c>
    </row>
    <row r="18" customFormat="false" ht="15" hidden="false" customHeight="false" outlineLevel="0" collapsed="false">
      <c r="A18" s="10" t="s">
        <v>222</v>
      </c>
      <c r="B18" s="12" t="n">
        <f aca="false">B9*B17-B6</f>
        <v>3083.12398174852</v>
      </c>
    </row>
    <row r="20" customFormat="false" ht="17.35" hidden="false" customHeight="false" outlineLevel="0" collapsed="false">
      <c r="A20" s="10" t="s">
        <v>223</v>
      </c>
      <c r="B20" s="13" t="n">
        <f aca="false">B14-B18</f>
        <v>10801.5246673336</v>
      </c>
    </row>
  </sheetData>
  <mergeCells count="5">
    <mergeCell ref="A1:E1"/>
    <mergeCell ref="A2:E2"/>
    <mergeCell ref="A5:E5"/>
    <mergeCell ref="A11:E11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24.75" hidden="false" customHeight="true" outlineLevel="0" collapsed="false">
      <c r="A1" s="1" t="s">
        <v>224</v>
      </c>
      <c r="B1" s="1"/>
      <c r="C1" s="1"/>
      <c r="D1" s="1"/>
      <c r="E1" s="1"/>
    </row>
    <row r="2" customFormat="false" ht="18" hidden="false" customHeight="true" outlineLevel="0" collapsed="false">
      <c r="A2" s="2" t="s">
        <v>225</v>
      </c>
      <c r="B2" s="2"/>
      <c r="C2" s="2"/>
      <c r="D2" s="2"/>
      <c r="E2" s="2"/>
    </row>
    <row r="5" customFormat="false" ht="18" hidden="false" customHeight="true" outlineLevel="0" collapsed="false">
      <c r="A5" s="3" t="s">
        <v>117</v>
      </c>
      <c r="B5" s="3"/>
      <c r="C5" s="3"/>
      <c r="D5" s="3"/>
      <c r="E5" s="3"/>
    </row>
    <row r="6" customFormat="false" ht="15" hidden="false" customHeight="false" outlineLevel="0" collapsed="false">
      <c r="A6" s="10" t="s">
        <v>226</v>
      </c>
      <c r="B6" s="11" t="n">
        <v>85000</v>
      </c>
    </row>
    <row r="7" customFormat="false" ht="15" hidden="false" customHeight="false" outlineLevel="0" collapsed="false">
      <c r="A7" s="10" t="s">
        <v>227</v>
      </c>
      <c r="B7" s="11" t="n">
        <v>14600</v>
      </c>
    </row>
    <row r="9" customFormat="false" ht="18" hidden="false" customHeight="true" outlineLevel="0" collapsed="false">
      <c r="A9" s="3" t="s">
        <v>228</v>
      </c>
      <c r="B9" s="3"/>
      <c r="C9" s="3"/>
      <c r="D9" s="3"/>
      <c r="E9" s="3"/>
    </row>
    <row r="10" customFormat="false" ht="15" hidden="false" customHeight="false" outlineLevel="0" collapsed="false">
      <c r="A10" s="10" t="s">
        <v>229</v>
      </c>
      <c r="B10" s="12" t="n">
        <f aca="false">MAX(0,B6-B7)</f>
        <v>70400</v>
      </c>
    </row>
    <row r="12" customFormat="false" ht="18" hidden="false" customHeight="true" outlineLevel="0" collapsed="false">
      <c r="A12" s="3" t="s">
        <v>230</v>
      </c>
      <c r="B12" s="3"/>
      <c r="C12" s="3"/>
      <c r="D12" s="3"/>
      <c r="E12" s="3"/>
    </row>
    <row r="13" customFormat="false" ht="18" hidden="false" customHeight="true" outlineLevel="0" collapsed="false">
      <c r="A13" s="5" t="s">
        <v>231</v>
      </c>
      <c r="B13" s="5" t="s">
        <v>232</v>
      </c>
      <c r="C13" s="5" t="s">
        <v>233</v>
      </c>
      <c r="D13" s="5" t="s">
        <v>234</v>
      </c>
    </row>
    <row r="14" customFormat="false" ht="15" hidden="false" customHeight="false" outlineLevel="0" collapsed="false">
      <c r="A14" s="10" t="s">
        <v>235</v>
      </c>
      <c r="B14" s="10" t="s">
        <v>235</v>
      </c>
      <c r="C14" s="10" t="s">
        <v>236</v>
      </c>
      <c r="D14" s="12" t="n">
        <f aca="false">MIN(B10,11600)*0.1</f>
        <v>1160</v>
      </c>
    </row>
    <row r="15" customFormat="false" ht="15" hidden="false" customHeight="false" outlineLevel="0" collapsed="false">
      <c r="A15" s="10" t="s">
        <v>237</v>
      </c>
      <c r="B15" s="10" t="s">
        <v>237</v>
      </c>
      <c r="C15" s="10" t="s">
        <v>238</v>
      </c>
      <c r="D15" s="12" t="n">
        <f aca="false">IF(B10&gt;11600,MIN(B10,47150)-11600,0)*0.12</f>
        <v>4266</v>
      </c>
    </row>
    <row r="16" customFormat="false" ht="15" hidden="false" customHeight="false" outlineLevel="0" collapsed="false">
      <c r="A16" s="10" t="s">
        <v>239</v>
      </c>
      <c r="B16" s="10" t="s">
        <v>239</v>
      </c>
      <c r="C16" s="10" t="s">
        <v>240</v>
      </c>
      <c r="D16" s="12" t="n">
        <f aca="false">IF(B10&gt;47150,MIN(B10,100525)-47150,0)*0.22</f>
        <v>5115</v>
      </c>
    </row>
    <row r="17" customFormat="false" ht="15" hidden="false" customHeight="false" outlineLevel="0" collapsed="false">
      <c r="A17" s="10" t="s">
        <v>241</v>
      </c>
      <c r="B17" s="10" t="s">
        <v>241</v>
      </c>
      <c r="C17" s="10" t="s">
        <v>242</v>
      </c>
      <c r="D17" s="12" t="n">
        <f aca="false">IF(B10&gt;100525,MIN(B10,191950)-100525,0)*0.24</f>
        <v>0</v>
      </c>
    </row>
    <row r="18" customFormat="false" ht="15" hidden="false" customHeight="false" outlineLevel="0" collapsed="false">
      <c r="A18" s="10" t="s">
        <v>243</v>
      </c>
      <c r="B18" s="10" t="s">
        <v>243</v>
      </c>
      <c r="C18" s="10" t="s">
        <v>244</v>
      </c>
      <c r="D18" s="12" t="n">
        <f aca="false">IF(B10&gt;191950,MIN(B10,243725)-191950,0)*0.32</f>
        <v>0</v>
      </c>
    </row>
    <row r="20" customFormat="false" ht="18" hidden="false" customHeight="true" outlineLevel="0" collapsed="false">
      <c r="A20" s="3" t="s">
        <v>245</v>
      </c>
      <c r="B20" s="3"/>
      <c r="C20" s="3"/>
      <c r="D20" s="3"/>
      <c r="E20" s="3"/>
    </row>
    <row r="21" customFormat="false" ht="17.35" hidden="false" customHeight="false" outlineLevel="0" collapsed="false">
      <c r="A21" s="10" t="s">
        <v>246</v>
      </c>
      <c r="B21" s="13" t="n">
        <f aca="false">B14+B15+B16+B17</f>
        <v>0.68</v>
      </c>
    </row>
    <row r="22" customFormat="false" ht="15" hidden="false" customHeight="false" outlineLevel="0" collapsed="false">
      <c r="A22" s="10" t="s">
        <v>247</v>
      </c>
      <c r="B22" s="14" t="n">
        <f aca="false">B21/B6</f>
        <v>8E-006</v>
      </c>
    </row>
    <row r="23" customFormat="false" ht="15" hidden="false" customHeight="false" outlineLevel="0" collapsed="false">
      <c r="A23" s="10" t="s">
        <v>248</v>
      </c>
      <c r="B23" s="10" t="s">
        <v>239</v>
      </c>
    </row>
  </sheetData>
  <mergeCells count="6">
    <mergeCell ref="A1:E1"/>
    <mergeCell ref="A2:E2"/>
    <mergeCell ref="A5:E5"/>
    <mergeCell ref="A9:E9"/>
    <mergeCell ref="A12:E12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24.75" hidden="false" customHeight="true" outlineLevel="0" collapsed="false">
      <c r="A1" s="1" t="s">
        <v>249</v>
      </c>
      <c r="B1" s="1"/>
      <c r="C1" s="1"/>
      <c r="D1" s="1"/>
      <c r="E1" s="1"/>
    </row>
    <row r="2" customFormat="false" ht="18" hidden="false" customHeight="true" outlineLevel="0" collapsed="false">
      <c r="A2" s="2" t="s">
        <v>250</v>
      </c>
      <c r="B2" s="2"/>
      <c r="C2" s="2"/>
      <c r="D2" s="2"/>
      <c r="E2" s="2"/>
    </row>
    <row r="5" customFormat="false" ht="18" hidden="false" customHeight="true" outlineLevel="0" collapsed="false">
      <c r="A5" s="3" t="s">
        <v>117</v>
      </c>
      <c r="B5" s="3"/>
      <c r="C5" s="3"/>
      <c r="D5" s="3"/>
      <c r="E5" s="3"/>
    </row>
    <row r="6" customFormat="false" ht="15" hidden="false" customHeight="false" outlineLevel="0" collapsed="false">
      <c r="A6" s="10" t="s">
        <v>251</v>
      </c>
      <c r="B6" s="11" t="n">
        <v>7000</v>
      </c>
    </row>
    <row r="7" customFormat="false" ht="15" hidden="false" customHeight="false" outlineLevel="0" collapsed="false">
      <c r="A7" s="10" t="s">
        <v>164</v>
      </c>
      <c r="B7" s="15" t="n">
        <v>35</v>
      </c>
    </row>
    <row r="8" customFormat="false" ht="15" hidden="false" customHeight="false" outlineLevel="0" collapsed="false">
      <c r="A8" s="10" t="s">
        <v>161</v>
      </c>
      <c r="B8" s="17" t="n">
        <v>7</v>
      </c>
    </row>
    <row r="9" customFormat="false" ht="15" hidden="false" customHeight="false" outlineLevel="0" collapsed="false">
      <c r="A9" s="10" t="s">
        <v>252</v>
      </c>
      <c r="B9" s="17" t="n">
        <v>24</v>
      </c>
    </row>
    <row r="10" customFormat="false" ht="15" hidden="false" customHeight="false" outlineLevel="0" collapsed="false">
      <c r="A10" s="10" t="s">
        <v>253</v>
      </c>
      <c r="B10" s="17" t="n">
        <v>22</v>
      </c>
    </row>
    <row r="12" customFormat="false" ht="18" hidden="false" customHeight="true" outlineLevel="0" collapsed="false">
      <c r="A12" s="3" t="s">
        <v>254</v>
      </c>
      <c r="B12" s="3"/>
      <c r="C12" s="3"/>
      <c r="D12" s="3"/>
      <c r="E12" s="3"/>
    </row>
    <row r="13" customFormat="false" ht="15" hidden="false" customHeight="false" outlineLevel="0" collapsed="false">
      <c r="A13" s="10" t="s">
        <v>255</v>
      </c>
      <c r="B13" s="12" t="n">
        <f aca="false">B6</f>
        <v>7000</v>
      </c>
    </row>
    <row r="14" customFormat="false" ht="15" hidden="false" customHeight="false" outlineLevel="0" collapsed="false">
      <c r="A14" s="10" t="s">
        <v>256</v>
      </c>
      <c r="B14" s="12" t="n">
        <f aca="false">FV(B8/100,B7,-B6,0)</f>
        <v>967658.148461545</v>
      </c>
    </row>
    <row r="15" customFormat="false" ht="15" hidden="false" customHeight="false" outlineLevel="0" collapsed="false">
      <c r="A15" s="10" t="s">
        <v>257</v>
      </c>
      <c r="B15" s="12" t="n">
        <f aca="false">B14*B10/100</f>
        <v>212884.79266154</v>
      </c>
    </row>
    <row r="16" customFormat="false" ht="15" hidden="false" customHeight="false" outlineLevel="0" collapsed="false">
      <c r="A16" s="10" t="s">
        <v>258</v>
      </c>
      <c r="B16" s="12" t="n">
        <f aca="false">B14-B15</f>
        <v>754773.355800005</v>
      </c>
    </row>
    <row r="18" customFormat="false" ht="18" hidden="false" customHeight="true" outlineLevel="0" collapsed="false">
      <c r="A18" s="3" t="s">
        <v>259</v>
      </c>
      <c r="B18" s="3"/>
      <c r="C18" s="3"/>
      <c r="D18" s="3"/>
      <c r="E18" s="3"/>
    </row>
    <row r="19" customFormat="false" ht="15" hidden="false" customHeight="false" outlineLevel="0" collapsed="false">
      <c r="A19" s="10" t="s">
        <v>260</v>
      </c>
      <c r="B19" s="12" t="n">
        <f aca="false">B6*(1-B9/100)</f>
        <v>5320</v>
      </c>
    </row>
    <row r="20" customFormat="false" ht="15" hidden="false" customHeight="false" outlineLevel="0" collapsed="false">
      <c r="A20" s="10" t="s">
        <v>256</v>
      </c>
      <c r="B20" s="12" t="n">
        <f aca="false">FV(B8/100,B7,-B19,0)</f>
        <v>735420.192830774</v>
      </c>
    </row>
    <row r="21" customFormat="false" ht="15" hidden="false" customHeight="false" outlineLevel="0" collapsed="false">
      <c r="A21" s="10" t="s">
        <v>257</v>
      </c>
      <c r="B21" s="10" t="s">
        <v>261</v>
      </c>
    </row>
    <row r="22" customFormat="false" ht="15" hidden="false" customHeight="false" outlineLevel="0" collapsed="false">
      <c r="A22" s="10" t="s">
        <v>258</v>
      </c>
      <c r="B22" s="12" t="n">
        <f aca="false">B20</f>
        <v>735420.192830774</v>
      </c>
    </row>
    <row r="24" customFormat="false" ht="18" hidden="false" customHeight="true" outlineLevel="0" collapsed="false">
      <c r="A24" s="3" t="s">
        <v>262</v>
      </c>
      <c r="B24" s="3"/>
      <c r="C24" s="3"/>
      <c r="D24" s="3"/>
      <c r="E24" s="3"/>
    </row>
    <row r="25" customFormat="false" ht="17.35" hidden="false" customHeight="false" outlineLevel="0" collapsed="false">
      <c r="A25" s="10" t="s">
        <v>263</v>
      </c>
      <c r="B25" s="13" t="n">
        <f aca="false">B22-B16</f>
        <v>-19353.1629692308</v>
      </c>
    </row>
  </sheetData>
  <mergeCells count="6">
    <mergeCell ref="A1:E1"/>
    <mergeCell ref="A2:E2"/>
    <mergeCell ref="A5:E5"/>
    <mergeCell ref="A12:E12"/>
    <mergeCell ref="A18:E18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24.75" hidden="false" customHeight="true" outlineLevel="0" collapsed="false">
      <c r="A1" s="1" t="s">
        <v>264</v>
      </c>
      <c r="B1" s="1"/>
      <c r="C1" s="1"/>
      <c r="D1" s="1"/>
      <c r="E1" s="1"/>
    </row>
    <row r="2" customFormat="false" ht="18" hidden="false" customHeight="true" outlineLevel="0" collapsed="false">
      <c r="A2" s="2" t="s">
        <v>265</v>
      </c>
      <c r="B2" s="2"/>
      <c r="C2" s="2"/>
      <c r="D2" s="2"/>
      <c r="E2" s="2"/>
    </row>
    <row r="5" customFormat="false" ht="18" hidden="false" customHeight="true" outlineLevel="0" collapsed="false">
      <c r="A5" s="3" t="s">
        <v>266</v>
      </c>
      <c r="B5" s="3"/>
      <c r="C5" s="3"/>
      <c r="D5" s="3"/>
      <c r="E5" s="3"/>
    </row>
    <row r="6" customFormat="false" ht="15" hidden="false" customHeight="false" outlineLevel="0" collapsed="false">
      <c r="A6" s="10" t="s">
        <v>267</v>
      </c>
      <c r="B6" s="11" t="n">
        <v>35000</v>
      </c>
    </row>
    <row r="7" customFormat="false" ht="15" hidden="false" customHeight="false" outlineLevel="0" collapsed="false">
      <c r="A7" s="10" t="s">
        <v>268</v>
      </c>
      <c r="B7" s="17" t="n">
        <v>5.5</v>
      </c>
    </row>
    <row r="8" customFormat="false" ht="15" hidden="false" customHeight="false" outlineLevel="0" collapsed="false">
      <c r="A8" s="10" t="s">
        <v>269</v>
      </c>
      <c r="B8" s="15" t="n">
        <v>10</v>
      </c>
    </row>
    <row r="10" customFormat="false" ht="18" hidden="false" customHeight="true" outlineLevel="0" collapsed="false">
      <c r="A10" s="3" t="s">
        <v>270</v>
      </c>
      <c r="B10" s="3"/>
      <c r="C10" s="3"/>
      <c r="D10" s="3"/>
      <c r="E10" s="3"/>
    </row>
    <row r="11" customFormat="false" ht="15" hidden="false" customHeight="false" outlineLevel="0" collapsed="false">
      <c r="A11" s="10" t="s">
        <v>271</v>
      </c>
      <c r="B11" s="11" t="n">
        <v>55000</v>
      </c>
    </row>
    <row r="12" customFormat="false" ht="15" hidden="false" customHeight="false" outlineLevel="0" collapsed="false">
      <c r="A12" s="10" t="s">
        <v>272</v>
      </c>
      <c r="B12" s="17" t="n">
        <v>3</v>
      </c>
    </row>
    <row r="14" customFormat="false" ht="18" hidden="false" customHeight="true" outlineLevel="0" collapsed="false">
      <c r="A14" s="3" t="s">
        <v>273</v>
      </c>
      <c r="B14" s="3"/>
      <c r="C14" s="3"/>
      <c r="D14" s="3"/>
      <c r="E14" s="3"/>
    </row>
    <row r="15" customFormat="false" ht="15" hidden="false" customHeight="false" outlineLevel="0" collapsed="false">
      <c r="A15" s="10" t="s">
        <v>274</v>
      </c>
      <c r="B15" s="12" t="n">
        <f aca="false">PMT(B7/100/12,B8*12,-B6)</f>
        <v>379.841972861683</v>
      </c>
    </row>
    <row r="16" customFormat="false" ht="15" hidden="false" customHeight="false" outlineLevel="0" collapsed="false">
      <c r="A16" s="10" t="s">
        <v>275</v>
      </c>
      <c r="B16" s="12" t="n">
        <f aca="false">B15*B8*12-B6</f>
        <v>10581.0367434019</v>
      </c>
    </row>
    <row r="17" customFormat="false" ht="15" hidden="false" customHeight="false" outlineLevel="0" collapsed="false">
      <c r="A17" s="10" t="s">
        <v>276</v>
      </c>
      <c r="B17" s="12" t="n">
        <f aca="false">B15*B8*12</f>
        <v>45581.0367434019</v>
      </c>
    </row>
    <row r="19" customFormat="false" ht="18" hidden="false" customHeight="true" outlineLevel="0" collapsed="false">
      <c r="A19" s="3" t="s">
        <v>277</v>
      </c>
      <c r="B19" s="3"/>
      <c r="C19" s="3"/>
      <c r="D19" s="3"/>
      <c r="E19" s="3"/>
    </row>
    <row r="20" customFormat="false" ht="15" hidden="false" customHeight="false" outlineLevel="0" collapsed="false">
      <c r="A20" s="10" t="s">
        <v>278</v>
      </c>
      <c r="B20" s="12" t="n">
        <f aca="false">B11/12</f>
        <v>4583.33333333333</v>
      </c>
    </row>
    <row r="21" customFormat="false" ht="15" hidden="false" customHeight="false" outlineLevel="0" collapsed="false">
      <c r="A21" s="10" t="s">
        <v>279</v>
      </c>
      <c r="B21" s="14" t="n">
        <f aca="false">B15/B20</f>
        <v>0.0828746122607308</v>
      </c>
    </row>
  </sheetData>
  <mergeCells count="6">
    <mergeCell ref="A1:E1"/>
    <mergeCell ref="A2:E2"/>
    <mergeCell ref="A5:E5"/>
    <mergeCell ref="A10:E10"/>
    <mergeCell ref="A14:E14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24.75" hidden="false" customHeight="true" outlineLevel="0" collapsed="false">
      <c r="A1" s="1" t="s">
        <v>280</v>
      </c>
      <c r="B1" s="1"/>
      <c r="C1" s="1"/>
      <c r="D1" s="1"/>
      <c r="E1" s="1"/>
    </row>
    <row r="2" customFormat="false" ht="18" hidden="false" customHeight="true" outlineLevel="0" collapsed="false">
      <c r="A2" s="2" t="s">
        <v>281</v>
      </c>
      <c r="B2" s="2"/>
      <c r="C2" s="2"/>
      <c r="D2" s="2"/>
      <c r="E2" s="2"/>
    </row>
    <row r="5" customFormat="false" ht="18" hidden="false" customHeight="true" outlineLevel="0" collapsed="false">
      <c r="A5" s="3" t="s">
        <v>117</v>
      </c>
      <c r="B5" s="3"/>
      <c r="C5" s="3"/>
      <c r="D5" s="3"/>
      <c r="E5" s="3"/>
    </row>
    <row r="6" customFormat="false" ht="15" hidden="false" customHeight="false" outlineLevel="0" collapsed="false">
      <c r="A6" s="10" t="s">
        <v>282</v>
      </c>
      <c r="B6" s="11" t="n">
        <v>30000</v>
      </c>
    </row>
    <row r="7" customFormat="false" ht="15" hidden="false" customHeight="false" outlineLevel="0" collapsed="false">
      <c r="A7" s="10" t="s">
        <v>283</v>
      </c>
      <c r="B7" s="11" t="n">
        <v>5000</v>
      </c>
    </row>
    <row r="8" customFormat="false" ht="15" hidden="false" customHeight="false" outlineLevel="0" collapsed="false">
      <c r="A8" s="10" t="s">
        <v>284</v>
      </c>
      <c r="B8" s="11" t="n">
        <v>3500</v>
      </c>
    </row>
    <row r="9" customFormat="false" ht="15" hidden="false" customHeight="false" outlineLevel="0" collapsed="false">
      <c r="A9" s="10" t="s">
        <v>285</v>
      </c>
      <c r="B9" s="11" t="n">
        <v>1500</v>
      </c>
    </row>
    <row r="11" customFormat="false" ht="18" hidden="false" customHeight="true" outlineLevel="0" collapsed="false">
      <c r="A11" s="3" t="s">
        <v>286</v>
      </c>
      <c r="B11" s="3"/>
      <c r="C11" s="3"/>
      <c r="D11" s="3"/>
      <c r="E11" s="3"/>
    </row>
    <row r="12" customFormat="false" ht="15" hidden="false" customHeight="false" outlineLevel="0" collapsed="false">
      <c r="A12" s="10" t="s">
        <v>287</v>
      </c>
      <c r="B12" s="12" t="n">
        <f aca="false">B7-B9</f>
        <v>3500</v>
      </c>
    </row>
    <row r="13" customFormat="false" ht="15" hidden="false" customHeight="false" outlineLevel="0" collapsed="false">
      <c r="A13" s="10" t="s">
        <v>288</v>
      </c>
      <c r="B13" s="21" t="n">
        <f aca="false">B6/B12</f>
        <v>8.57142857142857</v>
      </c>
    </row>
    <row r="15" customFormat="false" ht="15" hidden="false" customHeight="false" outlineLevel="0" collapsed="false">
      <c r="A15" s="10" t="s">
        <v>289</v>
      </c>
      <c r="B15" s="12" t="n">
        <f aca="false">B8-B9</f>
        <v>2000</v>
      </c>
    </row>
    <row r="16" customFormat="false" ht="15" hidden="false" customHeight="false" outlineLevel="0" collapsed="false">
      <c r="A16" s="10" t="s">
        <v>290</v>
      </c>
      <c r="B16" s="21" t="n">
        <f aca="false">B6/B15</f>
        <v>15</v>
      </c>
    </row>
    <row r="17" customFormat="false" ht="15" hidden="false" customHeight="false" outlineLevel="0" collapsed="false">
      <c r="A17" s="10" t="s">
        <v>291</v>
      </c>
      <c r="B17" s="21" t="n">
        <f aca="false">B16-B13</f>
        <v>6.42857142857143</v>
      </c>
    </row>
  </sheetData>
  <mergeCells count="4">
    <mergeCell ref="A1:E1"/>
    <mergeCell ref="A2:E2"/>
    <mergeCell ref="A5:E5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25"/>
    <col collapsed="false" customWidth="true" hidden="false" outlineLevel="0" max="5" min="4" style="0" width="15"/>
  </cols>
  <sheetData>
    <row r="1" customFormat="false" ht="24.75" hidden="false" customHeight="true" outlineLevel="0" collapsed="false">
      <c r="A1" s="1" t="s">
        <v>65</v>
      </c>
      <c r="B1" s="1"/>
      <c r="C1" s="1"/>
      <c r="D1" s="1"/>
      <c r="E1" s="1"/>
    </row>
    <row r="2" customFormat="false" ht="18" hidden="false" customHeight="true" outlineLevel="0" collapsed="false">
      <c r="A2" s="2" t="s">
        <v>292</v>
      </c>
      <c r="B2" s="2"/>
      <c r="C2" s="2"/>
      <c r="D2" s="2"/>
      <c r="E2" s="2"/>
    </row>
    <row r="5" customFormat="false" ht="18" hidden="false" customHeight="true" outlineLevel="0" collapsed="false">
      <c r="A5" s="3" t="s">
        <v>293</v>
      </c>
      <c r="B5" s="3"/>
      <c r="C5" s="3"/>
      <c r="D5" s="3"/>
      <c r="E5" s="3"/>
    </row>
    <row r="6" customFormat="false" ht="18" hidden="false" customHeight="true" outlineLevel="0" collapsed="false">
      <c r="A6" s="5" t="s">
        <v>294</v>
      </c>
      <c r="B6" s="5" t="s">
        <v>295</v>
      </c>
      <c r="C6" s="5" t="s">
        <v>296</v>
      </c>
    </row>
    <row r="7" customFormat="false" ht="15" hidden="false" customHeight="false" outlineLevel="0" collapsed="false">
      <c r="A7" s="10" t="s">
        <v>297</v>
      </c>
      <c r="B7" s="15" t="n">
        <v>3</v>
      </c>
    </row>
    <row r="8" customFormat="false" ht="15" hidden="false" customHeight="false" outlineLevel="0" collapsed="false">
      <c r="A8" s="10" t="s">
        <v>298</v>
      </c>
      <c r="B8" s="15" t="n">
        <v>3</v>
      </c>
    </row>
    <row r="9" customFormat="false" ht="15" hidden="false" customHeight="false" outlineLevel="0" collapsed="false">
      <c r="A9" s="10" t="s">
        <v>299</v>
      </c>
      <c r="B9" s="15" t="n">
        <v>3</v>
      </c>
    </row>
    <row r="10" customFormat="false" ht="15" hidden="false" customHeight="false" outlineLevel="0" collapsed="false">
      <c r="A10" s="10" t="s">
        <v>300</v>
      </c>
      <c r="B10" s="15" t="n">
        <v>3</v>
      </c>
    </row>
    <row r="11" customFormat="false" ht="15" hidden="false" customHeight="false" outlineLevel="0" collapsed="false">
      <c r="A11" s="10" t="s">
        <v>301</v>
      </c>
      <c r="B11" s="15" t="n">
        <v>3</v>
      </c>
    </row>
    <row r="12" customFormat="false" ht="15" hidden="false" customHeight="false" outlineLevel="0" collapsed="false">
      <c r="A12" s="10" t="s">
        <v>302</v>
      </c>
      <c r="B12" s="15" t="n">
        <v>3</v>
      </c>
    </row>
    <row r="13" customFormat="false" ht="15" hidden="false" customHeight="false" outlineLevel="0" collapsed="false">
      <c r="A13" s="10" t="s">
        <v>303</v>
      </c>
      <c r="B13" s="15" t="n">
        <v>3</v>
      </c>
    </row>
    <row r="14" customFormat="false" ht="15" hidden="false" customHeight="false" outlineLevel="0" collapsed="false">
      <c r="A14" s="10" t="s">
        <v>304</v>
      </c>
      <c r="B14" s="15" t="n">
        <v>3</v>
      </c>
    </row>
    <row r="15" customFormat="false" ht="15" hidden="false" customHeight="false" outlineLevel="0" collapsed="false">
      <c r="A15" s="10" t="s">
        <v>305</v>
      </c>
      <c r="B15" s="15" t="n">
        <v>3</v>
      </c>
    </row>
    <row r="16" customFormat="false" ht="15" hidden="false" customHeight="false" outlineLevel="0" collapsed="false">
      <c r="A16" s="10" t="s">
        <v>306</v>
      </c>
      <c r="B16" s="15" t="n">
        <v>3</v>
      </c>
    </row>
    <row r="19" customFormat="false" ht="18" hidden="false" customHeight="true" outlineLevel="0" collapsed="false">
      <c r="A19" s="3" t="s">
        <v>307</v>
      </c>
      <c r="B19" s="3"/>
      <c r="C19" s="3"/>
      <c r="D19" s="3"/>
      <c r="E19" s="3"/>
    </row>
    <row r="20" customFormat="false" ht="17.35" hidden="false" customHeight="false" outlineLevel="0" collapsed="false">
      <c r="A20" s="10" t="s">
        <v>308</v>
      </c>
      <c r="B20" s="22" t="n">
        <f aca="false">SUM(B7:B16)</f>
        <v>30</v>
      </c>
    </row>
    <row r="21" customFormat="false" ht="15" hidden="false" customHeight="false" outlineLevel="0" collapsed="false">
      <c r="A21" s="10" t="s">
        <v>309</v>
      </c>
      <c r="B21" s="14" t="n">
        <f aca="false">B20/50</f>
        <v>0.6</v>
      </c>
    </row>
    <row r="22" customFormat="false" ht="17.35" hidden="false" customHeight="false" outlineLevel="0" collapsed="false">
      <c r="A22" s="10" t="s">
        <v>310</v>
      </c>
      <c r="B22" s="23" t="str">
        <f aca="false">IF(B21&gt;=0.8,"READY",IF(B21&gt;=0.6,"CLOSE","NOT YET"))</f>
        <v>CLOSE</v>
      </c>
    </row>
  </sheetData>
  <mergeCells count="4">
    <mergeCell ref="A1:E1"/>
    <mergeCell ref="A2:E2"/>
    <mergeCell ref="A5:E5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24.75" hidden="false" customHeight="true" outlineLevel="0" collapsed="false">
      <c r="A1" s="1" t="s">
        <v>311</v>
      </c>
      <c r="B1" s="1"/>
      <c r="C1" s="1"/>
      <c r="D1" s="1"/>
      <c r="E1" s="1"/>
    </row>
    <row r="2" customFormat="false" ht="18" hidden="false" customHeight="true" outlineLevel="0" collapsed="false">
      <c r="A2" s="2" t="s">
        <v>312</v>
      </c>
      <c r="B2" s="2"/>
      <c r="C2" s="2"/>
      <c r="D2" s="2"/>
      <c r="E2" s="2"/>
    </row>
    <row r="5" customFormat="false" ht="18" hidden="false" customHeight="true" outlineLevel="0" collapsed="false">
      <c r="A5" s="3" t="s">
        <v>117</v>
      </c>
      <c r="B5" s="3"/>
      <c r="C5" s="3"/>
      <c r="D5" s="3"/>
      <c r="E5" s="3"/>
    </row>
    <row r="6" customFormat="false" ht="15" hidden="false" customHeight="false" outlineLevel="0" collapsed="false">
      <c r="A6" s="10" t="s">
        <v>313</v>
      </c>
      <c r="B6" s="11" t="n">
        <v>25000</v>
      </c>
    </row>
    <row r="7" customFormat="false" ht="15" hidden="false" customHeight="false" outlineLevel="0" collapsed="false">
      <c r="A7" s="10" t="s">
        <v>101</v>
      </c>
      <c r="B7" s="11" t="n">
        <v>5000</v>
      </c>
    </row>
    <row r="8" customFormat="false" ht="15" hidden="false" customHeight="false" outlineLevel="0" collapsed="false">
      <c r="A8" s="10" t="s">
        <v>314</v>
      </c>
      <c r="B8" s="11" t="n">
        <v>7500</v>
      </c>
    </row>
    <row r="9" customFormat="false" ht="15" hidden="false" customHeight="false" outlineLevel="0" collapsed="false">
      <c r="A9" s="10" t="s">
        <v>315</v>
      </c>
      <c r="B9" s="11" t="n">
        <v>350000</v>
      </c>
    </row>
    <row r="10" customFormat="false" ht="15" hidden="false" customHeight="false" outlineLevel="0" collapsed="false">
      <c r="A10" s="10" t="s">
        <v>316</v>
      </c>
      <c r="B10" s="11" t="n">
        <v>65000</v>
      </c>
    </row>
    <row r="12" customFormat="false" ht="18" hidden="false" customHeight="true" outlineLevel="0" collapsed="false">
      <c r="A12" s="3" t="s">
        <v>317</v>
      </c>
      <c r="B12" s="3"/>
      <c r="C12" s="3"/>
      <c r="D12" s="3"/>
      <c r="E12" s="3"/>
    </row>
    <row r="13" customFormat="false" ht="24.75" hidden="false" customHeight="true" outlineLevel="0" collapsed="false">
      <c r="A13" s="10" t="s">
        <v>318</v>
      </c>
      <c r="B13" s="23" t="n">
        <f aca="false">B6/B7</f>
        <v>5</v>
      </c>
    </row>
    <row r="15" customFormat="false" ht="24.75" hidden="false" customHeight="true" outlineLevel="0" collapsed="false">
      <c r="A15" s="10" t="s">
        <v>319</v>
      </c>
      <c r="B15" s="13" t="n">
        <f aca="false">B9-B10</f>
        <v>285000</v>
      </c>
    </row>
    <row r="17" customFormat="false" ht="24.75" hidden="false" customHeight="true" outlineLevel="0" collapsed="false">
      <c r="A17" s="10" t="s">
        <v>320</v>
      </c>
      <c r="B17" s="13" t="n">
        <f aca="false">B8-B7</f>
        <v>2500</v>
      </c>
    </row>
    <row r="19" customFormat="false" ht="18" hidden="false" customHeight="true" outlineLevel="0" collapsed="false">
      <c r="A19" s="3" t="s">
        <v>321</v>
      </c>
      <c r="B19" s="3"/>
      <c r="C19" s="3"/>
      <c r="D19" s="3"/>
      <c r="E19" s="3"/>
    </row>
    <row r="20" customFormat="false" ht="17.35" hidden="false" customHeight="false" outlineLevel="0" collapsed="false">
      <c r="A20" s="10" t="s">
        <v>322</v>
      </c>
      <c r="B20" s="22" t="n">
        <f aca="false">(IF(B4&gt;=3,25,B4/3*25))+(IF(B6&gt;=250000,25,B6/250000*25))+(IF(B7&gt;=2000,25,B7/2000*25))+25</f>
        <v>52.5</v>
      </c>
    </row>
  </sheetData>
  <mergeCells count="5">
    <mergeCell ref="A1:E1"/>
    <mergeCell ref="A2:E2"/>
    <mergeCell ref="A5:E5"/>
    <mergeCell ref="A12:E12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24.75" hidden="false" customHeight="true" outlineLevel="0" collapsed="false">
      <c r="A1" s="1" t="s">
        <v>323</v>
      </c>
      <c r="B1" s="1"/>
      <c r="C1" s="1"/>
      <c r="D1" s="1"/>
      <c r="E1" s="1"/>
    </row>
    <row r="2" customFormat="false" ht="18" hidden="false" customHeight="true" outlineLevel="0" collapsed="false">
      <c r="A2" s="2" t="s">
        <v>324</v>
      </c>
      <c r="B2" s="2"/>
      <c r="C2" s="2"/>
      <c r="D2" s="2"/>
      <c r="E2" s="2"/>
    </row>
    <row r="5" customFormat="false" ht="18" hidden="false" customHeight="true" outlineLevel="0" collapsed="false">
      <c r="A5" s="3" t="s">
        <v>117</v>
      </c>
      <c r="B5" s="3"/>
      <c r="C5" s="3"/>
      <c r="D5" s="3"/>
      <c r="E5" s="3"/>
    </row>
    <row r="6" customFormat="false" ht="15" hidden="false" customHeight="false" outlineLevel="0" collapsed="false">
      <c r="A6" s="10" t="s">
        <v>226</v>
      </c>
      <c r="B6" s="11" t="n">
        <v>85000</v>
      </c>
    </row>
    <row r="7" customFormat="false" ht="15" hidden="false" customHeight="false" outlineLevel="0" collapsed="false">
      <c r="A7" s="10" t="s">
        <v>325</v>
      </c>
      <c r="B7" s="15" t="n">
        <v>2</v>
      </c>
    </row>
    <row r="8" customFormat="false" ht="15" hidden="false" customHeight="false" outlineLevel="0" collapsed="false">
      <c r="A8" s="10" t="s">
        <v>326</v>
      </c>
      <c r="B8" s="11" t="n">
        <v>250000</v>
      </c>
    </row>
    <row r="9" customFormat="false" ht="15" hidden="false" customHeight="false" outlineLevel="0" collapsed="false">
      <c r="A9" s="10" t="s">
        <v>327</v>
      </c>
      <c r="B9" s="11" t="n">
        <v>20000</v>
      </c>
    </row>
    <row r="10" customFormat="false" ht="15" hidden="false" customHeight="false" outlineLevel="0" collapsed="false">
      <c r="A10" s="10" t="s">
        <v>328</v>
      </c>
      <c r="B10" s="15" t="n">
        <v>10</v>
      </c>
    </row>
    <row r="11" customFormat="false" ht="15" hidden="false" customHeight="false" outlineLevel="0" collapsed="false">
      <c r="A11" s="10" t="s">
        <v>329</v>
      </c>
      <c r="B11" s="11" t="n">
        <v>100000</v>
      </c>
    </row>
    <row r="13" customFormat="false" ht="18" hidden="false" customHeight="true" outlineLevel="0" collapsed="false">
      <c r="A13" s="3" t="s">
        <v>330</v>
      </c>
      <c r="B13" s="3"/>
      <c r="C13" s="3"/>
      <c r="D13" s="3"/>
      <c r="E13" s="3"/>
    </row>
    <row r="14" customFormat="false" ht="17.35" hidden="false" customHeight="false" outlineLevel="0" collapsed="false">
      <c r="A14" s="10" t="s">
        <v>331</v>
      </c>
      <c r="B14" s="13" t="n">
        <f aca="false">MAX(0,B6*B10+B8+B9-B11)</f>
        <v>1020000</v>
      </c>
    </row>
    <row r="15" customFormat="false" ht="15" hidden="false" customHeight="false" outlineLevel="0" collapsed="false">
      <c r="A15" s="10" t="s">
        <v>332</v>
      </c>
      <c r="B15" s="12" t="n">
        <f aca="false">B6*0.6</f>
        <v>51000</v>
      </c>
    </row>
    <row r="16" customFormat="false" ht="15" hidden="false" customHeight="false" outlineLevel="0" collapsed="false">
      <c r="A16" s="10" t="s">
        <v>333</v>
      </c>
      <c r="B16" s="10" t="s">
        <v>334</v>
      </c>
    </row>
  </sheetData>
  <mergeCells count="4">
    <mergeCell ref="A1:E1"/>
    <mergeCell ref="A2:E2"/>
    <mergeCell ref="A5:E5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24.75" hidden="false" customHeight="true" outlineLevel="0" collapsed="false">
      <c r="A1" s="1" t="s">
        <v>75</v>
      </c>
      <c r="B1" s="1"/>
      <c r="C1" s="1"/>
      <c r="D1" s="1"/>
      <c r="E1" s="1"/>
    </row>
    <row r="2" customFormat="false" ht="18" hidden="false" customHeight="true" outlineLevel="0" collapsed="false">
      <c r="A2" s="2" t="s">
        <v>335</v>
      </c>
      <c r="B2" s="2"/>
      <c r="C2" s="2"/>
      <c r="D2" s="2"/>
      <c r="E2" s="2"/>
    </row>
    <row r="5" customFormat="false" ht="18" hidden="false" customHeight="true" outlineLevel="0" collapsed="false">
      <c r="A5" s="3" t="s">
        <v>336</v>
      </c>
      <c r="B5" s="3"/>
      <c r="C5" s="3"/>
      <c r="D5" s="3"/>
      <c r="E5" s="3"/>
    </row>
    <row r="6" customFormat="false" ht="15" hidden="false" customHeight="false" outlineLevel="0" collapsed="false">
      <c r="A6" s="10" t="s">
        <v>226</v>
      </c>
      <c r="B6" s="11" t="n">
        <v>100000</v>
      </c>
    </row>
    <row r="7" customFormat="false" ht="15" hidden="false" customHeight="false" outlineLevel="0" collapsed="false">
      <c r="A7" s="10" t="s">
        <v>337</v>
      </c>
      <c r="B7" s="11" t="n">
        <v>500</v>
      </c>
    </row>
    <row r="9" customFormat="false" ht="18" hidden="false" customHeight="true" outlineLevel="0" collapsed="false">
      <c r="A9" s="3" t="s">
        <v>338</v>
      </c>
      <c r="B9" s="3"/>
      <c r="C9" s="3"/>
      <c r="D9" s="3"/>
      <c r="E9" s="3"/>
    </row>
    <row r="10" customFormat="false" ht="15" hidden="false" customHeight="false" outlineLevel="0" collapsed="false">
      <c r="A10" s="10" t="s">
        <v>339</v>
      </c>
      <c r="B10" s="11" t="n">
        <v>80000</v>
      </c>
    </row>
    <row r="12" customFormat="false" ht="18" hidden="false" customHeight="true" outlineLevel="0" collapsed="false">
      <c r="A12" s="3" t="s">
        <v>340</v>
      </c>
      <c r="B12" s="3"/>
      <c r="C12" s="3"/>
      <c r="D12" s="3"/>
      <c r="E12" s="3"/>
    </row>
    <row r="13" customFormat="false" ht="15" hidden="false" customHeight="false" outlineLevel="0" collapsed="false">
      <c r="A13" s="10" t="s">
        <v>341</v>
      </c>
      <c r="B13" s="17" t="n">
        <v>6.5</v>
      </c>
    </row>
    <row r="14" customFormat="false" ht="15" hidden="false" customHeight="false" outlineLevel="0" collapsed="false">
      <c r="A14" s="10" t="s">
        <v>189</v>
      </c>
      <c r="B14" s="15" t="n">
        <v>30</v>
      </c>
    </row>
    <row r="16" customFormat="false" ht="18" hidden="false" customHeight="true" outlineLevel="0" collapsed="false">
      <c r="A16" s="3" t="s">
        <v>342</v>
      </c>
      <c r="B16" s="3"/>
      <c r="C16" s="3"/>
      <c r="D16" s="3"/>
      <c r="E16" s="3"/>
    </row>
    <row r="17" customFormat="false" ht="15" hidden="false" customHeight="false" outlineLevel="0" collapsed="false">
      <c r="A17" s="10" t="s">
        <v>343</v>
      </c>
      <c r="B17" s="17" t="n">
        <v>1.2</v>
      </c>
    </row>
    <row r="18" customFormat="false" ht="15" hidden="false" customHeight="false" outlineLevel="0" collapsed="false">
      <c r="A18" s="10" t="s">
        <v>344</v>
      </c>
      <c r="B18" s="11" t="n">
        <v>1500</v>
      </c>
    </row>
    <row r="20" customFormat="false" ht="18" hidden="false" customHeight="true" outlineLevel="0" collapsed="false">
      <c r="A20" s="3" t="s">
        <v>345</v>
      </c>
      <c r="B20" s="3"/>
      <c r="C20" s="3"/>
      <c r="D20" s="3"/>
      <c r="E20" s="3"/>
    </row>
    <row r="21" customFormat="false" ht="15" hidden="false" customHeight="false" outlineLevel="0" collapsed="false">
      <c r="A21" s="10" t="s">
        <v>346</v>
      </c>
      <c r="B21" s="12" t="n">
        <f aca="false">B6/12*0.28</f>
        <v>2333.33333333333</v>
      </c>
    </row>
    <row r="22" customFormat="false" ht="15" hidden="false" customHeight="false" outlineLevel="0" collapsed="false">
      <c r="A22" s="10" t="s">
        <v>347</v>
      </c>
      <c r="B22" s="12" t="n">
        <f aca="false">B6/12*0.43-B7</f>
        <v>3083.33333333333</v>
      </c>
    </row>
    <row r="23" customFormat="false" ht="15" hidden="false" customHeight="false" outlineLevel="0" collapsed="false">
      <c r="A23" s="10" t="s">
        <v>348</v>
      </c>
      <c r="B23" s="12" t="n">
        <f aca="false">MIN(B21,B22)</f>
        <v>2333.33333333333</v>
      </c>
    </row>
    <row r="24" customFormat="false" ht="15" hidden="false" customHeight="false" outlineLevel="0" collapsed="false">
      <c r="A24" s="10" t="s">
        <v>349</v>
      </c>
      <c r="B24" s="12" t="n">
        <f aca="false">PV(B13/100/12,B14*12,-B23)</f>
        <v>369158.578919837</v>
      </c>
    </row>
    <row r="25" customFormat="false" ht="17.35" hidden="false" customHeight="false" outlineLevel="0" collapsed="false">
      <c r="A25" s="10" t="s">
        <v>350</v>
      </c>
      <c r="B25" s="13" t="n">
        <f aca="false">B24+B10</f>
        <v>449158.578919837</v>
      </c>
    </row>
    <row r="27" customFormat="false" ht="18" hidden="false" customHeight="true" outlineLevel="0" collapsed="false">
      <c r="A27" s="3" t="s">
        <v>351</v>
      </c>
      <c r="B27" s="3"/>
      <c r="C27" s="3"/>
      <c r="D27" s="3"/>
      <c r="E27" s="3"/>
    </row>
    <row r="28" customFormat="false" ht="15" hidden="false" customHeight="false" outlineLevel="0" collapsed="false">
      <c r="A28" s="10" t="s">
        <v>352</v>
      </c>
      <c r="B28" s="12" t="n">
        <f aca="false">PMT(B13/100/12,B14*12,-B24)</f>
        <v>2333.33333333333</v>
      </c>
    </row>
    <row r="29" customFormat="false" ht="15" hidden="false" customHeight="false" outlineLevel="0" collapsed="false">
      <c r="A29" s="10" t="s">
        <v>201</v>
      </c>
      <c r="B29" s="12" t="n">
        <f aca="false">B25*B17/100/12</f>
        <v>449.158578919837</v>
      </c>
    </row>
    <row r="30" customFormat="false" ht="15" hidden="false" customHeight="false" outlineLevel="0" collapsed="false">
      <c r="A30" s="10" t="s">
        <v>353</v>
      </c>
      <c r="B30" s="12" t="n">
        <f aca="false">B18/12</f>
        <v>125</v>
      </c>
    </row>
  </sheetData>
  <mergeCells count="8">
    <mergeCell ref="A1:E1"/>
    <mergeCell ref="A2:E2"/>
    <mergeCell ref="A5:E5"/>
    <mergeCell ref="A9:E9"/>
    <mergeCell ref="A12:E12"/>
    <mergeCell ref="A16:E16"/>
    <mergeCell ref="A20:E20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5"/>
  </cols>
  <sheetData>
    <row r="1" customFormat="false" ht="24.75" hidden="false" customHeight="true" outlineLevel="0" collapsed="false">
      <c r="A1" s="1" t="s">
        <v>354</v>
      </c>
      <c r="B1" s="1"/>
      <c r="C1" s="1"/>
      <c r="D1" s="1"/>
      <c r="E1" s="1"/>
    </row>
    <row r="2" customFormat="false" ht="18" hidden="false" customHeight="true" outlineLevel="0" collapsed="false">
      <c r="A2" s="2" t="s">
        <v>355</v>
      </c>
      <c r="B2" s="2"/>
      <c r="C2" s="2"/>
      <c r="D2" s="2"/>
      <c r="E2" s="2"/>
    </row>
    <row r="5" customFormat="false" ht="18" hidden="false" customHeight="true" outlineLevel="0" collapsed="false">
      <c r="A5" s="3" t="s">
        <v>117</v>
      </c>
      <c r="B5" s="3"/>
      <c r="C5" s="3"/>
      <c r="D5" s="3"/>
      <c r="E5" s="3"/>
    </row>
    <row r="6" customFormat="false" ht="15" hidden="false" customHeight="false" outlineLevel="0" collapsed="false">
      <c r="A6" s="10" t="s">
        <v>226</v>
      </c>
      <c r="B6" s="11" t="n">
        <v>100000</v>
      </c>
    </row>
    <row r="7" customFormat="false" ht="15" hidden="false" customHeight="false" outlineLevel="0" collapsed="false">
      <c r="A7" s="10" t="s">
        <v>356</v>
      </c>
      <c r="B7" s="11" t="n">
        <v>20000</v>
      </c>
    </row>
    <row r="8" customFormat="false" ht="15" hidden="false" customHeight="false" outlineLevel="0" collapsed="false">
      <c r="A8" s="10" t="s">
        <v>357</v>
      </c>
      <c r="B8" s="17" t="n">
        <v>4</v>
      </c>
    </row>
    <row r="9" customFormat="false" ht="15" hidden="false" customHeight="false" outlineLevel="0" collapsed="false">
      <c r="A9" s="10" t="s">
        <v>358</v>
      </c>
      <c r="B9" s="17" t="n">
        <v>6</v>
      </c>
    </row>
    <row r="10" customFormat="false" ht="15" hidden="false" customHeight="false" outlineLevel="0" collapsed="false">
      <c r="A10" s="10" t="s">
        <v>359</v>
      </c>
      <c r="B10" s="15" t="n">
        <v>1</v>
      </c>
    </row>
    <row r="11" customFormat="false" ht="15" hidden="false" customHeight="false" outlineLevel="0" collapsed="false">
      <c r="A11" s="10" t="s">
        <v>360</v>
      </c>
      <c r="B11" s="17" t="n">
        <v>24</v>
      </c>
    </row>
    <row r="13" customFormat="false" ht="18" hidden="false" customHeight="true" outlineLevel="0" collapsed="false">
      <c r="A13" s="3" t="s">
        <v>361</v>
      </c>
      <c r="B13" s="3"/>
      <c r="C13" s="3"/>
      <c r="D13" s="3"/>
      <c r="E13" s="3"/>
    </row>
    <row r="14" customFormat="false" ht="15" hidden="false" customHeight="false" outlineLevel="0" collapsed="false">
      <c r="A14" s="10" t="s">
        <v>362</v>
      </c>
      <c r="B14" s="12" t="n">
        <f aca="false">MIN(B6*B8/100,B7)</f>
        <v>4000</v>
      </c>
    </row>
    <row r="15" customFormat="false" ht="15" hidden="false" customHeight="false" outlineLevel="0" collapsed="false">
      <c r="A15" s="10" t="s">
        <v>363</v>
      </c>
      <c r="B15" s="12" t="n">
        <f aca="false">B14</f>
        <v>4000</v>
      </c>
    </row>
    <row r="16" customFormat="false" ht="15" hidden="false" customHeight="false" outlineLevel="0" collapsed="false">
      <c r="A16" s="10" t="s">
        <v>364</v>
      </c>
      <c r="B16" s="12" t="n">
        <f aca="false">B14*B11/100</f>
        <v>960</v>
      </c>
    </row>
    <row r="18" customFormat="false" ht="18" hidden="false" customHeight="true" outlineLevel="0" collapsed="false">
      <c r="A18" s="3" t="s">
        <v>365</v>
      </c>
      <c r="B18" s="3"/>
      <c r="C18" s="3"/>
      <c r="D18" s="3"/>
      <c r="E18" s="3"/>
    </row>
    <row r="19" customFormat="false" ht="15" hidden="false" customHeight="false" outlineLevel="0" collapsed="false">
      <c r="A19" s="10" t="s">
        <v>366</v>
      </c>
      <c r="B19" s="12" t="n">
        <f aca="false">IF(B10=1,4150,0)</f>
        <v>4150</v>
      </c>
    </row>
    <row r="20" customFormat="false" ht="15" hidden="false" customHeight="false" outlineLevel="0" collapsed="false">
      <c r="A20" s="10" t="s">
        <v>364</v>
      </c>
      <c r="B20" s="12" t="n">
        <f aca="false">B19*B11/100</f>
        <v>996</v>
      </c>
    </row>
    <row r="22" customFormat="false" ht="18" hidden="false" customHeight="true" outlineLevel="0" collapsed="false">
      <c r="A22" s="3" t="s">
        <v>367</v>
      </c>
      <c r="B22" s="3"/>
      <c r="C22" s="3"/>
      <c r="D22" s="3"/>
      <c r="E22" s="3"/>
    </row>
    <row r="23" customFormat="false" ht="15" hidden="false" customHeight="false" outlineLevel="0" collapsed="false">
      <c r="A23" s="10" t="s">
        <v>368</v>
      </c>
      <c r="B23" s="12" t="s">
        <v>369</v>
      </c>
    </row>
    <row r="25" customFormat="false" ht="18" hidden="false" customHeight="true" outlineLevel="0" collapsed="false">
      <c r="A25" s="3" t="s">
        <v>370</v>
      </c>
      <c r="B25" s="3"/>
      <c r="C25" s="3"/>
      <c r="D25" s="3"/>
      <c r="E25" s="3"/>
    </row>
    <row r="26" customFormat="false" ht="15" hidden="false" customHeight="false" outlineLevel="0" collapsed="false">
      <c r="A26" s="10" t="s">
        <v>371</v>
      </c>
      <c r="B26" s="12" t="n">
        <f aca="false">MAX(0,B7-B14-B19-7000)</f>
        <v>4850</v>
      </c>
    </row>
    <row r="27" customFormat="false" ht="15" hidden="false" customHeight="false" outlineLevel="0" collapsed="false">
      <c r="A27" s="10" t="s">
        <v>372</v>
      </c>
      <c r="B27" s="12" t="n">
        <f aca="false">B26*B11/100</f>
        <v>1164</v>
      </c>
    </row>
    <row r="29" customFormat="false" ht="18" hidden="false" customHeight="true" outlineLevel="0" collapsed="false">
      <c r="A29" s="3" t="s">
        <v>373</v>
      </c>
      <c r="B29" s="3"/>
      <c r="C29" s="3"/>
      <c r="D29" s="3"/>
      <c r="E29" s="3"/>
    </row>
    <row r="30" customFormat="false" ht="17.35" hidden="false" customHeight="false" outlineLevel="0" collapsed="false">
      <c r="A30" s="10" t="s">
        <v>374</v>
      </c>
      <c r="B30" s="13" t="n">
        <f aca="false">B14*B11/100+B19*B11/100+B26*B11/100</f>
        <v>3120</v>
      </c>
    </row>
  </sheetData>
  <mergeCells count="8">
    <mergeCell ref="A1:E1"/>
    <mergeCell ref="A2:E2"/>
    <mergeCell ref="A5:E5"/>
    <mergeCell ref="A13:E13"/>
    <mergeCell ref="A18:E18"/>
    <mergeCell ref="A22:E22"/>
    <mergeCell ref="A25:E25"/>
    <mergeCell ref="A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2026-04-05T18:06:19Z</dcterms:created>
  <dc:creator>openpyxl</dc:creator>
  <dc:description/>
  <dc:language>en-US</dc:language>
  <cp:lastModifiedBy/>
  <dcterms:modified xsi:type="dcterms:W3CDTF">2026-04-05T18:06:19Z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