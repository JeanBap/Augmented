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051 Churn Rate" sheetId="2" state="visible" r:id="rId4"/>
    <sheet name="052 GRR vs NRR" sheetId="3" state="visible" r:id="rId5"/>
    <sheet name="053 MRR Decomposition" sheetId="4" state="visible" r:id="rId6"/>
    <sheet name="054 Payback Period" sheetId="5" state="visible" r:id="rId7"/>
    <sheet name="055 Unit Econ Dashboard" sheetId="6" state="visible" r:id="rId8"/>
    <sheet name="056 Exit Readiness" sheetId="7" state="visible" r:id="rId9"/>
    <sheet name="057 Comparable Companies" sheetId="8" state="visible" r:id="rId10"/>
    <sheet name="058 MA Valuation Methods" sheetId="9" state="visible" r:id="rId11"/>
    <sheet name="059 LOI Comparison" sheetId="10" state="visible" r:id="rId12"/>
    <sheet name="060 Exit Waterfall" sheetId="11" state="visible" r:id="rId13"/>
    <sheet name="061 Exit Scenarios" sheetId="12" state="visible" r:id="rId14"/>
    <sheet name="062 EBITDA Normalisation" sheetId="13" state="visible" r:id="rId15"/>
    <sheet name="063 Revenue Quality" sheetId="14" state="visible" r:id="rId16"/>
    <sheet name="064 MA Data Room" sheetId="15" state="visible" r:id="rId17"/>
    <sheet name="065 Earnout Model" sheetId="16" state="visible" r:id="rId18"/>
    <sheet name="066 SQL KPI Tracker" sheetId="17" state="visible" r:id="rId19"/>
    <sheet name="067 KPI Scorecard" sheetId="18" state="visible" r:id="rId20"/>
    <sheet name="068 Weekly Dashboard" sheetId="19" state="visible" r:id="rId21"/>
    <sheet name="069 Leading vs Lagging" sheetId="20" state="visible" r:id="rId22"/>
    <sheet name="070 Budget vs Actual" sheetId="21" state="visible" r:id="rId23"/>
    <sheet name="071 Department Budget" sheetId="22" state="visible" r:id="rId24"/>
    <sheet name="072 Investor Report" sheetId="23" state="visible" r:id="rId25"/>
    <sheet name="073 Finance Close Calendar" sheetId="24" state="visible" r:id="rId26"/>
    <sheet name="074 13-Week Cash Forecast" sheetId="25" state="visible" r:id="rId27"/>
    <sheet name="075 Financial Controls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<sst xmlns="http://schemas.openxmlformats.org/spreadsheetml/2006/main" count="1402" uniqueCount="898">
  <si>
    <t xml:space="preserve">Raise Ready — Chapter Exercise Workbook</t>
  </si>
  <si>
    <t xml:space="preserve">Exercises 051–075  |  Complete each tab to build your financial model</t>
  </si>
  <si>
    <t xml:space="preserve">#</t>
  </si>
  <si>
    <t xml:space="preserve">Exercise Title</t>
  </si>
  <si>
    <t xml:space="preserve">Pillar</t>
  </si>
  <si>
    <t xml:space="preserve">Status</t>
  </si>
  <si>
    <t xml:space="preserve">051</t>
  </si>
  <si>
    <t xml:space="preserve">Churn Rate: Every Way to Calculate It</t>
  </si>
  <si>
    <t xml:space="preserve">Unit Economics</t>
  </si>
  <si>
    <t xml:space="preserve">Not started</t>
  </si>
  <si>
    <t xml:space="preserve">052</t>
  </si>
  <si>
    <t xml:space="preserve">Gross Revenue Retention vs. Net Revenue Retention</t>
  </si>
  <si>
    <t xml:space="preserve">053</t>
  </si>
  <si>
    <t xml:space="preserve">MRR Decomposition: New, Expansion, Contraction, Churn</t>
  </si>
  <si>
    <t xml:space="preserve">054</t>
  </si>
  <si>
    <t xml:space="preserve">Payback Period Benchmarks by Stage and Model</t>
  </si>
  <si>
    <t xml:space="preserve">055</t>
  </si>
  <si>
    <t xml:space="preserve">Unit Economics Summary Dashboard</t>
  </si>
  <si>
    <t xml:space="preserve">056</t>
  </si>
  <si>
    <t xml:space="preserve">Exit Readiness Assessment</t>
  </si>
  <si>
    <t xml:space="preserve">Exits</t>
  </si>
  <si>
    <t xml:space="preserve">057</t>
  </si>
  <si>
    <t xml:space="preserve">Comparable Company Analysis</t>
  </si>
  <si>
    <t xml:space="preserve">058</t>
  </si>
  <si>
    <t xml:space="preserve">M&amp;A Valuation: Three Methods</t>
  </si>
  <si>
    <t xml:space="preserve">059</t>
  </si>
  <si>
    <t xml:space="preserve">LOI Term Comparison</t>
  </si>
  <si>
    <t xml:space="preserve">060</t>
  </si>
  <si>
    <t xml:space="preserve">Exit Dilution Waterfall</t>
  </si>
  <si>
    <t xml:space="preserve">061</t>
  </si>
  <si>
    <t xml:space="preserve">Exit Scenario Modelling</t>
  </si>
  <si>
    <t xml:space="preserve">062</t>
  </si>
  <si>
    <t xml:space="preserve">EBITDA Normalisation</t>
  </si>
  <si>
    <t xml:space="preserve">063</t>
  </si>
  <si>
    <t xml:space="preserve">Revenue Quality Analysis</t>
  </si>
  <si>
    <t xml:space="preserve">064</t>
  </si>
  <si>
    <t xml:space="preserve">M&amp;A Data Room Checklist</t>
  </si>
  <si>
    <t xml:space="preserve">065</t>
  </si>
  <si>
    <t xml:space="preserve">Earnout Modelling</t>
  </si>
  <si>
    <t xml:space="preserve">066</t>
  </si>
  <si>
    <t xml:space="preserve">SQL KPI Tracker</t>
  </si>
  <si>
    <t xml:space="preserve">Finance Operations</t>
  </si>
  <si>
    <t xml:space="preserve">067</t>
  </si>
  <si>
    <t xml:space="preserve">10 KPI Scorecard</t>
  </si>
  <si>
    <t xml:space="preserve">068</t>
  </si>
  <si>
    <t xml:space="preserve">Weekly Metrics Dashboard</t>
  </si>
  <si>
    <t xml:space="preserve">069</t>
  </si>
  <si>
    <t xml:space="preserve">Leading vs. Lagging Indicator Map</t>
  </si>
  <si>
    <t xml:space="preserve">070</t>
  </si>
  <si>
    <t xml:space="preserve">Budget vs. Actual Variance Tracker</t>
  </si>
  <si>
    <t xml:space="preserve">071</t>
  </si>
  <si>
    <t xml:space="preserve">Department Budget Planner</t>
  </si>
  <si>
    <t xml:space="preserve">072</t>
  </si>
  <si>
    <t xml:space="preserve">Investor Reporting Template</t>
  </si>
  <si>
    <t xml:space="preserve">073</t>
  </si>
  <si>
    <t xml:space="preserve">Monthly Finance Close Calendar</t>
  </si>
  <si>
    <t xml:space="preserve">074</t>
  </si>
  <si>
    <t xml:space="preserve">13-Week Cash Forecast</t>
  </si>
  <si>
    <t xml:space="preserve">075</t>
  </si>
  <si>
    <t xml:space="preserve">Financial Controls Checklist</t>
  </si>
  <si>
    <t xml:space="preserve">Exercise 051 — Churn Rate: Every Way to Calculate It</t>
  </si>
  <si>
    <t xml:space="preserve">Calculate churn using five methods. Compare them side by side. Identify which version you should be presenting to investors and why.</t>
  </si>
  <si>
    <t xml:space="preserve">YELLOW = your inputs</t>
  </si>
  <si>
    <t xml:space="preserve">BLACK = formulas (do not edit)</t>
  </si>
  <si>
    <t xml:space="preserve">GREEN = target/benchmark</t>
  </si>
  <si>
    <t xml:space="preserve">INPUT: Your Monthly Cohort Data</t>
  </si>
  <si>
    <t xml:space="preserve">Metric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</si>
  <si>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</si>
  <si>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</si>
  <si>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</si>
  <si>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</si>
  <si>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</si>
  <si>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</si>
  <si>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Customers at start of month</t>
  </si>
  <si>
    <t xml:space="preserve">Customers churned</t>
  </si>
  <si>
    <t xml:space="preserve">New customers added</t>
  </si>
  <si>
    <t xml:space="preserve">MRR at start of month (£)</t>
  </si>
  <si>
    <t xml:space="preserve">MRR churned (£)</t>
  </si>
  <si>
    <t xml:space="preserve">MRR expansion (£)</t>
  </si>
  <si>
    <t xml:space="preserve">MRR from new customers (£)</t>
  </si>
  <si>
    <t xml:space="preserve">Blue cells are your inputs. Replace with your actual monthly data.</t>
  </si>
  <si>
    <t xml:space="preserve">CALCULATED: Five Churn Methods</t>
  </si>
  <si>
    <t xml:space="preserve">Logo Churn Rate (monthly %)</t>
  </si>
  <si>
    <t xml:space="preserve">&lt; 1.5% is strong</t>
  </si>
  <si>
    <t xml:space="preserve">Logo Churn Rate (annualised %)</t>
  </si>
  <si>
    <t xml:space="preserve">&lt; 15% good</t>
  </si>
  <si>
    <t xml:space="preserve">Gross Revenue Churn (monthly %)</t>
  </si>
  <si>
    <t xml:space="preserve">&lt; 1% strong SaaS</t>
  </si>
  <si>
    <t xml:space="preserve">Gross Revenue Churn (annualised %)</t>
  </si>
  <si>
    <t xml:space="preserve">&lt; 10% good</t>
  </si>
  <si>
    <t xml:space="preserve">Net Revenue Retention (monthly %)</t>
  </si>
  <si>
    <t xml:space="preserve">&gt; 100% = expansion</t>
  </si>
  <si>
    <t xml:space="preserve">Net Revenue Retention (annualised %)</t>
  </si>
  <si>
    <t xml:space="preserve">&gt; 110% Series A benchmark</t>
  </si>
  <si>
    <t xml:space="preserve">Green cells are calculated from your inputs above. Benchmark column (H) shows investor expectations.</t>
  </si>
  <si>
    <t xml:space="preserve">ANALYSIS: Which Churn Number Should You Present?</t>
  </si>
  <si>
    <t xml:space="preserve">Write your answer here: Which churn metric tells the most accurate story for your business, and why?
Consider: Are you showing logo or revenue churn? Monthly or annual? Gross or net? What would change if you used a different method?</t>
  </si>
  <si>
    <t xml:space="preserve">Exercise 052 — Gross vs. Net Revenue Retention</t>
  </si>
  <si>
    <t xml:space="preserve">Build a 12-month GRR and NRR calculation. Understand why NRR above 100% changes the entire valuation conversation.</t>
  </si>
  <si>
    <t xml:space="preserve">INPUT: Monthly Cohort Retention Data (Enter your values in yellow)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</si>
  <si>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</si>
  <si>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</si>
  <si>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</si>
  <si>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</si>
  <si>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</si>
  <si>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</si>
  <si>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</si>
  <si>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</si>
  <si>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</si>
  <si>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</si>
  <si>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</si>
  <si>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</si>
  <si>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MRR from existing customers (start of month, £)</t>
  </si>
  <si>
    <t xml:space="preserve">MRR lost to churn (£)</t>
  </si>
  <si>
    <t xml:space="preserve">MRR lost to downgrades (£)</t>
  </si>
  <si>
    <t xml:space="preserve">MRR gained from expansions (£)</t>
  </si>
  <si>
    <t xml:space="preserve">Gross Revenue Retained (£)</t>
  </si>
  <si>
    <t xml:space="preserve">GRR (%)</t>
  </si>
  <si>
    <t xml:space="preserve">Net MRR Retained (£)</t>
  </si>
  <si>
    <t xml:space="preserve">NRR (%)</t>
  </si>
  <si>
    <t xml:space="preserve">BENCHMARKS</t>
  </si>
  <si>
    <t xml:space="preserve">Tier 1</t>
  </si>
  <si>
    <t xml:space="preserve">Tier 2</t>
  </si>
  <si>
    <t xml:space="preserve">Tier 3</t>
  </si>
  <si>
    <t xml:space="preserve">Red Flag</t>
  </si>
  <si>
    <t xml:space="preserve">GRR Benchmark</t>
  </si>
  <si>
    <t xml:space="preserve">World-class SaaS</t>
  </si>
  <si>
    <t xml:space="preserve">&gt; 95%</t>
  </si>
  <si>
    <t xml:space="preserve">Strong</t>
  </si>
  <si>
    <t xml:space="preserve">&gt; 90%</t>
  </si>
  <si>
    <t xml:space="preserve">Adequate</t>
  </si>
  <si>
    <t xml:space="preserve">80-90%</t>
  </si>
  <si>
    <t xml:space="preserve">Concerning</t>
  </si>
  <si>
    <t xml:space="preserve">&lt; 80%</t>
  </si>
  <si>
    <t xml:space="preserve">NRR Benchmark</t>
  </si>
  <si>
    <t xml:space="preserve">&gt; 130%</t>
  </si>
  <si>
    <t xml:space="preserve">Series A target</t>
  </si>
  <si>
    <t xml:space="preserve">&gt; 110%</t>
  </si>
  <si>
    <t xml:space="preserve">Seed strong</t>
  </si>
  <si>
    <t xml:space="preserve">&gt; 100%</t>
  </si>
  <si>
    <t xml:space="preserve">Break-even</t>
  </si>
  <si>
    <t xml:space="preserve">&lt; 100%</t>
  </si>
  <si>
    <t xml:space="preserve">Exercise 053 — MRR Decomposition: New, Expansion, Contraction, Churn</t>
  </si>
  <si>
    <t xml:space="preserve">Break your MRR movement into its four components each month. This is the metric table investors expect at Series A.</t>
  </si>
  <si>
    <t xml:space="preserve">INPUT: MRR Movement Components (£)</t>
  </si>
  <si>
    <t xml:space="preserve">Component</t>
  </si>
  <si>
    <t xml:space="preserve">New MRR (first-time customers)</t>
  </si>
  <si>
    <t xml:space="preserve">Expansion MRR (upsell/cross-sell to existing)</t>
  </si>
  <si>
    <t xml:space="preserve">Reactivation MRR (returning churned customers)</t>
  </si>
  <si>
    <t xml:space="preserve">Contraction MRR (downgrades — enter as negative)</t>
  </si>
  <si>
    <t xml:space="preserve">Churned MRR (cancellations — enter as negative)</t>
  </si>
  <si>
    <t xml:space="preserve">Opening MRR (prior month ending balance)</t>
  </si>
  <si>
    <t xml:space="preserve">CALCULATED: Closing MRR and Growth Metrics</t>
  </si>
  <si>
    <t xml:space="preserve">Closing MRR</t>
  </si>
  <si>
    <t xml:space="preserve">Net New MRR</t>
  </si>
  <si>
    <t xml:space="preserve">MoM Growth %</t>
  </si>
  <si>
    <t xml:space="preserve">Quick Ratio (New+Exp) / (Churn+Cont)</t>
  </si>
  <si>
    <t xml:space="preserve">Quick Ratio &gt; 4 is exceptional. &gt; 2 is strong. &lt; 1 means you are leaking faster than you are growing.</t>
  </si>
  <si>
    <t xml:space="preserve">Source: Mamoon Hamid / Bessemer growth benchmarks for SaaS quick ratio.</t>
  </si>
  <si>
    <t xml:space="preserve">Exercise 054 — Payback Period Benchmarks by Stage and Model</t>
  </si>
  <si>
    <t xml:space="preserve">Calculate your CAC payback period correctly (gross profit, not revenue). Compare to stage benchmarks. Identify your improvement levers.</t>
  </si>
  <si>
    <t xml:space="preserve">INPUT: Your Unit Economics (last 90 days or last month)</t>
  </si>
  <si>
    <t xml:space="preserve">Your Value</t>
  </si>
  <si>
    <t xml:space="preserve">Source / Note</t>
  </si>
  <si>
    <t xml:space="preserve">Total sales &amp; marketing spend (£)</t>
  </si>
  <si>
    <t xml:space="preserve">Enter source/evidence here</t>
  </si>
  <si>
    <t xml:space="preserve">New customers acquired</t>
  </si>
  <si>
    <t xml:space="preserve">Average monthly revenue per customer (£)</t>
  </si>
  <si>
    <t xml:space="preserve">Gross margin % (from your model)</t>
  </si>
  <si>
    <t xml:space="preserve">Average monthly gross profit per customer (£)</t>
  </si>
  <si>
    <t xml:space="preserve">CALCULATED: Payback Period</t>
  </si>
  <si>
    <t xml:space="preserve">Calculated Value</t>
  </si>
  <si>
    <t xml:space="preserve">Investor Benchmark</t>
  </si>
  <si>
    <t xml:space="preserve">Blended CAC (£)</t>
  </si>
  <si>
    <t xml:space="preserve">&lt; 12 months = excellent</t>
  </si>
  <si>
    <t xml:space="preserve">CAC Payback (months, revenue basis)</t>
  </si>
  <si>
    <t xml:space="preserve">&lt; 18 months = strong (use this)</t>
  </si>
  <si>
    <t xml:space="preserve">CAC Payback (months, GROSS PROFIT basis — use this one)</t>
  </si>
  <si>
    <t xml:space="preserve">Implied LTV at current churn (if churn rate available)</t>
  </si>
  <si>
    <t xml:space="preserve">Formula uses 1.5% default churn — update</t>
  </si>
  <si>
    <t xml:space="preserve">LTV:CAC Ratio</t>
  </si>
  <si>
    <t xml:space="preserve">&gt; 3x good, &gt; 5x excellent</t>
  </si>
  <si>
    <t xml:space="preserve">Exercise 055 — Unit Economics Summary Dashboard</t>
  </si>
  <si>
    <t xml:space="preserve">Consolidate all unit economics metrics in one view. This is the investor-facing summary tab for your model.</t>
  </si>
  <si>
    <t xml:space="preserve">INPUTS: Fill in your current metrics (blue cells)</t>
  </si>
  <si>
    <t xml:space="preserve">Benchmark Range</t>
  </si>
  <si>
    <t xml:space="preserve">Signal</t>
  </si>
  <si>
    <t xml:space="preserve">Source Note</t>
  </si>
  <si>
    <t xml:space="preserve">CAC — fully loaded (£)</t>
  </si>
  <si>
    <t xml:space="preserve">&lt; £500 seed/&lt; £2k Series A</t>
  </si>
  <si>
    <t xml:space="preserve">Include all S&amp;M spend, not just ad spend</t>
  </si>
  <si>
    <t xml:space="preserve">Average Monthly Revenue per Customer (£)</t>
  </si>
  <si>
    <t xml:space="preserve">£100-£500/mo</t>
  </si>
  <si>
    <t xml:space="preserve">ARPU from your revenue model</t>
  </si>
  <si>
    <t xml:space="preserve">Gross Margin %</t>
  </si>
  <si>
    <t xml:space="preserve">&gt; 60% SaaS / &gt; 40% mktplace</t>
  </si>
  <si>
    <t xml:space="preserve">From your COGS model — correct classification</t>
  </si>
  <si>
    <t xml:space="preserve">Monthly Logo Churn Rate %</t>
  </si>
  <si>
    <t xml:space="preserve">&lt; 1.5% world class / &lt; 3% OK</t>
  </si>
  <si>
    <t xml:space="preserve">Customers churned / customers at start of month</t>
  </si>
  <si>
    <t xml:space="preserve">Monthly Revenue Churn Rate %</t>
  </si>
  <si>
    <t xml:space="preserve">&lt; 1% strong / &lt; 2% acceptable</t>
  </si>
  <si>
    <t xml:space="preserve">MRR churned / MRR at start of month</t>
  </si>
  <si>
    <t xml:space="preserve">NRR (trailing 12 months) %</t>
  </si>
  <si>
    <t xml:space="preserve">&gt; 120% top decile / &gt; 100% OK</t>
  </si>
  <si>
    <t xml:space="preserve">Net revenue retained including expansion</t>
  </si>
  <si>
    <t xml:space="preserve">Average Sales Cycle (days)</t>
  </si>
  <si>
    <t xml:space="preserve">&lt; 30 days B2B SMB / &lt; 90 days enterprise</t>
  </si>
  <si>
    <t xml:space="preserve">From first qualified meeting to signed contract</t>
  </si>
  <si>
    <t xml:space="preserve">Average Contract Value (£)</t>
  </si>
  <si>
    <t xml:space="preserve">&gt; £10k seed / &gt; £25k Series A</t>
  </si>
  <si>
    <t xml:space="preserve">ACV for annualised contracts</t>
  </si>
  <si>
    <t xml:space="preserve">DERIVED: Key Ratios</t>
  </si>
  <si>
    <t xml:space="preserve">Calculated</t>
  </si>
  <si>
    <t xml:space="preserve">Format</t>
  </si>
  <si>
    <t xml:space="preserve">Interpretation</t>
  </si>
  <si>
    <t xml:space="preserve">CAC Payback Period (months, gross profit basis)</t>
  </si>
  <si>
    <t xml:space="preserve">&lt; 12 months = excellent / &lt; 18 months = strong</t>
  </si>
  <si>
    <t xml:space="preserve">LTV (gross profit basis)</t>
  </si>
  <si>
    <t xml:space="preserve">LTV = (ARPU x Gross Margin) / Monthly Churn</t>
  </si>
  <si>
    <t xml:space="preserve">&gt; 3x good / &gt; 5x excellent for Series A</t>
  </si>
  <si>
    <t xml:space="preserve">Months to 3x LTV:CAC at current trajectory</t>
  </si>
  <si>
    <t xml:space="preserve">How long until each customer generates 3x their acquisition cost</t>
  </si>
  <si>
    <t xml:space="preserve">Exercise 056 — Exit Readiness Assessment</t>
  </si>
  <si>
    <t xml:space="preserve">Score your business across the six dimensions acquirers and IPO underwriters evaluate first. Identify where gaps will create discount or deal risk.</t>
  </si>
  <si>
    <t xml:space="preserve">SCORING: Rate each dimension 1 (weak) to 5 (strong)</t>
  </si>
  <si>
    <t xml:space="preserve">Dimension</t>
  </si>
  <si>
    <t xml:space="preserve">Your Score
(1-5)</t>
  </si>
  <si>
    <t xml:space="preserve">Weighting</t>
  </si>
  <si>
    <t xml:space="preserve">Weighted
Score</t>
  </si>
  <si>
    <t xml:space="preserve">Benchmark
Score</t>
  </si>
  <si>
    <t xml:space="preserve">What a 5 looks like</t>
  </si>
  <si>
    <t xml:space="preserve">Your Gap / Action</t>
  </si>
  <si>
    <t xml:space="preserve">Priority</t>
  </si>
  <si>
    <t xml:space="preserve">Revenue Quality (recurring %, growth rate, predictability)</t>
  </si>
  <si>
    <t xml:space="preserve">90%+ ARR, &gt;40% growth, low churn, contracted</t>
  </si>
  <si>
    <t xml:space="preserve">Write your gap and action here</t>
  </si>
  <si>
    <t xml:space="preserve">High/Med/Low</t>
  </si>
  <si>
    <t xml:space="preserve">Gross Margin vs. Sector Benchmark</t>
  </si>
  <si>
    <t xml:space="preserve">At or above sector median, expanding trajectory</t>
  </si>
  <si>
    <t xml:space="preserve">Customer Concentration (top 5 customers as % of ARR)</t>
  </si>
  <si>
    <t xml:space="preserve">No customer &gt; 10% of ARR</t>
  </si>
  <si>
    <t xml:space="preserve">Management Team Completeness and Depth</t>
  </si>
  <si>
    <t xml:space="preserve">CEO, CFO, CTO, CMO all strong and retained</t>
  </si>
  <si>
    <t xml:space="preserve">IP, Defensibility, and Competitive Moat</t>
  </si>
  <si>
    <t xml:space="preserve">Patents, proprietary data, network effects, or switching costs</t>
  </si>
  <si>
    <t xml:space="preserve">Financial Reporting Quality and Audit History</t>
  </si>
  <si>
    <t xml:space="preserve">Audited financials for 2+ years, clean books, ERP in place</t>
  </si>
  <si>
    <t xml:space="preserve">TOTAL WEIGHTED SCORE (max 5.0)</t>
  </si>
  <si>
    <t xml:space="preserve">Scores below 3.0 on any individual dimension will create material M&amp;A discount or deal risk. Fix the lowest scores before running a process.</t>
  </si>
  <si>
    <t xml:space="preserve">Exercise 057 — Comparable Company Analysis</t>
  </si>
  <si>
    <t xml:space="preserve">Build a comps table with 5-8 comparable companies. Derive your implied valuation range. This table anchors every valuation conversation.</t>
  </si>
  <si>
    <t xml:space="preserve">COMP TABLE: Enter comparable company data (blue = your inputs)</t>
  </si>
  <si>
    <t xml:space="preserve">Company</t>
  </si>
  <si>
    <t xml:space="preserve">Revenue
(£M, TTM)</t>
  </si>
  <si>
    <t xml:space="preserve">ARR
(£M)</t>
  </si>
  <si>
    <t xml:space="preserve">ARR Growth
%</t>
  </si>
  <si>
    <t xml:space="preserve">Gross
Margin %</t>
  </si>
  <si>
    <t xml:space="preserve">NRR %</t>
  </si>
  <si>
    <t xml:space="preserve">EV
(£M)</t>
  </si>
  <si>
    <t xml:space="preserve">EV/ARR
Multiple</t>
  </si>
  <si>
    <t xml:space="preserve">EV/Rev
Multiple</t>
  </si>
  <si>
    <t xml:space="preserve">Comparable 1</t>
  </si>
  <si>
    <t xml:space="preserve">Comparable 2</t>
  </si>
  <si>
    <t xml:space="preserve">Comparable 3</t>
  </si>
  <si>
    <t xml:space="preserve">Comparable 4</t>
  </si>
  <si>
    <t xml:space="preserve">Comparable 5</t>
  </si>
  <si>
    <t xml:space="preserve">Comparable 6</t>
  </si>
  <si>
    <t xml:space="preserve">Comparable 7</t>
  </si>
  <si>
    <t xml:space="preserve">Comparable 8</t>
  </si>
  <si>
    <t xml:space="preserve">MEDIAN</t>
  </si>
  <si>
    <t xml:space="preserve">YOUR COMPANY: Implied Valuation Range</t>
  </si>
  <si>
    <t xml:space="preserve">Your Number</t>
  </si>
  <si>
    <t xml:space="preserve">Median Multiple</t>
  </si>
  <si>
    <t xml:space="preserve">Low Multiple
(-30%)</t>
  </si>
  <si>
    <t xml:space="preserve">High Multiple
(+30%)</t>
  </si>
  <si>
    <t xml:space="preserve">Implied EV Low</t>
  </si>
  <si>
    <t xml:space="preserve">Implied EV Mid</t>
  </si>
  <si>
    <t xml:space="preserve">Implied EV High</t>
  </si>
  <si>
    <t xml:space="preserve">Your ARR (£M)</t>
  </si>
  <si>
    <t xml:space="preserve">Your Revenue (£M)</t>
  </si>
  <si>
    <t xml:space="preserve">Exercise 058 — M&amp;A Valuation: Three Methods</t>
  </si>
  <si>
    <t xml:space="preserve">Calculate your valuation using trading comps, precedent transactions, and a simplified DCF. Triangulate to a range. Understand the gap.</t>
  </si>
  <si>
    <t xml:space="preserve">METHOD 1: Trading Comps (pull from 057 or enter directly)</t>
  </si>
  <si>
    <t xml:space="preserve">Input</t>
  </si>
  <si>
    <t xml:space="preserve">Value</t>
  </si>
  <si>
    <t xml:space="preserve">Note</t>
  </si>
  <si>
    <t xml:space="preserve">From your revenue model</t>
  </si>
  <si>
    <t xml:space="preserve">Median EV/ARR multiple (from comps)</t>
  </si>
  <si>
    <t xml:space="preserve">From 057 Comp Table or market data</t>
  </si>
  <si>
    <t xml:space="preserve">Premium/discount vs. median (%)</t>
  </si>
  <si>
    <t xml:space="preserve">Your growth vs. median: faster = premium</t>
  </si>
  <si>
    <t xml:space="preserve">Implied EV — Trading Comps (£M)</t>
  </si>
  <si>
    <t xml:space="preserve">£#,##0.0</t>
  </si>
  <si>
    <t xml:space="preserve">METHOD 2: Precedent Transactions</t>
  </si>
  <si>
    <t xml:space="preserve">Median EV/ARR from comparable M&amp;A deals</t>
  </si>
  <si>
    <t xml:space="preserve">Typically 20-40% premium to trading comps</t>
  </si>
  <si>
    <t xml:space="preserve">Control premium % (typical 20-30%)</t>
  </si>
  <si>
    <t xml:space="preserve">Strategic acquirer premium</t>
  </si>
  <si>
    <t xml:space="preserve">Implied EV — Precedent Transactions (£M)</t>
  </si>
  <si>
    <t xml:space="preserve">METHOD 3: Simplified DCF</t>
  </si>
  <si>
    <t xml:space="preserve">Year</t>
  </si>
  <si>
    <t xml:space="preserve">Revenue (£M)</t>
  </si>
  <si>
    <t xml:space="preserve">Growth %</t>
  </si>
  <si>
    <t xml:space="preserve">FCF Margin %</t>
  </si>
  <si>
    <t xml:space="preserve">Free Cash Flow (£M)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</si>
  <si>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</si>
  <si>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</si>
  <si>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</si>
  <si>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</si>
  <si>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</si>
  <si>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DCF Input</t>
  </si>
  <si>
    <t xml:space="preserve">Discount Rate (WACC) %</t>
  </si>
  <si>
    <t xml:space="preserve">Terminal Growth Rate %</t>
  </si>
  <si>
    <t xml:space="preserve">Terminal Value (£M)</t>
  </si>
  <si>
    <t xml:space="preserve">NPV of FCFs (£M)</t>
  </si>
  <si>
    <t xml:space="preserve">PV of Terminal Value (£M)</t>
  </si>
  <si>
    <t xml:space="preserve">Enterprise Value — DCF (£M)</t>
  </si>
  <si>
    <t xml:space="preserve">VALUATION TRIANGULATION</t>
  </si>
  <si>
    <t xml:space="preserve">Method</t>
  </si>
  <si>
    <t xml:space="preserve">Implied EV (£M)</t>
  </si>
  <si>
    <t xml:space="preserve">Weight</t>
  </si>
  <si>
    <t xml:space="preserve">Weighted EV (£M)</t>
  </si>
  <si>
    <t xml:space="preserve">Trading Comps</t>
  </si>
  <si>
    <t xml:space="preserve">Precedent Transactions</t>
  </si>
  <si>
    <t xml:space="preserve">DCF</t>
  </si>
  <si>
    <t xml:space="preserve">BLENDED VALUATION (£M)</t>
  </si>
  <si>
    <t xml:space="preserve">Exercise 059 — Letter of Intent Term Comparison</t>
  </si>
  <si>
    <t xml:space="preserve">Compare up to three LOIs or term sheets side by side. Score each on the terms that matter most to founders.</t>
  </si>
  <si>
    <t xml:space="preserve">TERM COMPARISON: Enter each bidder's terms in yellow cells</t>
  </si>
  <si>
    <t xml:space="preserve">Term</t>
  </si>
  <si>
    <t xml:space="preserve">Bidder 1</t>
  </si>
  <si>
    <t xml:space="preserve">Bidder 2</t>
  </si>
  <si>
    <t xml:space="preserve">Bidder 3</t>
  </si>
  <si>
    <t xml:space="preserve">Bidder 1
Score</t>
  </si>
  <si>
    <t xml:space="preserve">Bidder 2
Score</t>
  </si>
  <si>
    <t xml:space="preserve">Bidder 3
Score</t>
  </si>
  <si>
    <t xml:space="preserve">Enterprise Value / Headline Price (£M)</t>
  </si>
  <si>
    <t xml:space="preserve">Cash at Closing %</t>
  </si>
  <si>
    <t xml:space="preserve">Earnout — amount (£M)</t>
  </si>
  <si>
    <t xml:space="preserve">Earnout — period (months)</t>
  </si>
  <si>
    <t xml:space="preserve">Retention / Escrow holdback %</t>
  </si>
  <si>
    <t xml:space="preserve">Exclusivity Period (days)</t>
  </si>
  <si>
    <t xml:space="preserve">Management Retention Required (months)</t>
  </si>
  <si>
    <t xml:space="preserve">Break fee (£M)</t>
  </si>
  <si>
    <t xml:space="preserve">Representations &amp; Warranties Insurance?</t>
  </si>
  <si>
    <t xml:space="preserve">SCORING SUMMARY (weight each bidder's scores 1-5)</t>
  </si>
  <si>
    <t xml:space="preserve">Weighted Score</t>
  </si>
  <si>
    <t xml:space="preserve">Headline EV Rank</t>
  </si>
  <si>
    <t xml:space="preserve">The highest EV is not always the best deal. Escrow holdbacks, earnouts, and retention requirements significantly affect net proceeds to founders.</t>
  </si>
  <si>
    <t xml:space="preserve">Exercise 060 — Exit Dilution Waterfall</t>
  </si>
  <si>
    <t xml:space="preserve">Model how exit proceeds distribute across shareholders at three exit values. Know exactly what each class of share receives before signing.</t>
  </si>
  <si>
    <t xml:space="preserve">CAPITAL STRUCTURE INPUTS</t>
  </si>
  <si>
    <t xml:space="preserve">Units</t>
  </si>
  <si>
    <t xml:space="preserve">Common Shares — Founders</t>
  </si>
  <si>
    <t xml:space="preserve">shares</t>
  </si>
  <si>
    <t xml:space="preserve">Common Shares — ESOP / Options</t>
  </si>
  <si>
    <t xml:space="preserve">Preference Shares — Seed (£ invested)</t>
  </si>
  <si>
    <t xml:space="preserve">£</t>
  </si>
  <si>
    <t xml:space="preserve">Preference Shares — Series A (£ invested)</t>
  </si>
  <si>
    <t xml:space="preserve">Liquidation Preference Multiplier — Seed</t>
  </si>
  <si>
    <t xml:space="preserve">x</t>
  </si>
  <si>
    <t xml:space="preserve">Liquidation Preference Multiplier — Series A</t>
  </si>
  <si>
    <t xml:space="preserve">Is preference participating? (1=yes, 0=no)</t>
  </si>
  <si>
    <t xml:space="preserve">flag</t>
  </si>
  <si>
    <t xml:space="preserve">Participation Cap (x) — 0 = uncapped</t>
  </si>
  <si>
    <t xml:space="preserve">WATERFALL: Proceeds at Three Exit Values</t>
  </si>
  <si>
    <t xml:space="preserve">Shareholder Class</t>
  </si>
  <si>
    <t xml:space="preserve">Exit: 1x (£M)</t>
  </si>
  <si>
    <t xml:space="preserve">Exit: 3x (£M)</t>
  </si>
  <si>
    <t xml:space="preserve">Exit: 10x (£M)</t>
  </si>
  <si>
    <t xml:space="preserve">% at 1x</t>
  </si>
  <si>
    <t xml:space="preserve">% at 3x</t>
  </si>
  <si>
    <t xml:space="preserve">% at 10x</t>
  </si>
  <si>
    <t xml:space="preserve">ENTER EXIT VALUES (£M) HERE:</t>
  </si>
  <si>
    <t xml:space="preserve">Seed Preference (non-participating)</t>
  </si>
  <si>
    <t xml:space="preserve">Series A Preference (non-participating)</t>
  </si>
  <si>
    <t xml:space="preserve">Remaining to Common</t>
  </si>
  <si>
    <t xml:space="preserve">Founders (from Common)</t>
  </si>
  <si>
    <t xml:space="preserve">ESOP / Options (from Common)</t>
  </si>
  <si>
    <t xml:space="preserve">TOTAL (check sum)</t>
  </si>
  <si>
    <t xml:space="preserve">This is a simplified waterfall. For complex cap tables with multiple rounds, anti-dilution provisions, or participating preferred with caps, use a lawyer's model.</t>
  </si>
  <si>
    <t xml:space="preserve">Exercise 061 — Exit Scenario Modelling</t>
  </si>
  <si>
    <t xml:space="preserve">Model three exit paths: strategic acquirer, financial buyer, and IPO. Understand what conditions each requires and what it means for founder proceeds.</t>
  </si>
  <si>
    <t xml:space="preserve">EXIT ASSUMPTIONS: Enter your scenario assumptions (yellow)</t>
  </si>
  <si>
    <t xml:space="preserve">Assumption</t>
  </si>
  <si>
    <t xml:space="preserve">Strategic Acquirer</t>
  </si>
  <si>
    <t xml:space="preserve">Financial Buyer (PE)</t>
  </si>
  <si>
    <t xml:space="preserve">IPO</t>
  </si>
  <si>
    <t xml:space="preserve">Notes</t>
  </si>
  <si>
    <t xml:space="preserve">Assumed exit year</t>
  </si>
  <si>
    <t xml:space="preserve">Enter as text — this is for reference only</t>
  </si>
  <si>
    <t xml:space="preserve">Revenue at exit (£M)</t>
  </si>
  <si>
    <t xml:space="preserve">From your financial model forward projection</t>
  </si>
  <si>
    <t xml:space="preserve">ARR at exit (£M, if SaaS)</t>
  </si>
  <si>
    <t xml:space="preserve">Recurring revenue base</t>
  </si>
  <si>
    <t xml:space="preserve">Assumed EV/ARR multiple</t>
  </si>
  <si>
    <t xml:space="preserve">Strategic: 8-15x / PE: 5-10x / IPO: 10-20x at current market</t>
  </si>
  <si>
    <t xml:space="preserve">Implied Enterprise Value (£M)</t>
  </si>
  <si>
    <t xml:space="preserve">Net Debt at Exit (£M)</t>
  </si>
  <si>
    <t xml:space="preserve">Venture debt outstanding at exit</t>
  </si>
  <si>
    <t xml:space="preserve">Equity Value (£M)</t>
  </si>
  <si>
    <t xml:space="preserve">EV minus net debt</t>
  </si>
  <si>
    <t xml:space="preserve">Founder Diluted Ownership at Exit %</t>
  </si>
  <si>
    <t xml:space="preserve">From your cap table model — critical input</t>
  </si>
  <si>
    <t xml:space="preserve">Founder Gross Proceeds (£M)</t>
  </si>
  <si>
    <t xml:space="preserve">Before tax, before escrow / lockup</t>
  </si>
  <si>
    <t xml:space="preserve">Escrow / Holdback %</t>
  </si>
  <si>
    <t xml:space="preserve">Typical 10-15% held for 12-18 months</t>
  </si>
  <si>
    <t xml:space="preserve">Founder Net Proceeds at Closing (£M)</t>
  </si>
  <si>
    <t xml:space="preserve">What you actually receive on day 1</t>
  </si>
  <si>
    <t xml:space="preserve">Exercise 062 — EBITDA Normalisation</t>
  </si>
  <si>
    <t xml:space="preserve">Calculate Adjusted EBITDA by identifying and adding back non-recurring and non-cash items. This is the number acquirers use to set price.</t>
  </si>
  <si>
    <t xml:space="preserve">REPORTED P&amp;L (from your accounts)</t>
  </si>
  <si>
    <t xml:space="preserve">Line Item</t>
  </si>
  <si>
    <t xml:space="preserve">Year 1 (£)</t>
  </si>
  <si>
    <t xml:space="preserve">Year 2 (£)</t>
  </si>
  <si>
    <t xml:space="preserve">YoY Change</t>
  </si>
  <si>
    <t xml:space="preserve">Revenue</t>
  </si>
  <si>
    <t xml:space="preserve">COGS</t>
  </si>
  <si>
    <t xml:space="preserve">Gross Profit</t>
  </si>
  <si>
    <t xml:space="preserve">R&amp;D</t>
  </si>
  <si>
    <t xml:space="preserve">Sales &amp; Marketing</t>
  </si>
  <si>
    <t xml:space="preserve">General &amp; Administrative</t>
  </si>
  <si>
    <t xml:space="preserve">EBITDA (Reported)</t>
  </si>
  <si>
    <t xml:space="preserve">ADD-BACKS: Non-recurring and non-cash items</t>
  </si>
  <si>
    <t xml:space="preserve">Add-back Item</t>
  </si>
  <si>
    <t xml:space="preserve">Recurring?</t>
  </si>
  <si>
    <t xml:space="preserve">Justification</t>
  </si>
  <si>
    <t xml:space="preserve">Founder salary above market rate</t>
  </si>
  <si>
    <t xml:space="preserve">One-time</t>
  </si>
  <si>
    <t xml:space="preserve">Add justification here</t>
  </si>
  <si>
    <t xml:space="preserve">One-time legal / restructuring costs</t>
  </si>
  <si>
    <t xml:space="preserve">Non-cash stock-based compensation</t>
  </si>
  <si>
    <t xml:space="preserve">One-time marketing / brand spend</t>
  </si>
  <si>
    <t xml:space="preserve">Depreciation &amp; amortisation</t>
  </si>
  <si>
    <t xml:space="preserve">Other non-recurring item 1</t>
  </si>
  <si>
    <t xml:space="preserve">Other non-recurring item 2</t>
  </si>
  <si>
    <t xml:space="preserve">Total Add-backs (£)</t>
  </si>
  <si>
    <t xml:space="preserve">ADJUSTED EBITDA (£)</t>
  </si>
  <si>
    <t xml:space="preserve">Exercise 063 — Revenue Quality Analysis</t>
  </si>
  <si>
    <t xml:space="preserve">Classify your revenue by type, predictability, and customer concentration. High-quality revenue earns premium M&amp;A multiples.</t>
  </si>
  <si>
    <t xml:space="preserve">REVENUE BREAKDOWN BY TYPE (£ and %)</t>
  </si>
  <si>
    <t xml:space="preserve">Revenue Type</t>
  </si>
  <si>
    <t xml:space="preserve">Year 3 (£)</t>
  </si>
  <si>
    <t xml:space="preserve">% of Total Y3</t>
  </si>
  <si>
    <t xml:space="preserve">Quality Score (1-5)</t>
  </si>
  <si>
    <t xml:space="preserve">Acquirer Weighting</t>
  </si>
  <si>
    <t xml:space="preserve">Annual recurring (contracted ARR)</t>
  </si>
  <si>
    <t xml:space="preserve">Highest — counts 100% in EV/ARR</t>
  </si>
  <si>
    <t xml:space="preserve">Monthly recurring (MRR, no contract)</t>
  </si>
  <si>
    <t xml:space="preserve">High — some discount for churn risk</t>
  </si>
  <si>
    <t xml:space="preserve">Usage / consumption (variable)</t>
  </si>
  <si>
    <t xml:space="preserve">Medium — predictability discount</t>
  </si>
  <si>
    <t xml:space="preserve">One-time implementation fees</t>
  </si>
  <si>
    <t xml:space="preserve">Low — excluded from recurring multiple</t>
  </si>
  <si>
    <t xml:space="preserve">Professional services</t>
  </si>
  <si>
    <t xml:space="preserve">Low — often excluded or low multiple</t>
  </si>
  <si>
    <t xml:space="preserve">One-time licence fees</t>
  </si>
  <si>
    <t xml:space="preserve">Lowest — no recurring credit</t>
  </si>
  <si>
    <t xml:space="preserve">TOTAL REVENUE (£)</t>
  </si>
  <si>
    <t xml:space="preserve">CUSTOMER CONCENTRATION</t>
  </si>
  <si>
    <t xml:space="preserve">Customer</t>
  </si>
  <si>
    <t xml:space="preserve">ARR (£)</t>
  </si>
  <si>
    <t xml:space="preserve">% of Total ARR</t>
  </si>
  <si>
    <t xml:space="preserve">Risk Flag</t>
  </si>
  <si>
    <t xml:space="preserve">Customer 1</t>
  </si>
  <si>
    <t xml:space="preserve">Customer 2</t>
  </si>
  <si>
    <t xml:space="preserve">Customer 3</t>
  </si>
  <si>
    <t xml:space="preserve">Customer 4</t>
  </si>
  <si>
    <t xml:space="preserve">Customer 5</t>
  </si>
  <si>
    <t xml:space="preserve">Customer 6</t>
  </si>
  <si>
    <t xml:space="preserve">Customer 7</t>
  </si>
  <si>
    <t xml:space="preserve">Customer 8</t>
  </si>
  <si>
    <t xml:space="preserve">Customer 9</t>
  </si>
  <si>
    <t xml:space="preserve">Customer 10</t>
  </si>
  <si>
    <t xml:space="preserve">Exercise 064 — M&amp;A Data Room Checklist</t>
  </si>
  <si>
    <t xml:space="preserve">Track readiness across all eight due diligence categories. Gaps identified here cost you time and credibility in a live process.</t>
  </si>
  <si>
    <t xml:space="preserve">Document / Item</t>
  </si>
  <si>
    <t xml:space="preserve">Owner</t>
  </si>
  <si>
    <t xml:space="preserve">Due Date</t>
  </si>
  <si>
    <t xml:space="preserve">Risk if Missing</t>
  </si>
  <si>
    <t xml:space="preserve">LEGAL &amp; CORPORATE</t>
  </si>
  <si>
    <t xml:space="preserve">Certificate of incorporation and constitutional documents</t>
  </si>
  <si>
    <t xml:space="preserve">High</t>
  </si>
  <si>
    <t xml:space="preserve">Shareholder register (fully diluted cap table)</t>
  </si>
  <si>
    <t xml:space="preserve">All shareholder agreements</t>
  </si>
  <si>
    <t xml:space="preserve">Board minutes (last 3 years)</t>
  </si>
  <si>
    <t xml:space="preserve">Material contracts and customer agreements</t>
  </si>
  <si>
    <t xml:space="preserve">IP assignment agreements — all founders and employees</t>
  </si>
  <si>
    <t xml:space="preserve">Data processing agreements (GDPR)</t>
  </si>
  <si>
    <t xml:space="preserve">FINANCIAL</t>
  </si>
  <si>
    <t xml:space="preserve">Audited accounts (last 2-3 years)</t>
  </si>
  <si>
    <t xml:space="preserve">Management accounts (last 12 months)</t>
  </si>
  <si>
    <t xml:space="preserve">Financial model with actuals vs. plan</t>
  </si>
  <si>
    <t xml:space="preserve">Revenue breakdown by customer and product</t>
  </si>
  <si>
    <t xml:space="preserve">ARR / MRR schedule with cohort data</t>
  </si>
  <si>
    <t xml:space="preserve">Bank statements (last 12 months)</t>
  </si>
  <si>
    <t xml:space="preserve">Debt schedule and covenant compliance</t>
  </si>
  <si>
    <t xml:space="preserve">COMMERCIAL</t>
  </si>
  <si>
    <t xml:space="preserve">Top 10 customer contracts</t>
  </si>
  <si>
    <t xml:space="preserve">Pipeline and forecast (CRM export)</t>
  </si>
  <si>
    <t xml:space="preserve">Win/loss analysis</t>
  </si>
  <si>
    <t xml:space="preserve">Pricing history and rationale</t>
  </si>
  <si>
    <t xml:space="preserve">Partnership and channel agreements</t>
  </si>
  <si>
    <t xml:space="preserve">PEOPLE &amp; CULTURE</t>
  </si>
  <si>
    <t xml:space="preserve">Organisation chart</t>
  </si>
  <si>
    <t xml:space="preserve">Employment contracts — all key hires</t>
  </si>
  <si>
    <t xml:space="preserve">Option pool — all grants, vesting schedules</t>
  </si>
  <si>
    <t xml:space="preserve">Compensation benchmarking data</t>
  </si>
  <si>
    <t xml:space="preserve">Key person dependencies analysis</t>
  </si>
  <si>
    <t xml:space="preserve">TECHNOLOGY &amp; IP</t>
  </si>
  <si>
    <t xml:space="preserve">Technical architecture overview</t>
  </si>
  <si>
    <t xml:space="preserve">IP ownership documentation</t>
  </si>
  <si>
    <t xml:space="preserve">Open source licence audit</t>
  </si>
  <si>
    <t xml:space="preserve">Security audit / penetration test results</t>
  </si>
  <si>
    <t xml:space="preserve">System uptime and incident history</t>
  </si>
  <si>
    <t xml:space="preserve">FINANCIAL MODEL</t>
  </si>
  <si>
    <t xml:space="preserve">Three-year financial model with assumptions tab</t>
  </si>
  <si>
    <t xml:space="preserve">Unit economics by cohort and channel</t>
  </si>
  <si>
    <t xml:space="preserve">Scenario analysis (base, conservative, aggressive)</t>
  </si>
  <si>
    <t xml:space="preserve">Post-acquisition synergy model (if requested)</t>
  </si>
  <si>
    <t xml:space="preserve">Exercise 065 — Earnout Modelling</t>
  </si>
  <si>
    <t xml:space="preserve">Model your earnout payments under three revenue scenarios. Understand the expected value and the conditions under which you receive nothing.</t>
  </si>
  <si>
    <t xml:space="preserve">EARNOUT STRUCTURE INPUTS</t>
  </si>
  <si>
    <t xml:space="preserve">Parameter</t>
  </si>
  <si>
    <t xml:space="preserve">Total earnout amount (£M)</t>
  </si>
  <si>
    <t xml:space="preserve">Total additional consideration at target</t>
  </si>
  <si>
    <t xml:space="preserve">Earnout period (years)</t>
  </si>
  <si>
    <t xml:space="preserve">Typically 2-3 years post-close</t>
  </si>
  <si>
    <t xml:space="preserve">Payment trigger: minimum threshold (£M ARR)</t>
  </si>
  <si>
    <t xml:space="preserve">Below this = £0 payout</t>
  </si>
  <si>
    <t xml:space="preserve">Payment trigger: full payout target (£M ARR)</t>
  </si>
  <si>
    <t xml:space="preserve">At or above this = full earnout</t>
  </si>
  <si>
    <t xml:space="preserve">Linear payout between threshold and target? (1=yes)</t>
  </si>
  <si>
    <t xml:space="preserve">1 = linear, 0 = binary</t>
  </si>
  <si>
    <t xml:space="preserve">Discount rate for PV calculation %</t>
  </si>
  <si>
    <t xml:space="preserve">Risk-adjusted rate — typically 20-30% for earnouts</t>
  </si>
  <si>
    <t xml:space="preserve">SCENARIO ANALYSIS: ARR and Earnout Outcome</t>
  </si>
  <si>
    <t xml:space="preserve">Scenario</t>
  </si>
  <si>
    <t xml:space="preserve">ARR at End
of Period (£M)</t>
  </si>
  <si>
    <t xml:space="preserve">Above
Threshold?</t>
  </si>
  <si>
    <t xml:space="preserve">Earnout
Paid (£M)</t>
  </si>
  <si>
    <t xml:space="preserve">PV of Earnout
(£M)</t>
  </si>
  <si>
    <t xml:space="preserve">% of Total
Earnout</t>
  </si>
  <si>
    <t xml:space="preserve">Comment</t>
  </si>
  <si>
    <t xml:space="preserve">Conservative — miss target</t>
  </si>
  <si>
    <t xml:space="preserve">Add notes</t>
  </si>
  <si>
    <t xml:space="preserve">Base case — at target</t>
  </si>
  <si>
    <t xml:space="preserve">Aggressive — exceed target</t>
  </si>
  <si>
    <t xml:space="preserve">Worst case — miss threshold</t>
  </si>
  <si>
    <t xml:space="preserve">Exercise 066 — SQL KPI Tracker</t>
  </si>
  <si>
    <t xml:space="preserve">Document the SQL query that produces each KPI, the system it runs against, the update frequency, and the owner. Make every metric auditable.</t>
  </si>
  <si>
    <t xml:space="preserve">KPI QUERY LIBRARY: Document every key metric query</t>
  </si>
  <si>
    <t xml:space="preserve">KPI Name</t>
  </si>
  <si>
    <t xml:space="preserve">Database / System</t>
  </si>
  <si>
    <t xml:space="preserve">Query Description / Logic</t>
  </si>
  <si>
    <t xml:space="preserve">Update Frequency</t>
  </si>
  <si>
    <t xml:space="preserve">Last Validated</t>
  </si>
  <si>
    <t xml:space="preserve">Current Value</t>
  </si>
  <si>
    <t xml:space="preserve">MRR</t>
  </si>
  <si>
    <t xml:space="preserve">Stripe / Billing DB</t>
  </si>
  <si>
    <t xml:space="preserve">SELECT SUM(amount) FROM subscriptions WHERE status='active' AND billing_period='monthly'</t>
  </si>
  <si>
    <t xml:space="preserve">Daily</t>
  </si>
  <si>
    <t xml:space="preserve">Add currency conversion if multi-currency</t>
  </si>
  <si>
    <t xml:space="preserve">ARR</t>
  </si>
  <si>
    <t xml:space="preserve">Billing DB</t>
  </si>
  <si>
    <t xml:space="preserve">SELECT SUM(amount*12) FROM subscriptions WHERE status='active' AND billing_period='monthly'</t>
  </si>
  <si>
    <t xml:space="preserve">Annualised MRR</t>
  </si>
  <si>
    <t xml:space="preserve">MRR Churn</t>
  </si>
  <si>
    <t xml:space="preserve">SELECT SUM(amount) FROM subscriptions WHERE cancelled_at BETWEEN [period_start] AND [period_end]</t>
  </si>
  <si>
    <t xml:space="preserve">Monthly</t>
  </si>
  <si>
    <t xml:space="preserve">Gross revenue churn only</t>
  </si>
  <si>
    <t xml:space="preserve">New MRR</t>
  </si>
  <si>
    <t xml:space="preserve">SELECT SUM(amount) FROM subscriptions WHERE created_at BETWEEN [period_start] AND [period_end]</t>
  </si>
  <si>
    <t xml:space="preserve">Expansion MRR</t>
  </si>
  <si>
    <t xml:space="preserve">Compare previous vs current subscription amounts for existing customers</t>
  </si>
  <si>
    <t xml:space="preserve">CAC by Channel</t>
  </si>
  <si>
    <t xml:space="preserve">CRM + Billing</t>
  </si>
  <si>
    <t xml:space="preserve">JOIN spend table with attribution table, GROUP BY channel, divide by new customers</t>
  </si>
  <si>
    <t xml:space="preserve">Requires attribution model</t>
  </si>
  <si>
    <t xml:space="preserve">Average Contract Value</t>
  </si>
  <si>
    <t xml:space="preserve">CRM</t>
  </si>
  <si>
    <t xml:space="preserve">SELECT AVG(contract_value) FROM deals WHERE stage='closed_won' AND close_date &gt; [date]</t>
  </si>
  <si>
    <t xml:space="preserve">NPS Score</t>
  </si>
  <si>
    <t xml:space="preserve">Survey Tool</t>
  </si>
  <si>
    <t xml:space="preserve">SELECT AVG(score) FROM nps_responses WHERE created_at &gt; [date]</t>
  </si>
  <si>
    <t xml:space="preserve">Daily Active Users</t>
  </si>
  <si>
    <t xml:space="preserve">Product DB</t>
  </si>
  <si>
    <t xml:space="preserve">SELECT COUNT(DISTINCT user_id) FROM events WHERE event_date = CURRENT_DATE</t>
  </si>
  <si>
    <t xml:space="preserve">Trial to Paid Conversion %</t>
  </si>
  <si>
    <t xml:space="preserve">Product + Billing</t>
  </si>
  <si>
    <t xml:space="preserve">COUNT(paid conversions) / COUNT(trial starts) for same cohort period</t>
  </si>
  <si>
    <t xml:space="preserve">Use cohort start date</t>
  </si>
  <si>
    <t xml:space="preserve">Support Ticket Resolution Time</t>
  </si>
  <si>
    <t xml:space="preserve">Help Desk</t>
  </si>
  <si>
    <t xml:space="preserve">SELECT AVG(DATEDIFF(resolved_at, created_at)) FROM tickets WHERE created_at &gt; [date]</t>
  </si>
  <si>
    <t xml:space="preserve">Weekly</t>
  </si>
  <si>
    <t xml:space="preserve">Leading indicator for churn</t>
  </si>
  <si>
    <t xml:space="preserve">Pipeline Coverage Ratio</t>
  </si>
  <si>
    <t xml:space="preserve">SELECT SUM(amount*probability) / [quarterly_target] FROM deals WHERE stage NOT IN ('closed')</t>
  </si>
  <si>
    <t xml:space="preserve">2.5-3x target is healthy</t>
  </si>
  <si>
    <t xml:space="preserve">Exercise 067 — 10 KPI Scorecard</t>
  </si>
  <si>
    <t xml:space="preserve">Track your 10 most important metrics monthly. Compare to plan and to investor benchmarks. Flag deviations early.</t>
  </si>
  <si>
    <t xml:space="preserve">KPI TRACKER: Enter actual values each month (blue = inputs)</t>
  </si>
  <si>
    <t xml:space="preserve">KPI</t>
  </si>
  <si>
    <t xml:space="preserve">Trend</t>
  </si>
  <si>
    <t xml:space="preserve">MRR (£)</t>
  </si>
  <si>
    <t xml:space="preserve">MoM Revenue Growth %</t>
  </si>
  <si>
    <t xml:space="preserve">Monthly Logo Churn %</t>
  </si>
  <si>
    <t xml:space="preserve">NRR (trailing 12m) %</t>
  </si>
  <si>
    <t xml:space="preserve">CAC (blended, £)</t>
  </si>
  <si>
    <t xml:space="preserve">Cash Balance (£)</t>
  </si>
  <si>
    <t xml:space="preserve">Runway (months)</t>
  </si>
  <si>
    <t xml:space="preserve">PLAN VS ACTUAL (Most Recent Month)</t>
  </si>
  <si>
    <t xml:space="preserve">Plan</t>
  </si>
  <si>
    <t xml:space="preserve">Actual</t>
  </si>
  <si>
    <t xml:space="preserve">Variance</t>
  </si>
  <si>
    <t xml:space="preserve">Variance %</t>
  </si>
  <si>
    <t xml:space="preserve">RAG Status</t>
  </si>
  <si>
    <t xml:space="preserve">Exercise 068 — Weekly Metrics Dashboard</t>
  </si>
  <si>
    <t xml:space="preserve">Track the 8 metrics that change week-over-week and drive decisions. This is the dashboard you should open every Monday morning.</t>
  </si>
  <si>
    <t xml:space="preserve">WEEKLY TRACKER: Enter this week's numbers (blue = inputs)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</si>
  <si>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</si>
  <si>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</si>
  <si>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</si>
  <si>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</si>
  <si>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</si>
  <si>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</si>
  <si>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</si>
  <si>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</si>
  <si>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8-Wk Trend</t>
  </si>
  <si>
    <t xml:space="preserve">New leads entered pipeline</t>
  </si>
  <si>
    <t xml:space="preserve">Qualified opportunities created</t>
  </si>
  <si>
    <t xml:space="preserve">Demos / discovery calls booked</t>
  </si>
  <si>
    <t xml:space="preserve">New trials started</t>
  </si>
  <si>
    <t xml:space="preserve">New paying customers</t>
  </si>
  <si>
    <t xml:space="preserve">Churned customers (week)</t>
  </si>
  <si>
    <t xml:space="preserve">Support tickets opened</t>
  </si>
  <si>
    <t xml:space="preserve">NPS responses received</t>
  </si>
  <si>
    <t xml:space="preserve">Website unique visitors</t>
  </si>
  <si>
    <t xml:space="preserve">Free-to-paid conversions</t>
  </si>
  <si>
    <t xml:space="preserve">LEADING INDICATORS SUMMARY (this week)</t>
  </si>
  <si>
    <t xml:space="preserve">These metrics predict next month's revenue. Drops here appear in MRR 4-8 weeks later.</t>
  </si>
  <si>
    <t xml:space="preserve">Conversion Metric</t>
  </si>
  <si>
    <t xml:space="preserve">This Week</t>
  </si>
  <si>
    <t xml:space="preserve">Prior Week</t>
  </si>
  <si>
    <t xml:space="preserve">Change</t>
  </si>
  <si>
    <t xml:space="preserve">Lead-to-Opportunity %</t>
  </si>
  <si>
    <t xml:space="preserve">Opportunity-to-Demo %</t>
  </si>
  <si>
    <t xml:space="preserve">Demo-to-Trial %</t>
  </si>
  <si>
    <t xml:space="preserve">Trial-to-Paid %</t>
  </si>
  <si>
    <t xml:space="preserve">Weekly Funnel Velocity (leads to paid, days)</t>
  </si>
  <si>
    <t xml:space="preserve">Exercise 069 — Leading vs. Lagging Indicator Map</t>
  </si>
  <si>
    <t xml:space="preserve">Map every KPI you track to either leading or lagging. Build an early warning system that surfaces problems 6-8 weeks before they hit revenue.</t>
  </si>
  <si>
    <t xml:space="preserve">INDICATOR CLASSIFICATION MAP</t>
  </si>
  <si>
    <t xml:space="preserve">Type
(Lead/Lag)</t>
  </si>
  <si>
    <t xml:space="preserve">Target</t>
  </si>
  <si>
    <t xml:space="preserve">Lag by
(weeks)</t>
  </si>
  <si>
    <t xml:space="preserve">What it predicts</t>
  </si>
  <si>
    <t xml:space="preserve">Action if below target</t>
  </si>
  <si>
    <t xml:space="preserve">New qualified leads / week</t>
  </si>
  <si>
    <t xml:space="preserve">Leading</t>
  </si>
  <si>
    <t xml:space="preserve">New MRR in 8-12 weeks</t>
  </si>
  <si>
    <t xml:space="preserve">Review top-of-funnel campaigns</t>
  </si>
  <si>
    <t xml:space="preserve">Sales Lead</t>
  </si>
  <si>
    <t xml:space="preserve">Demo-to-trial conversion %</t>
  </si>
  <si>
    <t xml:space="preserve">New customers in 4 weeks</t>
  </si>
  <si>
    <t xml:space="preserve">Review demo content and AE training</t>
  </si>
  <si>
    <t xml:space="preserve">Trial activation rate %</t>
  </si>
  <si>
    <t xml:space="preserve">Trial-to-paid conversion</t>
  </si>
  <si>
    <t xml:space="preserve">Review onboarding flow</t>
  </si>
  <si>
    <t xml:space="preserve">Product Lead</t>
  </si>
  <si>
    <t xml:space="preserve">NPS score</t>
  </si>
  <si>
    <t xml:space="preserve">Churn rate in next 90 days</t>
  </si>
  <si>
    <t xml:space="preserve">Address top detractor themes</t>
  </si>
  <si>
    <t xml:space="preserve">CS Lead</t>
  </si>
  <si>
    <t xml:space="preserve">Support ticket volume</t>
  </si>
  <si>
    <t xml:space="preserve">Product adoption and churn risk</t>
  </si>
  <si>
    <t xml:space="preserve">Identify recurring issue patterns</t>
  </si>
  <si>
    <t xml:space="preserve">Feature adoption rate %</t>
  </si>
  <si>
    <t xml:space="preserve">Expansion and retention</t>
  </si>
  <si>
    <t xml:space="preserve">Review product education touchpoints</t>
  </si>
  <si>
    <t xml:space="preserve">Lagging</t>
  </si>
  <si>
    <t xml:space="preserve">—</t>
  </si>
  <si>
    <t xml:space="preserve">Investigate leading indicators above</t>
  </si>
  <si>
    <t xml:space="preserve">CEO / CFO</t>
  </si>
  <si>
    <t xml:space="preserve">Churn rate %</t>
  </si>
  <si>
    <t xml:space="preserve">Trace back to NPS or adoption drops</t>
  </si>
  <si>
    <t xml:space="preserve">CAC</t>
  </si>
  <si>
    <t xml:space="preserve">Trace to conversion rate drops by channel</t>
  </si>
  <si>
    <t xml:space="preserve">Marketing Lead</t>
  </si>
  <si>
    <t xml:space="preserve">Gross margin %</t>
  </si>
  <si>
    <t xml:space="preserve">Review COGS classification and delivery costs</t>
  </si>
  <si>
    <t xml:space="preserve">CFO</t>
  </si>
  <si>
    <t xml:space="preserve">Revenue pipeline coverage</t>
  </si>
  <si>
    <t xml:space="preserve">Revenue in 60-90 days</t>
  </si>
  <si>
    <t xml:space="preserve">Add to pipeline or adjust forecast</t>
  </si>
  <si>
    <t xml:space="preserve">Time-to-close (days)</t>
  </si>
  <si>
    <t xml:space="preserve">Forecast predictability</t>
  </si>
  <si>
    <t xml:space="preserve">Review deal velocity by segment</t>
  </si>
  <si>
    <t xml:space="preserve">Exercise 070 — Budget vs. Actual Variance Tracker</t>
  </si>
  <si>
    <t xml:space="preserve">Track every P&amp;L line monthly against the plan investors funded. This is the core of your board reporting and operational discipline.</t>
  </si>
  <si>
    <t xml:space="preserve">MONTHLY P&amp;L: Budget vs. Actual (£) — Enter plan and actuals in yellow</t>
  </si>
  <si>
    <t xml:space="preserve">P&amp;L Line</t>
  </si>
  <si>
    <t xml:space="preserve">Jan
Plan</t>
  </si>
  <si>
    <t xml:space="preserve">Jan
Actual</t>
  </si>
  <si>
    <t xml:space="preserve">Feb
Plan</t>
  </si>
  <si>
    <t xml:space="preserve">Feb
Actual</t>
  </si>
  <si>
    <t xml:space="preserve">Mar
Plan</t>
  </si>
  <si>
    <t xml:space="preserve">Mar
Actual</t>
  </si>
  <si>
    <t xml:space="preserve">Apr
Plan</t>
  </si>
  <si>
    <t xml:space="preserve">Apr
Actual</t>
  </si>
  <si>
    <t xml:space="preserve">May
Plan</t>
  </si>
  <si>
    <t xml:space="preserve">May
Actual</t>
  </si>
  <si>
    <t xml:space="preserve">Jun
Plan</t>
  </si>
  <si>
    <t xml:space="preserve">Jun
Actual</t>
  </si>
  <si>
    <t xml:space="preserve">REVENUE</t>
  </si>
  <si>
    <t xml:space="preserve">  New MRR (£)</t>
  </si>
  <si>
    <t xml:space="preserve">  Expansion MRR (£)</t>
  </si>
  <si>
    <t xml:space="preserve">  Total Revenue (£)</t>
  </si>
  <si>
    <t xml:space="preserve">  Infrastructure (£)</t>
  </si>
  <si>
    <t xml:space="preserve">  Customer Success (£)</t>
  </si>
  <si>
    <t xml:space="preserve">  Total COGS (£)</t>
  </si>
  <si>
    <t xml:space="preserve">GROSS PROFIT (£)</t>
  </si>
  <si>
    <t xml:space="preserve">OPERATING EXPENSES</t>
  </si>
  <si>
    <t xml:space="preserve">  R&amp;D (£)</t>
  </si>
  <si>
    <t xml:space="preserve">  Sales &amp; Marketing (£)</t>
  </si>
  <si>
    <t xml:space="preserve">  G&amp;A (£)</t>
  </si>
  <si>
    <t xml:space="preserve">  Total OpEx (£)</t>
  </si>
  <si>
    <t xml:space="preserve">EBITDA (£)</t>
  </si>
  <si>
    <t xml:space="preserve">CASH BURN (£)</t>
  </si>
  <si>
    <t xml:space="preserve">Exercise 071 — Department Budget Planner</t>
  </si>
  <si>
    <t xml:space="preserve">Plan headcount and non-headcount spend for each function. Connect to your financial model as a bottom-up cost build.</t>
  </si>
  <si>
    <t xml:space="preserve">HEADCOUNT BY DEPARTMENT: Enter planned hires (yellow = inputs)</t>
  </si>
  <si>
    <t xml:space="preserve">Role</t>
  </si>
  <si>
    <t xml:space="preserve">Dept</t>
  </si>
  <si>
    <t xml:space="preserve">Annual Cost (£)</t>
  </si>
  <si>
    <t xml:space="preserve">Role 1</t>
  </si>
  <si>
    <t xml:space="preserve">Engineering</t>
  </si>
  <si>
    <t xml:space="preserve">Role 2</t>
  </si>
  <si>
    <t xml:space="preserve">Product</t>
  </si>
  <si>
    <t xml:space="preserve">Role 3</t>
  </si>
  <si>
    <t xml:space="preserve">Sales</t>
  </si>
  <si>
    <t xml:space="preserve">Role 4</t>
  </si>
  <si>
    <t xml:space="preserve">Marketing</t>
  </si>
  <si>
    <t xml:space="preserve">Role 5</t>
  </si>
  <si>
    <t xml:space="preserve">Customer Success</t>
  </si>
  <si>
    <t xml:space="preserve">Role 6</t>
  </si>
  <si>
    <t xml:space="preserve">G&amp;A</t>
  </si>
  <si>
    <t xml:space="preserve">Role 7</t>
  </si>
  <si>
    <t xml:space="preserve">Role 8</t>
  </si>
  <si>
    <t xml:space="preserve">Role 9</t>
  </si>
  <si>
    <t xml:space="preserve">Role 10</t>
  </si>
  <si>
    <t xml:space="preserve">Role 11</t>
  </si>
  <si>
    <t xml:space="preserve">Role 12</t>
  </si>
  <si>
    <t xml:space="preserve">Role 13</t>
  </si>
  <si>
    <t xml:space="preserve">Role 14</t>
  </si>
  <si>
    <t xml:space="preserve">TOTAL HEADCOUNT COST (£)</t>
  </si>
  <si>
    <t xml:space="preserve">NON-HEADCOUNT BUDGET BY DEPARTMENT</t>
  </si>
  <si>
    <t xml:space="preserve">Category</t>
  </si>
  <si>
    <t xml:space="preserve">H2 Total (£)</t>
  </si>
  <si>
    <t xml:space="preserve">FY Total (£)</t>
  </si>
  <si>
    <t xml:space="preserve">Cloud / Infrastructure</t>
  </si>
  <si>
    <t xml:space="preserve">CRM / Sales Tools</t>
  </si>
  <si>
    <t xml:space="preserve">Marketing Software</t>
  </si>
  <si>
    <t xml:space="preserve">Legal &amp; Professional Fees</t>
  </si>
  <si>
    <t xml:space="preserve">Travel &amp; Expenses</t>
  </si>
  <si>
    <t xml:space="preserve">Office / Facilities</t>
  </si>
  <si>
    <t xml:space="preserve">Exercise 072 — Investor Reporting Template</t>
  </si>
  <si>
    <t xml:space="preserve">Monthly investor update — fill in the five sections. Send within 5 business days of month close. Never miss a month.</t>
  </si>
  <si>
    <t xml:space="preserve">SECTION 1: HEADLINE METRICS (most recent month vs. plan)</t>
  </si>
  <si>
    <t xml:space="preserve">Variance (£)</t>
  </si>
  <si>
    <t xml:space="preserve">Net New MRR (£)</t>
  </si>
  <si>
    <t xml:space="preserve">NRR (trailing) %</t>
  </si>
  <si>
    <t xml:space="preserve">SECTION 2: WHAT WENT WELL (2-3 bullet points)</t>
  </si>
  <si>
    <t xml:space="preserve">1.
2.
3.</t>
  </si>
  <si>
    <t xml:space="preserve">SECTION 3: WHAT DID NOT GO WELL (be honest — 1-2 items)</t>
  </si>
  <si>
    <t xml:space="preserve">1.
2.</t>
  </si>
  <si>
    <t xml:space="preserve">SECTION 4: SPECIFIC ASK (one concrete request per update)</t>
  </si>
  <si>
    <t xml:space="preserve">This month I need help with: [warm intro to / input on / advice about]</t>
  </si>
  <si>
    <t xml:space="preserve">SECTION 5: NEXT MONTH FOCUS (1-3 priorities)</t>
  </si>
  <si>
    <t xml:space="preserve">1. Priority one
2. Priority two
3. Priority three</t>
  </si>
  <si>
    <t xml:space="preserve">Exercise 073 — Monthly Finance Close Calendar</t>
  </si>
  <si>
    <t xml:space="preserve">Track every task in the monthly close process. A clean close every month builds the discipline investors expect at Series A.</t>
  </si>
  <si>
    <t xml:space="preserve">MONTHLY CLOSE CHECKLIST: Update status each month (yellow = your inputs)</t>
  </si>
  <si>
    <t xml:space="preserve">Task</t>
  </si>
  <si>
    <t xml:space="preserve">Deadline
(working day)</t>
  </si>
  <si>
    <t xml:space="preserve">Time
Required</t>
  </si>
  <si>
    <t xml:space="preserve">WEEK 1 (Days 1-5)</t>
  </si>
  <si>
    <t xml:space="preserve">Close bank reconciliation</t>
  </si>
  <si>
    <t xml:space="preserve">Finance</t>
  </si>
  <si>
    <t xml:space="preserve">2 hrs</t>
  </si>
  <si>
    <t xml:space="preserve">Export P&amp;L from accounting system</t>
  </si>
  <si>
    <t xml:space="preserve">30 min</t>
  </si>
  <si>
    <t xml:space="preserve">Export cash flow statement</t>
  </si>
  <si>
    <t xml:space="preserve">Reconcile Stripe / billing system to accounts</t>
  </si>
  <si>
    <t xml:space="preserve">1 hr</t>
  </si>
  <si>
    <t xml:space="preserve">Calculate MRR movement (new, expansion, churn)</t>
  </si>
  <si>
    <t xml:space="preserve">Import actuals into financial model</t>
  </si>
  <si>
    <t xml:space="preserve">WEEK 2 (Days 6-10)</t>
  </si>
  <si>
    <t xml:space="preserve">Calculate variances vs. plan for all P&amp;L lines</t>
  </si>
  <si>
    <t xml:space="preserve">Finance / CEO</t>
  </si>
  <si>
    <t xml:space="preserve">Write variance notes for lines &gt; 10% off plan</t>
  </si>
  <si>
    <t xml:space="preserve">CEO + Dept Heads</t>
  </si>
  <si>
    <t xml:space="preserve">Update forward forecast if assumptions have changed</t>
  </si>
  <si>
    <t xml:space="preserve">Update runway calculation</t>
  </si>
  <si>
    <t xml:space="preserve">Compile KPI scorecard (from 067 tab)</t>
  </si>
  <si>
    <t xml:space="preserve">CEO</t>
  </si>
  <si>
    <t xml:space="preserve">WEEK 3 (Days 11-15 / pre-board)</t>
  </si>
  <si>
    <t xml:space="preserve">Draft board report (from 072 template)</t>
  </si>
  <si>
    <t xml:space="preserve">3 hrs</t>
  </si>
  <si>
    <t xml:space="preserve">Review board report with finance lead</t>
  </si>
  <si>
    <t xml:space="preserve">CEO + Finance</t>
  </si>
  <si>
    <t xml:space="preserve">Send board report to directors</t>
  </si>
  <si>
    <t xml:space="preserve">Send investor update (from 019 template)</t>
  </si>
  <si>
    <t xml:space="preserve">WEEK 4 (Days 16-20)</t>
  </si>
  <si>
    <t xml:space="preserve">Conduct board meeting</t>
  </si>
  <si>
    <t xml:space="preserve">Record board minutes and action items</t>
  </si>
  <si>
    <t xml:space="preserve">PA / CEO</t>
  </si>
  <si>
    <t xml:space="preserve">Begin next month's plan comparison setup</t>
  </si>
  <si>
    <t xml:space="preserve">Review cap table if any option grants pending</t>
  </si>
  <si>
    <t xml:space="preserve">Finance / Legal</t>
  </si>
  <si>
    <t xml:space="preserve">Exercise 074 — 13-Week Cash Forecast</t>
  </si>
  <si>
    <t xml:space="preserve">A 13-week rolling cash forecast gives you early warning of cash pressure. Update weekly. Flag any week where closing balance drops below two months of burn.</t>
  </si>
  <si>
    <t xml:space="preserve">13-WEEK CASH FORECAST: Update every Friday</t>
  </si>
  <si>
    <t xml:space="preserve">Wk 9</t>
  </si>
  <si>
    <t xml:space="preserve">Wk 10</t>
  </si>
  <si>
    <t xml:space="preserve">Wk 11</t>
  </si>
  <si>
    <t xml:space="preserve">Wk 12</t>
  </si>
  <si>
    <t xml:space="preserve">Wk 13</t>
  </si>
  <si>
    <t xml:space="preserve">13-Wk Total</t>
  </si>
  <si>
    <t xml:space="preserve">OPENING CASH BALANCE (£)</t>
  </si>
  <si>
    <t xml:space="preserve">CASH IN:</t>
  </si>
  <si>
    <t xml:space="preserve">  Customer receipts (£)</t>
  </si>
  <si>
    <t xml:space="preserve">  New ARR / invoices (£)</t>
  </si>
  <si>
    <t xml:space="preserve">  Grant income (£)</t>
  </si>
  <si>
    <t xml:space="preserve">  Other receipts (£)</t>
  </si>
  <si>
    <t xml:space="preserve">TOTAL CASH IN (£)</t>
  </si>
  <si>
    <t xml:space="preserve">CASH OUT:</t>
  </si>
  <si>
    <t xml:space="preserve">  Payroll (£)</t>
  </si>
  <si>
    <t xml:space="preserve">  Rent / facilities (£)</t>
  </si>
  <si>
    <t xml:space="preserve">  Cloud / infrastructure (£)</t>
  </si>
  <si>
    <t xml:space="preserve">  Marketing spend (£)</t>
  </si>
  <si>
    <t xml:space="preserve">  Sales commissions (£)</t>
  </si>
  <si>
    <t xml:space="preserve">  Professional fees (£)</t>
  </si>
  <si>
    <t xml:space="preserve">  Tax payments (£)</t>
  </si>
  <si>
    <t xml:space="preserve">  Other payments (£)</t>
  </si>
  <si>
    <t xml:space="preserve">TOTAL CASH OUT (£)</t>
  </si>
  <si>
    <t xml:space="preserve">NET CASH MOVEMENT (£)</t>
  </si>
  <si>
    <t xml:space="preserve">CLOSING CASH BALANCE (£)</t>
  </si>
  <si>
    <t xml:space="preserve">CLOSING BALANCE vs. 2-MONTH BURN</t>
  </si>
  <si>
    <t xml:space="preserve">Exercise 075 — Financial Controls Checklist</t>
  </si>
  <si>
    <t xml:space="preserve">Assess your internal financial controls across seven categories. Gaps here create audit findings, M&amp;A risk, and investor confidence issues.</t>
  </si>
  <si>
    <t xml:space="preserve">Control</t>
  </si>
  <si>
    <t xml:space="preserve">In Place?
(Y/N/Partial)</t>
  </si>
  <si>
    <t xml:space="preserve">Last
Reviewed</t>
  </si>
  <si>
    <t xml:space="preserve">Gap / Risk</t>
  </si>
  <si>
    <t xml:space="preserve">Remediation Action</t>
  </si>
  <si>
    <t xml:space="preserve">REVENUE CONTROLS</t>
  </si>
  <si>
    <t xml:space="preserve">All customer contracts reviewed and stored</t>
  </si>
  <si>
    <t xml:space="preserve">Revenue recognition policy documented and followed</t>
  </si>
  <si>
    <t xml:space="preserve">Deferred revenue reconciled monthly</t>
  </si>
  <si>
    <t xml:space="preserve">Customer invoices approved before sending</t>
  </si>
  <si>
    <t xml:space="preserve">Stripe / billing reconciled to accounting system monthly</t>
  </si>
  <si>
    <t xml:space="preserve">PAYROLL &amp; HEADCOUNT</t>
  </si>
  <si>
    <t xml:space="preserve">Payroll approved by CEO before processing</t>
  </si>
  <si>
    <t xml:space="preserve">Offer letters and employment contracts for all staff</t>
  </si>
  <si>
    <t xml:space="preserve">Payroll system reconciled to bank statement monthly</t>
  </si>
  <si>
    <t xml:space="preserve">Starters / leavers process documented and followed</t>
  </si>
  <si>
    <t xml:space="preserve">Option grants approved by board before issue</t>
  </si>
  <si>
    <t xml:space="preserve">ACCOUNTS PAYABLE</t>
  </si>
  <si>
    <t xml:space="preserve">All invoices &gt; £5k approved by CEO</t>
  </si>
  <si>
    <t xml:space="preserve">Supplier list maintained and reviewed quarterly</t>
  </si>
  <si>
    <t xml:space="preserve">Purchase order process for recurring vendors</t>
  </si>
  <si>
    <t xml:space="preserve">Bank signatory controls (dual authorisation &gt; £10k)</t>
  </si>
  <si>
    <t xml:space="preserve">FINANCIAL REPORTING</t>
  </si>
  <si>
    <t xml:space="preserve">Monthly management accounts produced within 10 working days</t>
  </si>
  <si>
    <t xml:space="preserve">Chart of accounts maintained and consistent with model</t>
  </si>
  <si>
    <t xml:space="preserve">Budget vs. actual variance analysis produced monthly</t>
  </si>
  <si>
    <t xml:space="preserve">Board report distributed before each board meeting</t>
  </si>
  <si>
    <t xml:space="preserve">CASH MANAGEMENT</t>
  </si>
  <si>
    <t xml:space="preserve">Weekly cash forecast maintained</t>
  </si>
  <si>
    <t xml:space="preserve">Bank reconciliation completed by day 3 of each month</t>
  </si>
  <si>
    <t xml:space="preserve">Authorised signatories list reviewed annually</t>
  </si>
  <si>
    <t xml:space="preserve">Surplus cash sweep / deposit policy in place</t>
  </si>
  <si>
    <t xml:space="preserve">TAX &amp; COMPLIANCE</t>
  </si>
  <si>
    <t xml:space="preserve">VAT returns filed on time</t>
  </si>
  <si>
    <t xml:space="preserve">Corporation tax filing up to date</t>
  </si>
  <si>
    <t xml:space="preserve">R&amp;D tax credit claimed (if eligible)</t>
  </si>
  <si>
    <t xml:space="preserve">Share option scheme EMI approval in place (UK)</t>
  </si>
  <si>
    <t xml:space="preserve">DATA &amp; SYSTEMS</t>
  </si>
  <si>
    <t xml:space="preserve">Accounting system access restricted to finance team</t>
  </si>
  <si>
    <t xml:space="preserve">Backup and recovery process for financial data</t>
  </si>
  <si>
    <t xml:space="preserve">Audit trail for all journal entries</t>
  </si>
  <si>
    <t xml:space="preserve">Segregation of duties between entry and approval</t>
  </si>
  <si>
    <t xml:space="preserve">CONTROL SCORE SUMMARY</t>
  </si>
  <si>
    <t xml:space="preserve">Total Controls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</si>
</sst>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"/>
    <numFmt numFmtId="166" formatCode="0.0%"/>
    <numFmt numFmtId="167" formatCode="0.0\x"/>
    <numFmt numFmtId="168" formatCode="#,##0"/>
    <numFmt numFmtId="169" formatCode="0.0"/>
    <numFmt numFmtId="170" formatCode="0.0&quot; months&quot;"/>
    <numFmt numFmtId="171" formatCode="0%"/>
    <numFmt numFmtId="172" formatCode="\£#,##0.0"/>
    <numFmt numFmtId="173" formatCode="0.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6B3A"/>
      <name val="Arial"/>
      <family val="0"/>
      <charset val="1"/>
    </font>
    <font>
      <b val="true"/>
      <sz val="10"/>
      <color rgb="FF7B2C2C"/>
      <name val="Arial"/>
      <family val="0"/>
      <charset val="1"/>
    </font>
    <font>
      <b val="true"/>
      <sz val="10"/>
      <color rgb="FF1A4A7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21734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21734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217346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ED7D31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sz val="10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8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3A5C"/>
        <bgColor rgb="FF1A4A7A"/>
      </patternFill>
    </fill>
    <fill>
      <patternFill patternType="solid">
        <fgColor rgb="FFEBF4FB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BF4FB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BF4FB"/>
      </patternFill>
    </fill>
    <fill>
      <patternFill patternType="solid">
        <fgColor rgb="FFD9D9D9"/>
        <bgColor rgb="FFE2EFDA"/>
      </patternFill>
    </fill>
    <fill>
      <patternFill patternType="solid">
        <fgColor rgb="FFFCE4D6"/>
        <bgColor rgb="FFFFE0E0"/>
      </patternFill>
    </fill>
    <fill>
      <patternFill patternType="solid">
        <fgColor rgb="FFFFE0E0"/>
        <bgColor rgb="FFFCE4D6"/>
      </patternFill>
    </fill>
    <fill>
      <patternFill patternType="solid">
        <fgColor rgb="FF217346"/>
        <bgColor rgb="FF1F6B3A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5F5F5"/>
      <rgbColor rgb="FFEBF4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AAAAAA"/>
      <rgbColor rgb="FF1B3A5C"/>
      <rgbColor rgb="FF339966"/>
      <rgbColor rgb="FF003300"/>
      <rgbColor rgb="FF333300"/>
      <rgbColor rgb="FF7B2C2C"/>
      <rgbColor rgb="FF993366"/>
      <rgbColor rgb="FF1A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3" min="3" style="1" width="22"/>
    <col collapsed="false" customWidth="true" hidden="false" outlineLevel="0" max="4" min="4" style="1" width="14"/>
  </cols>
  <sheetData>
    <row r="1" customFormat="false" ht="49.5" hidden="false" customHeight="true" outlineLevel="0" collapsed="false">
      <c r="A1" s="2" t="s">
        <v>0</v>
      </c>
      <c r="B1" s="2"/>
      <c r="C1" s="2"/>
      <c r="D1" s="2"/>
    </row>
    <row r="2" customFormat="false" ht="25.5" hidden="false" customHeight="true" outlineLevel="0" collapsed="false">
      <c r="A2" s="3" t="s">
        <v>1</v>
      </c>
      <c r="B2" s="3"/>
      <c r="C2" s="3"/>
      <c r="D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8" hidden="false" customHeight="true" outlineLevel="0" collapsed="false">
      <c r="A5" s="5" t="s">
        <v>6</v>
      </c>
      <c r="B5" s="6" t="s">
        <v>7</v>
      </c>
      <c r="C5" s="7" t="s">
        <v>8</v>
      </c>
      <c r="D5" s="5" t="s">
        <v>9</v>
      </c>
    </row>
    <row r="6" customFormat="false" ht="18" hidden="false" customHeight="true" outlineLevel="0" collapsed="false">
      <c r="A6" s="8" t="s">
        <v>10</v>
      </c>
      <c r="B6" s="9" t="s">
        <v>11</v>
      </c>
      <c r="C6" s="10" t="s">
        <v>8</v>
      </c>
      <c r="D6" s="8" t="s">
        <v>9</v>
      </c>
    </row>
    <row r="7" customFormat="false" ht="18" hidden="false" customHeight="true" outlineLevel="0" collapsed="false">
      <c r="A7" s="5" t="s">
        <v>12</v>
      </c>
      <c r="B7" s="6" t="s">
        <v>13</v>
      </c>
      <c r="C7" s="7" t="s">
        <v>8</v>
      </c>
      <c r="D7" s="5" t="s">
        <v>9</v>
      </c>
    </row>
    <row r="8" customFormat="false" ht="18" hidden="false" customHeight="true" outlineLevel="0" collapsed="false">
      <c r="A8" s="8" t="s">
        <v>14</v>
      </c>
      <c r="B8" s="9" t="s">
        <v>15</v>
      </c>
      <c r="C8" s="10" t="s">
        <v>8</v>
      </c>
      <c r="D8" s="8" t="s">
        <v>9</v>
      </c>
    </row>
    <row r="9" customFormat="false" ht="18" hidden="false" customHeight="true" outlineLevel="0" collapsed="false">
      <c r="A9" s="5" t="s">
        <v>16</v>
      </c>
      <c r="B9" s="6" t="s">
        <v>17</v>
      </c>
      <c r="C9" s="7" t="s">
        <v>8</v>
      </c>
      <c r="D9" s="5" t="s">
        <v>9</v>
      </c>
    </row>
    <row r="10" customFormat="false" ht="18" hidden="false" customHeight="true" outlineLevel="0" collapsed="false">
      <c r="A10" s="8" t="s">
        <v>18</v>
      </c>
      <c r="B10" s="9" t="s">
        <v>19</v>
      </c>
      <c r="C10" s="11" t="s">
        <v>20</v>
      </c>
      <c r="D10" s="8" t="s">
        <v>9</v>
      </c>
    </row>
    <row r="11" customFormat="false" ht="18" hidden="false" customHeight="true" outlineLevel="0" collapsed="false">
      <c r="A11" s="5" t="s">
        <v>21</v>
      </c>
      <c r="B11" s="6" t="s">
        <v>22</v>
      </c>
      <c r="C11" s="12" t="s">
        <v>20</v>
      </c>
      <c r="D11" s="5" t="s">
        <v>9</v>
      </c>
    </row>
    <row r="12" customFormat="false" ht="18" hidden="false" customHeight="true" outlineLevel="0" collapsed="false">
      <c r="A12" s="8" t="s">
        <v>23</v>
      </c>
      <c r="B12" s="9" t="s">
        <v>24</v>
      </c>
      <c r="C12" s="11" t="s">
        <v>20</v>
      </c>
      <c r="D12" s="8" t="s">
        <v>9</v>
      </c>
    </row>
    <row r="13" customFormat="false" ht="18" hidden="false" customHeight="true" outlineLevel="0" collapsed="false">
      <c r="A13" s="5" t="s">
        <v>25</v>
      </c>
      <c r="B13" s="6" t="s">
        <v>26</v>
      </c>
      <c r="C13" s="12" t="s">
        <v>20</v>
      </c>
      <c r="D13" s="5" t="s">
        <v>9</v>
      </c>
    </row>
    <row r="14" customFormat="false" ht="18" hidden="false" customHeight="true" outlineLevel="0" collapsed="false">
      <c r="A14" s="8" t="s">
        <v>27</v>
      </c>
      <c r="B14" s="9" t="s">
        <v>28</v>
      </c>
      <c r="C14" s="11" t="s">
        <v>20</v>
      </c>
      <c r="D14" s="8" t="s">
        <v>9</v>
      </c>
    </row>
    <row r="15" customFormat="false" ht="18" hidden="false" customHeight="true" outlineLevel="0" collapsed="false">
      <c r="A15" s="5" t="s">
        <v>29</v>
      </c>
      <c r="B15" s="6" t="s">
        <v>30</v>
      </c>
      <c r="C15" s="12" t="s">
        <v>20</v>
      </c>
      <c r="D15" s="5" t="s">
        <v>9</v>
      </c>
    </row>
    <row r="16" customFormat="false" ht="18" hidden="false" customHeight="true" outlineLevel="0" collapsed="false">
      <c r="A16" s="8" t="s">
        <v>31</v>
      </c>
      <c r="B16" s="9" t="s">
        <v>32</v>
      </c>
      <c r="C16" s="11" t="s">
        <v>20</v>
      </c>
      <c r="D16" s="8" t="s">
        <v>9</v>
      </c>
    </row>
    <row r="17" customFormat="false" ht="18" hidden="false" customHeight="true" outlineLevel="0" collapsed="false">
      <c r="A17" s="5" t="s">
        <v>33</v>
      </c>
      <c r="B17" s="6" t="s">
        <v>34</v>
      </c>
      <c r="C17" s="12" t="s">
        <v>20</v>
      </c>
      <c r="D17" s="5" t="s">
        <v>9</v>
      </c>
    </row>
    <row r="18" customFormat="false" ht="18" hidden="false" customHeight="true" outlineLevel="0" collapsed="false">
      <c r="A18" s="8" t="s">
        <v>35</v>
      </c>
      <c r="B18" s="9" t="s">
        <v>36</v>
      </c>
      <c r="C18" s="11" t="s">
        <v>20</v>
      </c>
      <c r="D18" s="8" t="s">
        <v>9</v>
      </c>
    </row>
    <row r="19" customFormat="false" ht="18" hidden="false" customHeight="true" outlineLevel="0" collapsed="false">
      <c r="A19" s="5" t="s">
        <v>37</v>
      </c>
      <c r="B19" s="6" t="s">
        <v>38</v>
      </c>
      <c r="C19" s="12" t="s">
        <v>20</v>
      </c>
      <c r="D19" s="5" t="s">
        <v>9</v>
      </c>
    </row>
    <row r="20" customFormat="false" ht="18" hidden="false" customHeight="true" outlineLevel="0" collapsed="false">
      <c r="A20" s="8" t="s">
        <v>39</v>
      </c>
      <c r="B20" s="9" t="s">
        <v>40</v>
      </c>
      <c r="C20" s="13" t="s">
        <v>41</v>
      </c>
      <c r="D20" s="8" t="s">
        <v>9</v>
      </c>
    </row>
    <row r="21" customFormat="false" ht="18" hidden="false" customHeight="true" outlineLevel="0" collapsed="false">
      <c r="A21" s="5" t="s">
        <v>42</v>
      </c>
      <c r="B21" s="6" t="s">
        <v>43</v>
      </c>
      <c r="C21" s="14" t="s">
        <v>41</v>
      </c>
      <c r="D21" s="5" t="s">
        <v>9</v>
      </c>
    </row>
    <row r="22" customFormat="false" ht="18" hidden="false" customHeight="true" outlineLevel="0" collapsed="false">
      <c r="A22" s="8" t="s">
        <v>44</v>
      </c>
      <c r="B22" s="9" t="s">
        <v>45</v>
      </c>
      <c r="C22" s="13" t="s">
        <v>41</v>
      </c>
      <c r="D22" s="8" t="s">
        <v>9</v>
      </c>
    </row>
    <row r="23" customFormat="false" ht="18" hidden="false" customHeight="true" outlineLevel="0" collapsed="false">
      <c r="A23" s="5" t="s">
        <v>46</v>
      </c>
      <c r="B23" s="6" t="s">
        <v>47</v>
      </c>
      <c r="C23" s="14" t="s">
        <v>41</v>
      </c>
      <c r="D23" s="5" t="s">
        <v>9</v>
      </c>
    </row>
    <row r="24" customFormat="false" ht="18" hidden="false" customHeight="true" outlineLevel="0" collapsed="false">
      <c r="A24" s="8" t="s">
        <v>48</v>
      </c>
      <c r="B24" s="9" t="s">
        <v>49</v>
      </c>
      <c r="C24" s="13" t="s">
        <v>41</v>
      </c>
      <c r="D24" s="8" t="s">
        <v>9</v>
      </c>
    </row>
    <row r="25" customFormat="false" ht="18" hidden="false" customHeight="true" outlineLevel="0" collapsed="false">
      <c r="A25" s="5" t="s">
        <v>50</v>
      </c>
      <c r="B25" s="6" t="s">
        <v>51</v>
      </c>
      <c r="C25" s="14" t="s">
        <v>41</v>
      </c>
      <c r="D25" s="5" t="s">
        <v>9</v>
      </c>
    </row>
    <row r="26" customFormat="false" ht="18" hidden="false" customHeight="true" outlineLevel="0" collapsed="false">
      <c r="A26" s="8" t="s">
        <v>52</v>
      </c>
      <c r="B26" s="9" t="s">
        <v>53</v>
      </c>
      <c r="C26" s="13" t="s">
        <v>41</v>
      </c>
      <c r="D26" s="8" t="s">
        <v>9</v>
      </c>
    </row>
    <row r="27" customFormat="false" ht="18" hidden="false" customHeight="true" outlineLevel="0" collapsed="false">
      <c r="A27" s="5" t="s">
        <v>54</v>
      </c>
      <c r="B27" s="6" t="s">
        <v>55</v>
      </c>
      <c r="C27" s="14" t="s">
        <v>41</v>
      </c>
      <c r="D27" s="5" t="s">
        <v>9</v>
      </c>
    </row>
    <row r="28" customFormat="false" ht="18" hidden="false" customHeight="true" outlineLevel="0" collapsed="false">
      <c r="A28" s="8" t="s">
        <v>56</v>
      </c>
      <c r="B28" s="9" t="s">
        <v>57</v>
      </c>
      <c r="C28" s="13" t="s">
        <v>41</v>
      </c>
      <c r="D28" s="8" t="s">
        <v>9</v>
      </c>
    </row>
    <row r="29" customFormat="false" ht="18" hidden="false" customHeight="true" outlineLevel="0" collapsed="false">
      <c r="A29" s="5" t="s">
        <v>58</v>
      </c>
      <c r="B29" s="6" t="s">
        <v>59</v>
      </c>
      <c r="C29" s="14" t="s">
        <v>41</v>
      </c>
      <c r="D29" s="5" t="s">
        <v>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4"/>
  </cols>
  <sheetData>
    <row r="1" customFormat="false" ht="36" hidden="false" customHeight="true" outlineLevel="0" collapsed="false">
      <c r="A1" s="15" t="s">
        <v>60</v>
      </c>
      <c r="B1" s="15"/>
      <c r="C1" s="15"/>
      <c r="D1" s="15"/>
      <c r="E1" s="15"/>
      <c r="F1" s="15"/>
      <c r="G1" s="15"/>
      <c r="H1" s="15"/>
    </row>
    <row r="2" customFormat="false" ht="48" hidden="false" customHeight="true" outlineLevel="0" collapsed="false">
      <c r="A2" s="16" t="s">
        <v>61</v>
      </c>
      <c r="B2" s="16"/>
      <c r="C2" s="16"/>
      <c r="D2" s="16"/>
      <c r="E2" s="16"/>
      <c r="F2" s="16"/>
      <c r="G2" s="16"/>
      <c r="H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65</v>
      </c>
      <c r="B5" s="21"/>
      <c r="C5" s="21"/>
      <c r="D5" s="21"/>
      <c r="E5" s="21"/>
      <c r="F5" s="21"/>
      <c r="G5" s="21"/>
      <c r="H5" s="21"/>
    </row>
    <row r="6" customFormat="false" ht="19.5" hidden="false" customHeight="true" outlineLevel="0" collapsed="false">
      <c r="A6" s="22" t="s">
        <v>66</v>
      </c>
      <c r="B6" s="22" t="s">
        <v>67</v>
      </c>
      <c r="C6" s="22" t="s">
        <v>68</v>
      </c>
      <c r="D6" s="22" t="s">
        <v>69</v>
      </c>
      <c r="E6" s="22" t="s">
        <v>70</v>
      </c>
      <c r="F6" s="22" t="s">
        <v>71</v>
      </c>
      <c r="G6" s="22" t="s">
        <v>72</v>
      </c>
    </row>
    <row r="7" customFormat="false" ht="19.5" hidden="false" customHeight="true" outlineLevel="0" collapsed="false">
      <c r="A7" s="23" t="s">
        <v>73</v>
      </c>
      <c r="B7" s="24" t="n">
        <v>100</v>
      </c>
      <c r="C7" s="24" t="n">
        <v>110</v>
      </c>
      <c r="D7" s="24" t="n">
        <v>118</v>
      </c>
      <c r="E7" s="24" t="n">
        <v>125</v>
      </c>
      <c r="F7" s="24" t="n">
        <v>130</v>
      </c>
      <c r="G7" s="24" t="n">
        <v>136</v>
      </c>
    </row>
    <row r="8" customFormat="false" ht="19.5" hidden="false" customHeight="true" outlineLevel="0" collapsed="false">
      <c r="A8" s="23" t="s">
        <v>74</v>
      </c>
      <c r="B8" s="24" t="n">
        <v>8</v>
      </c>
      <c r="C8" s="24" t="n">
        <v>7</v>
      </c>
      <c r="D8" s="24" t="n">
        <v>9</v>
      </c>
      <c r="E8" s="24" t="n">
        <v>6</v>
      </c>
      <c r="F8" s="24" t="n">
        <v>8</v>
      </c>
      <c r="G8" s="24" t="n">
        <v>7</v>
      </c>
    </row>
    <row r="9" customFormat="false" ht="19.5" hidden="false" customHeight="true" outlineLevel="0" collapsed="false">
      <c r="A9" s="23" t="s">
        <v>75</v>
      </c>
      <c r="B9" s="24" t="n">
        <v>18</v>
      </c>
      <c r="C9" s="24" t="n">
        <v>15</v>
      </c>
      <c r="D9" s="24" t="n">
        <v>16</v>
      </c>
      <c r="E9" s="24" t="n">
        <v>11</v>
      </c>
      <c r="F9" s="24" t="n">
        <v>14</v>
      </c>
      <c r="G9" s="24" t="n">
        <v>12</v>
      </c>
    </row>
    <row r="10" customFormat="false" ht="19.5" hidden="false" customHeight="true" outlineLevel="0" collapsed="false">
      <c r="A10" s="23" t="s">
        <v>76</v>
      </c>
      <c r="B10" s="25" t="n">
        <v>50000</v>
      </c>
      <c r="C10" s="25" t="n">
        <v>55000</v>
      </c>
      <c r="D10" s="25" t="n">
        <v>58500</v>
      </c>
      <c r="E10" s="25" t="n">
        <v>62000</v>
      </c>
      <c r="F10" s="25" t="n">
        <v>64500</v>
      </c>
      <c r="G10" s="25" t="n">
        <v>67000</v>
      </c>
    </row>
    <row r="11" customFormat="false" ht="19.5" hidden="false" customHeight="true" outlineLevel="0" collapsed="false">
      <c r="A11" s="23" t="s">
        <v>77</v>
      </c>
      <c r="B11" s="25" t="n">
        <v>3200</v>
      </c>
      <c r="C11" s="25" t="n">
        <v>2800</v>
      </c>
      <c r="D11" s="25" t="n">
        <v>3500</v>
      </c>
      <c r="E11" s="25" t="n">
        <v>2500</v>
      </c>
      <c r="F11" s="25" t="n">
        <v>3100</v>
      </c>
      <c r="G11" s="25" t="n">
        <v>2800</v>
      </c>
    </row>
    <row r="12" customFormat="false" ht="19.5" hidden="false" customHeight="true" outlineLevel="0" collapsed="false">
      <c r="A12" s="23" t="s">
        <v>78</v>
      </c>
      <c r="B12" s="25" t="n">
        <v>2100</v>
      </c>
      <c r="C12" s="25" t="n">
        <v>1800</v>
      </c>
      <c r="D12" s="25" t="n">
        <v>2200</v>
      </c>
      <c r="E12" s="25" t="n">
        <v>1700</v>
      </c>
      <c r="F12" s="25" t="n">
        <v>2000</v>
      </c>
      <c r="G12" s="25" t="n">
        <v>1900</v>
      </c>
    </row>
    <row r="13" customFormat="false" ht="19.5" hidden="false" customHeight="true" outlineLevel="0" collapsed="false">
      <c r="A13" s="23" t="s">
        <v>79</v>
      </c>
      <c r="B13" s="25" t="n">
        <v>4500</v>
      </c>
      <c r="C13" s="25" t="n">
        <v>3750</v>
      </c>
      <c r="D13" s="25" t="n">
        <v>4000</v>
      </c>
      <c r="E13" s="25" t="n">
        <v>2750</v>
      </c>
      <c r="F13" s="25" t="n">
        <v>3500</v>
      </c>
      <c r="G13" s="25" t="n">
        <v>3000</v>
      </c>
    </row>
    <row r="14" customFormat="false" ht="30" hidden="false" customHeight="true" outlineLevel="0" collapsed="false">
      <c r="A14" s="26" t="s">
        <v>80</v>
      </c>
      <c r="B14" s="26"/>
      <c r="C14" s="26"/>
      <c r="D14" s="26"/>
      <c r="E14" s="26"/>
      <c r="F14" s="26"/>
      <c r="G14" s="26"/>
      <c r="H14" s="26"/>
    </row>
    <row r="15" customFormat="false" ht="6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</row>
    <row r="16" customFormat="false" ht="21.75" hidden="false" customHeight="true" outlineLevel="0" collapsed="false">
      <c r="A16" s="21" t="s">
        <v>81</v>
      </c>
      <c r="B16" s="21"/>
      <c r="C16" s="21"/>
      <c r="D16" s="21"/>
      <c r="E16" s="21"/>
      <c r="F16" s="21"/>
      <c r="G16" s="21"/>
      <c r="H16" s="21"/>
    </row>
    <row r="17" customFormat="false" ht="19.5" hidden="false" customHeight="true" outlineLevel="0" collapsed="false">
      <c r="A17" s="22" t="s">
        <v>66</v>
      </c>
      <c r="B17" s="22" t="s">
        <v>67</v>
      </c>
      <c r="C17" s="22" t="s">
        <v>68</v>
      </c>
      <c r="D17" s="22" t="s">
        <v>69</v>
      </c>
      <c r="E17" s="22" t="s">
        <v>70</v>
      </c>
      <c r="F17" s="22" t="s">
        <v>71</v>
      </c>
      <c r="G17" s="22" t="s">
        <v>72</v>
      </c>
    </row>
    <row r="18" customFormat="false" ht="19.5" hidden="false" customHeight="true" outlineLevel="0" collapsed="false">
      <c r="A18" s="23" t="s">
        <v>82</v>
      </c>
      <c r="B18" s="27" t="n">
        <f aca="false">IFERROR(B8/B7,0)</f>
        <v>0.08</v>
      </c>
      <c r="C18" s="27" t="n">
        <f aca="false">IFERROR(B8/C7,0)</f>
        <v>0.0727272727272727</v>
      </c>
      <c r="D18" s="27" t="n">
        <f aca="false">IFERROR(B8/D7,0)</f>
        <v>0.0677966101694915</v>
      </c>
      <c r="E18" s="27" t="n">
        <f aca="false">IFERROR(B8/E7,0)</f>
        <v>0.064</v>
      </c>
      <c r="F18" s="27" t="n">
        <f aca="false">IFERROR(B8/F7,0)</f>
        <v>0.0615384615384615</v>
      </c>
      <c r="G18" s="27" t="n">
        <f aca="false">IFERROR(B8/G7,0)</f>
        <v>0.0588235294117647</v>
      </c>
      <c r="H18" s="28" t="s">
        <v>83</v>
      </c>
    </row>
    <row r="19" customFormat="false" ht="19.5" hidden="false" customHeight="true" outlineLevel="0" collapsed="false">
      <c r="A19" s="23" t="s">
        <v>84</v>
      </c>
      <c r="B19" s="27" t="n">
        <f aca="false">IFERROR(1-(1-B8/B7)^12,0)</f>
        <v>0.632333612345118</v>
      </c>
      <c r="C19" s="27" t="n">
        <f aca="false">IFERROR(1-(1-B8/C7)^12,0)</f>
        <v>0.595899079944086</v>
      </c>
      <c r="D19" s="27" t="n">
        <f aca="false">IFERROR(1-(1-B8/D7)^12,0)</f>
        <v>0.569346348215505</v>
      </c>
      <c r="E19" s="27" t="n">
        <f aca="false">IFERROR(1-(1-B8/E7)^12,0)</f>
        <v>0.547821212618783</v>
      </c>
      <c r="F19" s="27" t="n">
        <f aca="false">IFERROR(1-(1-B8/F7)^12,0)</f>
        <v>0.533343047655363</v>
      </c>
      <c r="G19" s="27" t="n">
        <f aca="false">IFERROR(1-(1-B8/G7)^12,0)</f>
        <v>0.516882537733186</v>
      </c>
      <c r="H19" s="28" t="s">
        <v>85</v>
      </c>
    </row>
    <row r="20" customFormat="false" ht="19.5" hidden="false" customHeight="true" outlineLevel="0" collapsed="false">
      <c r="A20" s="23" t="s">
        <v>86</v>
      </c>
      <c r="B20" s="27" t="n">
        <f aca="false">IFERROR(B11/B10,0)</f>
        <v>0.064</v>
      </c>
      <c r="C20" s="27" t="n">
        <f aca="false">IFERROR(C11/C10,0)</f>
        <v>0.0509090909090909</v>
      </c>
      <c r="D20" s="27" t="n">
        <f aca="false">IFERROR(D11/D10,0)</f>
        <v>0.0598290598290598</v>
      </c>
      <c r="E20" s="27" t="n">
        <f aca="false">IFERROR(E11/E10,0)</f>
        <v>0.0403225806451613</v>
      </c>
      <c r="F20" s="27" t="n">
        <f aca="false">IFERROR(F11/F10,0)</f>
        <v>0.048062015503876</v>
      </c>
      <c r="G20" s="27" t="n">
        <f aca="false">IFERROR(G11/G10,0)</f>
        <v>0.0417910447761194</v>
      </c>
      <c r="H20" s="28" t="s">
        <v>87</v>
      </c>
    </row>
    <row r="21" customFormat="false" ht="19.5" hidden="false" customHeight="true" outlineLevel="0" collapsed="false">
      <c r="A21" s="23" t="s">
        <v>88</v>
      </c>
      <c r="B21" s="27" t="n">
        <f aca="false">IFERROR(1-(1-B11/B10)^12,0)</f>
        <v>0.547821212618783</v>
      </c>
      <c r="C21" s="27" t="n">
        <f aca="false">IFERROR(1-(1-C11/C10)^12,0)</f>
        <v>0.465812449824105</v>
      </c>
      <c r="D21" s="27" t="n">
        <f aca="false">IFERROR(1-(1-D11/D10)^12,0)</f>
        <v>0.523040085381414</v>
      </c>
      <c r="E21" s="27" t="n">
        <f aca="false">IFERROR(1-(1-E11/E10)^12,0)</f>
        <v>0.389756285672625</v>
      </c>
      <c r="F21" s="27" t="n">
        <f aca="false">IFERROR(1-(1-F11/F10)^12,0)</f>
        <v>0.446262573393779</v>
      </c>
      <c r="G21" s="27" t="n">
        <f aca="false">IFERROR(1-(1-G11/G10)^12,0)</f>
        <v>0.400867740261492</v>
      </c>
      <c r="H21" s="28" t="s">
        <v>89</v>
      </c>
    </row>
    <row r="22" customFormat="false" ht="19.5" hidden="false" customHeight="true" outlineLevel="0" collapsed="false">
      <c r="A22" s="23" t="s">
        <v>90</v>
      </c>
      <c r="B22" s="27" t="n">
        <f aca="false">IFERROR((B10-B11+B12)/B10,0)</f>
        <v>0.978</v>
      </c>
      <c r="C22" s="27" t="n">
        <f aca="false">IFERROR((C10-C11+C12)/C10,0)</f>
        <v>0.981818181818182</v>
      </c>
      <c r="D22" s="27" t="n">
        <f aca="false">IFERROR((D10-D11+D12)/D10,0)</f>
        <v>0.977777777777778</v>
      </c>
      <c r="E22" s="27" t="n">
        <f aca="false">IFERROR((E10-E11+E12)/E10,0)</f>
        <v>0.987096774193548</v>
      </c>
      <c r="F22" s="27" t="n">
        <f aca="false">IFERROR((F10-F11+F12)/F10,0)</f>
        <v>0.982945736434109</v>
      </c>
      <c r="G22" s="27" t="n">
        <f aca="false">IFERROR((G10-G11+G12)/G10,0)</f>
        <v>0.986567164179105</v>
      </c>
      <c r="H22" s="28" t="s">
        <v>91</v>
      </c>
    </row>
    <row r="23" customFormat="false" ht="19.5" hidden="false" customHeight="true" outlineLevel="0" collapsed="false">
      <c r="A23" s="23" t="s">
        <v>92</v>
      </c>
      <c r="B23" s="27" t="n">
        <f aca="false">IFERROR(((B10-B11+B12)/B10)^12,0)</f>
        <v>0.765713417857855</v>
      </c>
      <c r="C23" s="27" t="n">
        <f aca="false">IFERROR(((C10-C11+C12)/C10)^12,0)</f>
        <v>0.802366603455816</v>
      </c>
      <c r="D23" s="27" t="n">
        <f aca="false">IFERROR(((D10-D11+D12)/D10)^12,0)</f>
        <v>0.763628190269646</v>
      </c>
      <c r="E23" s="27" t="n">
        <f aca="false">IFERROR(((E10-E11+E12)/E10)^12,0)</f>
        <v>0.855690660287753</v>
      </c>
      <c r="F23" s="27" t="n">
        <f aca="false">IFERROR(((F10-F11+F12)/F10)^12,0)</f>
        <v>0.813494308790573</v>
      </c>
      <c r="G23" s="27" t="n">
        <f aca="false">IFERROR(((G10-G11+G12)/G10)^12,0)</f>
        <v>0.850197613200793</v>
      </c>
      <c r="H23" s="28" t="s">
        <v>93</v>
      </c>
    </row>
    <row r="24" customFormat="false" ht="30" hidden="false" customHeight="true" outlineLevel="0" collapsed="false">
      <c r="A24" s="26" t="s">
        <v>94</v>
      </c>
      <c r="B24" s="26"/>
      <c r="C24" s="26"/>
      <c r="D24" s="26"/>
      <c r="E24" s="26"/>
      <c r="F24" s="26"/>
      <c r="G24" s="26"/>
      <c r="H24" s="26"/>
    </row>
    <row r="25" customFormat="false" ht="6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</row>
    <row r="26" customFormat="false" ht="21.75" hidden="false" customHeight="true" outlineLevel="0" collapsed="false">
      <c r="A26" s="21" t="s">
        <v>95</v>
      </c>
      <c r="B26" s="21"/>
      <c r="C26" s="21"/>
      <c r="D26" s="21"/>
      <c r="E26" s="21"/>
      <c r="F26" s="21"/>
      <c r="G26" s="21"/>
      <c r="H26" s="21"/>
    </row>
    <row r="27" customFormat="false" ht="60" hidden="false" customHeight="true" outlineLevel="0" collapsed="false">
      <c r="A27" s="29" t="s">
        <v>96</v>
      </c>
      <c r="B27" s="29"/>
      <c r="C27" s="29"/>
      <c r="D27" s="29"/>
      <c r="E27" s="29"/>
      <c r="F27" s="29"/>
      <c r="G27" s="29"/>
      <c r="H27" s="29"/>
    </row>
  </sheetData>
  <mergeCells count="11">
    <mergeCell ref="A1:H1"/>
    <mergeCell ref="A2:H2"/>
    <mergeCell ref="A3:B3"/>
    <mergeCell ref="C3:D3"/>
    <mergeCell ref="E3:F3"/>
    <mergeCell ref="A5:H5"/>
    <mergeCell ref="A14:H14"/>
    <mergeCell ref="A16:H16"/>
    <mergeCell ref="A24:H24"/>
    <mergeCell ref="A26:H26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3" min="2" style="1" width="12"/>
  </cols>
  <sheetData>
    <row r="1" customFormat="false" ht="36" hidden="false" customHeight="true" outlineLevel="0" collapsed="false">
      <c r="A1" s="15" t="s">
        <v>97</v>
      </c>
      <c r="B1" s="15"/>
      <c r="C1" s="15"/>
      <c r="D1" s="15"/>
      <c r="E1" s="15"/>
      <c r="F1" s="15"/>
      <c r="G1" s="15"/>
      <c r="H1" s="15"/>
    </row>
    <row r="2" customFormat="false" ht="48" hidden="false" customHeight="true" outlineLevel="0" collapsed="false">
      <c r="A2" s="16" t="s">
        <v>98</v>
      </c>
      <c r="B2" s="16"/>
      <c r="C2" s="16"/>
      <c r="D2" s="16"/>
      <c r="E2" s="16"/>
      <c r="F2" s="16"/>
      <c r="G2" s="16"/>
      <c r="H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99</v>
      </c>
      <c r="B5" s="21"/>
      <c r="C5" s="21"/>
      <c r="D5" s="21"/>
      <c r="E5" s="21"/>
      <c r="F5" s="21"/>
      <c r="G5" s="21"/>
      <c r="H5" s="21"/>
    </row>
    <row r="6" customFormat="false" ht="19.5" hidden="false" customHeight="true" outlineLevel="0" collapsed="false">
      <c r="A6" s="22" t="s">
        <v>66</v>
      </c>
      <c r="B6" s="22" t="s">
        <v>100</v>
      </c>
      <c r="C6" s="22" t="s">
        <v>101</v>
      </c>
      <c r="D6" s="22" t="s">
        <v>102</v>
      </c>
      <c r="E6" s="22" t="s">
        <v>103</v>
      </c>
      <c r="F6" s="22" t="s">
        <v>104</v>
      </c>
      <c r="G6" s="22" t="s">
        <v>105</v>
      </c>
      <c r="H6" s="22" t="s">
        <v>106</v>
      </c>
      <c r="I6" s="22" t="s">
        <v>107</v>
      </c>
      <c r="J6" s="22" t="s">
        <v>108</v>
      </c>
      <c r="K6" s="22" t="s">
        <v>109</v>
      </c>
      <c r="L6" s="22" t="s">
        <v>110</v>
      </c>
      <c r="M6" s="22" t="s">
        <v>111</v>
      </c>
    </row>
    <row r="7" customFormat="false" ht="19.5" hidden="false" customHeight="true" outlineLevel="0" collapsed="false">
      <c r="A7" s="30" t="s">
        <v>112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customFormat="false" ht="19.5" hidden="false" customHeight="true" outlineLevel="0" collapsed="false">
      <c r="A8" s="30" t="s">
        <v>113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customFormat="false" ht="19.5" hidden="false" customHeight="true" outlineLevel="0" collapsed="false">
      <c r="A9" s="30" t="s">
        <v>114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customFormat="false" ht="19.5" hidden="false" customHeight="true" outlineLevel="0" collapsed="false">
      <c r="A10" s="30" t="s">
        <v>115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  <row r="11" customFormat="false" ht="19.5" hidden="false" customHeight="true" outlineLevel="0" collapsed="false">
      <c r="A11" s="31" t="s">
        <v>116</v>
      </c>
      <c r="B11" s="32" t="n">
        <f aca="false">B7-B8-B9</f>
        <v>0</v>
      </c>
      <c r="C11" s="32" t="n">
        <f aca="false">C7-C8-C9</f>
        <v>0</v>
      </c>
      <c r="D11" s="32" t="n">
        <f aca="false">D7-D8-D9</f>
        <v>0</v>
      </c>
      <c r="E11" s="32" t="n">
        <f aca="false">E7-E8-E9</f>
        <v>0</v>
      </c>
      <c r="F11" s="32" t="n">
        <f aca="false">F7-F8-F9</f>
        <v>0</v>
      </c>
      <c r="G11" s="32" t="n">
        <f aca="false">G7-G8-G9</f>
        <v>0</v>
      </c>
      <c r="H11" s="32" t="n">
        <f aca="false">H7-H8-H9</f>
        <v>0</v>
      </c>
      <c r="I11" s="32" t="n">
        <f aca="false">I7-I8-I9</f>
        <v>0</v>
      </c>
      <c r="J11" s="32" t="n">
        <f aca="false">J7-J8-J9</f>
        <v>0</v>
      </c>
      <c r="K11" s="32" t="n">
        <f aca="false">K7-K8-K9</f>
        <v>0</v>
      </c>
      <c r="L11" s="32" t="n">
        <f aca="false">L7-L8-L9</f>
        <v>0</v>
      </c>
      <c r="M11" s="32" t="n">
        <f aca="false">M7-M8-M9</f>
        <v>0</v>
      </c>
    </row>
    <row r="12" customFormat="false" ht="19.5" hidden="false" customHeight="true" outlineLevel="0" collapsed="false">
      <c r="A12" s="31" t="s">
        <v>117</v>
      </c>
      <c r="B12" s="27" t="n">
        <f aca="false">IFERROR((B7-B8-B9)/B7,0)</f>
        <v>0</v>
      </c>
      <c r="C12" s="27" t="n">
        <f aca="false">IFERROR((C7-C8-C9)/C7,0)</f>
        <v>0</v>
      </c>
      <c r="D12" s="27" t="n">
        <f aca="false">IFERROR((D7-D8-D9)/D7,0)</f>
        <v>0</v>
      </c>
      <c r="E12" s="27" t="n">
        <f aca="false">IFERROR((E7-E8-E9)/E7,0)</f>
        <v>0</v>
      </c>
      <c r="F12" s="27" t="n">
        <f aca="false">IFERROR((F7-F8-F9)/F7,0)</f>
        <v>0</v>
      </c>
      <c r="G12" s="27" t="n">
        <f aca="false">IFERROR((G7-G8-G9)/G7,0)</f>
        <v>0</v>
      </c>
      <c r="H12" s="27" t="n">
        <f aca="false">IFERROR((H7-H8-H9)/H7,0)</f>
        <v>0</v>
      </c>
      <c r="I12" s="27" t="n">
        <f aca="false">IFERROR((I7-I8-I9)/I7,0)</f>
        <v>0</v>
      </c>
      <c r="J12" s="27" t="n">
        <f aca="false">IFERROR((J7-J8-J9)/J7,0)</f>
        <v>0</v>
      </c>
      <c r="K12" s="27" t="n">
        <f aca="false">IFERROR((K7-K8-K9)/K7,0)</f>
        <v>0</v>
      </c>
      <c r="L12" s="27" t="n">
        <f aca="false">IFERROR((L7-L8-L9)/L7,0)</f>
        <v>0</v>
      </c>
      <c r="M12" s="27" t="n">
        <f aca="false">IFERROR((M7-M8-M9)/M7,0)</f>
        <v>0</v>
      </c>
    </row>
    <row r="13" customFormat="false" ht="19.5" hidden="false" customHeight="true" outlineLevel="0" collapsed="false">
      <c r="A13" s="31" t="s">
        <v>118</v>
      </c>
      <c r="B13" s="32" t="n">
        <f aca="false">B7-B8-B9+B10</f>
        <v>0</v>
      </c>
      <c r="C13" s="32" t="n">
        <f aca="false">C7-C8-C9+C10</f>
        <v>0</v>
      </c>
      <c r="D13" s="32" t="n">
        <f aca="false">D7-D8-D9+D10</f>
        <v>0</v>
      </c>
      <c r="E13" s="32" t="n">
        <f aca="false">E7-E8-E9+E10</f>
        <v>0</v>
      </c>
      <c r="F13" s="32" t="n">
        <f aca="false">F7-F8-F9+F10</f>
        <v>0</v>
      </c>
      <c r="G13" s="32" t="n">
        <f aca="false">G7-G8-G9+G10</f>
        <v>0</v>
      </c>
      <c r="H13" s="32" t="n">
        <f aca="false">H7-H8-H9+H10</f>
        <v>0</v>
      </c>
      <c r="I13" s="32" t="n">
        <f aca="false">I7-I8-I9+I10</f>
        <v>0</v>
      </c>
      <c r="J13" s="32" t="n">
        <f aca="false">J7-J8-J9+J10</f>
        <v>0</v>
      </c>
      <c r="K13" s="32" t="n">
        <f aca="false">K7-K8-K9+K10</f>
        <v>0</v>
      </c>
      <c r="L13" s="32" t="n">
        <f aca="false">L7-L8-L9+L10</f>
        <v>0</v>
      </c>
      <c r="M13" s="32" t="n">
        <f aca="false">M7-M8-M9+M10</f>
        <v>0</v>
      </c>
    </row>
    <row r="14" customFormat="false" ht="19.5" hidden="false" customHeight="true" outlineLevel="0" collapsed="false">
      <c r="A14" s="31" t="s">
        <v>119</v>
      </c>
      <c r="B14" s="27" t="n">
        <f aca="false">IFERROR((B7-B8-B9+B10)/B7,0)</f>
        <v>0</v>
      </c>
      <c r="C14" s="27" t="n">
        <f aca="false">IFERROR((C7-C8-C9+C10)/C7,0)</f>
        <v>0</v>
      </c>
      <c r="D14" s="27" t="n">
        <f aca="false">IFERROR((D7-D8-D9+D10)/D7,0)</f>
        <v>0</v>
      </c>
      <c r="E14" s="27" t="n">
        <f aca="false">IFERROR((E7-E8-E9+E10)/E7,0)</f>
        <v>0</v>
      </c>
      <c r="F14" s="27" t="n">
        <f aca="false">IFERROR((F7-F8-F9+F10)/F7,0)</f>
        <v>0</v>
      </c>
      <c r="G14" s="27" t="n">
        <f aca="false">IFERROR((G7-G8-G9+G10)/G7,0)</f>
        <v>0</v>
      </c>
      <c r="H14" s="27" t="n">
        <f aca="false">IFERROR((H7-H8-H9+H10)/H7,0)</f>
        <v>0</v>
      </c>
      <c r="I14" s="27" t="n">
        <f aca="false">IFERROR((I7-I8-I9+I10)/I7,0)</f>
        <v>0</v>
      </c>
      <c r="J14" s="27" t="n">
        <f aca="false">IFERROR((J7-J8-J9+J10)/J7,0)</f>
        <v>0</v>
      </c>
      <c r="K14" s="27" t="n">
        <f aca="false">IFERROR((K7-K8-K9+K10)/K7,0)</f>
        <v>0</v>
      </c>
      <c r="L14" s="27" t="n">
        <f aca="false">IFERROR((L7-L8-L9+L10)/L7,0)</f>
        <v>0</v>
      </c>
      <c r="M14" s="27" t="n">
        <f aca="false">IFERROR((M7-M8-M9+M10)/M7,0)</f>
        <v>0</v>
      </c>
    </row>
    <row r="15" customFormat="false" ht="6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</row>
    <row r="16" customFormat="false" ht="21.75" hidden="false" customHeight="true" outlineLevel="0" collapsed="false">
      <c r="A16" s="21" t="s">
        <v>120</v>
      </c>
      <c r="B16" s="21"/>
      <c r="C16" s="21"/>
      <c r="D16" s="21"/>
      <c r="E16" s="21"/>
      <c r="F16" s="21"/>
      <c r="G16" s="21"/>
      <c r="H16" s="21"/>
    </row>
    <row r="17" customFormat="false" ht="19.5" hidden="false" customHeight="true" outlineLevel="0" collapsed="false">
      <c r="A17" s="22" t="s">
        <v>66</v>
      </c>
      <c r="B17" s="22"/>
      <c r="C17" s="22" t="s">
        <v>121</v>
      </c>
      <c r="D17" s="22"/>
      <c r="E17" s="22" t="s">
        <v>122</v>
      </c>
      <c r="F17" s="22"/>
      <c r="G17" s="22" t="s">
        <v>123</v>
      </c>
      <c r="H17" s="22"/>
      <c r="I17" s="22" t="s">
        <v>124</v>
      </c>
    </row>
    <row r="18" customFormat="false" ht="19.5" hidden="false" customHeight="true" outlineLevel="0" collapsed="false">
      <c r="A18" s="8" t="s">
        <v>125</v>
      </c>
      <c r="B18" s="33" t="s">
        <v>126</v>
      </c>
      <c r="C18" s="34" t="s">
        <v>127</v>
      </c>
      <c r="D18" s="35" t="s">
        <v>128</v>
      </c>
      <c r="E18" s="36" t="s">
        <v>129</v>
      </c>
      <c r="F18" s="37" t="s">
        <v>130</v>
      </c>
      <c r="G18" s="38" t="s">
        <v>131</v>
      </c>
      <c r="H18" s="39" t="s">
        <v>132</v>
      </c>
      <c r="I18" s="40" t="s">
        <v>133</v>
      </c>
    </row>
    <row r="19" customFormat="false" ht="19.5" hidden="false" customHeight="true" outlineLevel="0" collapsed="false">
      <c r="A19" s="8" t="s">
        <v>134</v>
      </c>
      <c r="B19" s="33" t="s">
        <v>126</v>
      </c>
      <c r="C19" s="34" t="s">
        <v>135</v>
      </c>
      <c r="D19" s="35" t="s">
        <v>136</v>
      </c>
      <c r="E19" s="36" t="s">
        <v>137</v>
      </c>
      <c r="F19" s="37" t="s">
        <v>138</v>
      </c>
      <c r="G19" s="38" t="s">
        <v>139</v>
      </c>
      <c r="H19" s="39" t="s">
        <v>140</v>
      </c>
      <c r="I19" s="40" t="s">
        <v>141</v>
      </c>
    </row>
  </sheetData>
  <mergeCells count="7">
    <mergeCell ref="A1:H1"/>
    <mergeCell ref="A2:H2"/>
    <mergeCell ref="A3:B3"/>
    <mergeCell ref="C3:D3"/>
    <mergeCell ref="E3:F3"/>
    <mergeCell ref="A5:H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4" min="2" style="1" width="11"/>
  </cols>
  <sheetData>
    <row r="1" customFormat="false" ht="36" hidden="false" customHeight="true" outlineLevel="0" collapsed="false">
      <c r="A1" s="15" t="s">
        <v>142</v>
      </c>
      <c r="B1" s="15"/>
      <c r="C1" s="15"/>
      <c r="D1" s="15"/>
      <c r="E1" s="15"/>
      <c r="F1" s="15"/>
      <c r="G1" s="15"/>
      <c r="H1" s="15"/>
      <c r="I1" s="15"/>
    </row>
    <row r="2" customFormat="false" ht="48" hidden="false" customHeight="true" outlineLevel="0" collapsed="false">
      <c r="A2" s="16" t="s">
        <v>143</v>
      </c>
      <c r="B2" s="16"/>
      <c r="C2" s="16"/>
      <c r="D2" s="16"/>
      <c r="E2" s="16"/>
      <c r="F2" s="16"/>
      <c r="G2" s="16"/>
      <c r="H2" s="16"/>
      <c r="I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144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customFormat="false" ht="19.5" hidden="false" customHeight="true" outlineLevel="0" collapsed="false">
      <c r="A6" s="22" t="s">
        <v>145</v>
      </c>
      <c r="B6" s="22" t="s">
        <v>100</v>
      </c>
      <c r="C6" s="22" t="s">
        <v>101</v>
      </c>
      <c r="D6" s="22" t="s">
        <v>102</v>
      </c>
      <c r="E6" s="22" t="s">
        <v>103</v>
      </c>
      <c r="F6" s="22" t="s">
        <v>104</v>
      </c>
      <c r="G6" s="22" t="s">
        <v>105</v>
      </c>
      <c r="H6" s="22" t="s">
        <v>106</v>
      </c>
      <c r="I6" s="22" t="s">
        <v>107</v>
      </c>
      <c r="J6" s="22" t="s">
        <v>108</v>
      </c>
      <c r="K6" s="22" t="s">
        <v>109</v>
      </c>
      <c r="L6" s="22" t="s">
        <v>110</v>
      </c>
      <c r="M6" s="22" t="s">
        <v>111</v>
      </c>
    </row>
    <row r="7" customFormat="false" ht="19.5" hidden="false" customHeight="true" outlineLevel="0" collapsed="false">
      <c r="A7" s="23" t="s">
        <v>146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customFormat="false" ht="19.5" hidden="false" customHeight="true" outlineLevel="0" collapsed="false">
      <c r="A8" s="23" t="s">
        <v>147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customFormat="false" ht="19.5" hidden="false" customHeight="true" outlineLevel="0" collapsed="false">
      <c r="A9" s="23" t="s">
        <v>148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customFormat="false" ht="19.5" hidden="false" customHeight="true" outlineLevel="0" collapsed="false">
      <c r="A10" s="23" t="s">
        <v>149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  <row r="11" customFormat="false" ht="19.5" hidden="false" customHeight="true" outlineLevel="0" collapsed="false">
      <c r="A11" s="23" t="s">
        <v>150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customFormat="false" ht="19.5" hidden="false" customHeight="true" outlineLevel="0" collapsed="false">
      <c r="A12" s="23" t="s">
        <v>151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customFormat="false" ht="6" hidden="false" customHeight="true" outlineLevel="0" collapsed="false">
      <c r="A13" s="20"/>
      <c r="B13" s="20"/>
      <c r="C13" s="20"/>
      <c r="D13" s="20"/>
      <c r="E13" s="20"/>
      <c r="F13" s="20"/>
      <c r="G13" s="20"/>
      <c r="H13" s="20"/>
    </row>
    <row r="14" customFormat="false" ht="21.75" hidden="false" customHeight="true" outlineLevel="0" collapsed="false">
      <c r="A14" s="21" t="s">
        <v>152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customFormat="false" ht="19.5" hidden="false" customHeight="true" outlineLevel="0" collapsed="false">
      <c r="A15" s="22" t="s">
        <v>145</v>
      </c>
      <c r="B15" s="22" t="s">
        <v>100</v>
      </c>
      <c r="C15" s="22" t="s">
        <v>101</v>
      </c>
      <c r="D15" s="22" t="s">
        <v>102</v>
      </c>
      <c r="E15" s="22" t="s">
        <v>103</v>
      </c>
      <c r="F15" s="22" t="s">
        <v>104</v>
      </c>
      <c r="G15" s="22" t="s">
        <v>105</v>
      </c>
      <c r="H15" s="22" t="s">
        <v>106</v>
      </c>
      <c r="I15" s="22" t="s">
        <v>107</v>
      </c>
      <c r="J15" s="22" t="s">
        <v>108</v>
      </c>
      <c r="K15" s="22" t="s">
        <v>109</v>
      </c>
      <c r="L15" s="22" t="s">
        <v>110</v>
      </c>
      <c r="M15" s="22" t="s">
        <v>111</v>
      </c>
    </row>
    <row r="16" customFormat="false" ht="19.5" hidden="false" customHeight="true" outlineLevel="0" collapsed="false">
      <c r="A16" s="31" t="s">
        <v>153</v>
      </c>
      <c r="B16" s="32" t="n">
        <f aca="false">B12+B7+B8+B9+B10+B11</f>
        <v>0</v>
      </c>
      <c r="C16" s="32" t="n">
        <f aca="false">C12+C7+C8+C9+C10+C11</f>
        <v>0</v>
      </c>
      <c r="D16" s="32" t="n">
        <f aca="false">D12+D7+D8+D9+D10+D11</f>
        <v>0</v>
      </c>
      <c r="E16" s="32" t="n">
        <f aca="false">E12+E7+E8+E9+E10+E11</f>
        <v>0</v>
      </c>
      <c r="F16" s="32" t="n">
        <f aca="false">F12+F7+F8+F9+F10+F11</f>
        <v>0</v>
      </c>
      <c r="G16" s="32" t="n">
        <f aca="false">G12+G7+G8+G9+G10+G11</f>
        <v>0</v>
      </c>
      <c r="H16" s="32" t="n">
        <f aca="false">H12+H7+H8+H9+H10+H11</f>
        <v>0</v>
      </c>
      <c r="I16" s="32" t="n">
        <f aca="false">I12+I7+I8+I9+I10+I11</f>
        <v>0</v>
      </c>
      <c r="J16" s="32" t="n">
        <f aca="false">J12+J7+J8+J9+J10+J11</f>
        <v>0</v>
      </c>
      <c r="K16" s="32" t="n">
        <f aca="false">K12+K7+K8+K9+K10+K11</f>
        <v>0</v>
      </c>
      <c r="L16" s="32" t="n">
        <f aca="false">L12+L7+L8+L9+L10+L11</f>
        <v>0</v>
      </c>
      <c r="M16" s="32" t="n">
        <f aca="false">M12+M7+M8+M9+M10+M11</f>
        <v>0</v>
      </c>
    </row>
    <row r="17" customFormat="false" ht="19.5" hidden="false" customHeight="true" outlineLevel="0" collapsed="false">
      <c r="A17" s="31" t="s">
        <v>154</v>
      </c>
      <c r="B17" s="32" t="n">
        <f aca="false">B7+B8+B9+B10+B11</f>
        <v>0</v>
      </c>
      <c r="C17" s="32" t="n">
        <f aca="false">C7+C8+C9+C10+C11</f>
        <v>0</v>
      </c>
      <c r="D17" s="32" t="n">
        <f aca="false">D7+D8+D9+D10+D11</f>
        <v>0</v>
      </c>
      <c r="E17" s="32" t="n">
        <f aca="false">E7+E8+E9+E10+E11</f>
        <v>0</v>
      </c>
      <c r="F17" s="32" t="n">
        <f aca="false">F7+F8+F9+F10+F11</f>
        <v>0</v>
      </c>
      <c r="G17" s="32" t="n">
        <f aca="false">G7+G8+G9+G10+G11</f>
        <v>0</v>
      </c>
      <c r="H17" s="32" t="n">
        <f aca="false">H7+H8+H9+H10+H11</f>
        <v>0</v>
      </c>
      <c r="I17" s="32" t="n">
        <f aca="false">I7+I8+I9+I10+I11</f>
        <v>0</v>
      </c>
      <c r="J17" s="32" t="n">
        <f aca="false">J7+J8+J9+J10+J11</f>
        <v>0</v>
      </c>
      <c r="K17" s="32" t="n">
        <f aca="false">K7+K8+K9+K10+K11</f>
        <v>0</v>
      </c>
      <c r="L17" s="32" t="n">
        <f aca="false">L7+L8+L9+L10+L11</f>
        <v>0</v>
      </c>
      <c r="M17" s="32" t="n">
        <f aca="false">M7+M8+M9+M10+M11</f>
        <v>0</v>
      </c>
    </row>
    <row r="18" customFormat="false" ht="19.5" hidden="false" customHeight="true" outlineLevel="0" collapsed="false">
      <c r="A18" s="31" t="s">
        <v>155</v>
      </c>
      <c r="B18" s="27" t="n">
        <f aca="false">IFERROR((B16-B12)/B12,0)</f>
        <v>0</v>
      </c>
      <c r="C18" s="27" t="n">
        <f aca="false">IFERROR((C16-C12)/C12,0)</f>
        <v>0</v>
      </c>
      <c r="D18" s="27" t="n">
        <f aca="false">IFERROR((D16-D12)/D12,0)</f>
        <v>0</v>
      </c>
      <c r="E18" s="27" t="n">
        <f aca="false">IFERROR((E16-E12)/E12,0)</f>
        <v>0</v>
      </c>
      <c r="F18" s="27" t="n">
        <f aca="false">IFERROR((F16-F12)/F12,0)</f>
        <v>0</v>
      </c>
      <c r="G18" s="27" t="n">
        <f aca="false">IFERROR((G16-G12)/G12,0)</f>
        <v>0</v>
      </c>
      <c r="H18" s="27" t="n">
        <f aca="false">IFERROR((H16-H12)/H12,0)</f>
        <v>0</v>
      </c>
      <c r="I18" s="27" t="n">
        <f aca="false">IFERROR((I16-I12)/I12,0)</f>
        <v>0</v>
      </c>
      <c r="J18" s="27" t="n">
        <f aca="false">IFERROR((J16-J12)/J12,0)</f>
        <v>0</v>
      </c>
      <c r="K18" s="27" t="n">
        <f aca="false">IFERROR((K16-K12)/K12,0)</f>
        <v>0</v>
      </c>
      <c r="L18" s="27" t="n">
        <f aca="false">IFERROR((L16-L12)/L12,0)</f>
        <v>0</v>
      </c>
      <c r="M18" s="27" t="n">
        <f aca="false">IFERROR((M16-M12)/M12,0)</f>
        <v>0</v>
      </c>
    </row>
    <row r="19" customFormat="false" ht="19.5" hidden="false" customHeight="true" outlineLevel="0" collapsed="false">
      <c r="A19" s="31" t="s">
        <v>156</v>
      </c>
      <c r="B19" s="41" t="n">
        <f aca="false">IFERROR((B7+B8)/ABS(B10+B11),0)</f>
        <v>0</v>
      </c>
      <c r="C19" s="41" t="n">
        <f aca="false">IFERROR((C7+C8)/ABS(C10+C11),0)</f>
        <v>0</v>
      </c>
      <c r="D19" s="41" t="n">
        <f aca="false">IFERROR((D7+D8)/ABS(D10+D11),0)</f>
        <v>0</v>
      </c>
      <c r="E19" s="41" t="n">
        <f aca="false">IFERROR((E7+E8)/ABS(E10+E11),0)</f>
        <v>0</v>
      </c>
      <c r="F19" s="41" t="n">
        <f aca="false">IFERROR((F7+F8)/ABS(F10+F11),0)</f>
        <v>0</v>
      </c>
      <c r="G19" s="41" t="n">
        <f aca="false">IFERROR((G7+G8)/ABS(G10+G11),0)</f>
        <v>0</v>
      </c>
      <c r="H19" s="41" t="n">
        <f aca="false">IFERROR((H7+H8)/ABS(H10+H11),0)</f>
        <v>0</v>
      </c>
      <c r="I19" s="41" t="n">
        <f aca="false">IFERROR((I7+I8)/ABS(I10+I11),0)</f>
        <v>0</v>
      </c>
      <c r="J19" s="41" t="n">
        <f aca="false">IFERROR((J7+J8)/ABS(J10+J11),0)</f>
        <v>0</v>
      </c>
      <c r="K19" s="41" t="n">
        <f aca="false">IFERROR((K7+K8)/ABS(K10+K11),0)</f>
        <v>0</v>
      </c>
      <c r="L19" s="41" t="n">
        <f aca="false">IFERROR((L7+L8)/ABS(L10+L11),0)</f>
        <v>0</v>
      </c>
      <c r="M19" s="41" t="n">
        <f aca="false">IFERROR((M7+M8)/ABS(M10+M11),0)</f>
        <v>0</v>
      </c>
    </row>
    <row r="20" customFormat="false" ht="30" hidden="false" customHeight="true" outlineLevel="0" collapsed="false">
      <c r="A20" s="26" t="s">
        <v>157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customFormat="false" ht="30" hidden="false" customHeight="true" outlineLevel="0" collapsed="false">
      <c r="A21" s="42" t="s">
        <v>158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</sheetData>
  <mergeCells count="9">
    <mergeCell ref="A1:I1"/>
    <mergeCell ref="A2:I2"/>
    <mergeCell ref="A3:B3"/>
    <mergeCell ref="C3:D3"/>
    <mergeCell ref="E3:F3"/>
    <mergeCell ref="A5:M5"/>
    <mergeCell ref="A14:M14"/>
    <mergeCell ref="A20:M20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6"/>
    <col collapsed="false" customWidth="true" hidden="false" outlineLevel="0" max="8" min="8" style="1" width="20"/>
  </cols>
  <sheetData>
    <row r="1" customFormat="false" ht="36" hidden="false" customHeight="true" outlineLevel="0" collapsed="false">
      <c r="A1" s="15" t="s">
        <v>159</v>
      </c>
      <c r="B1" s="15"/>
      <c r="C1" s="15"/>
      <c r="D1" s="15"/>
      <c r="E1" s="15"/>
      <c r="F1" s="15"/>
      <c r="G1" s="15"/>
      <c r="H1" s="15"/>
    </row>
    <row r="2" customFormat="false" ht="48" hidden="false" customHeight="true" outlineLevel="0" collapsed="false">
      <c r="A2" s="16" t="s">
        <v>160</v>
      </c>
      <c r="B2" s="16"/>
      <c r="C2" s="16"/>
      <c r="D2" s="16"/>
      <c r="E2" s="16"/>
      <c r="F2" s="16"/>
      <c r="G2" s="16"/>
      <c r="H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161</v>
      </c>
      <c r="B5" s="21"/>
      <c r="C5" s="21"/>
      <c r="D5" s="21"/>
      <c r="E5" s="21"/>
      <c r="F5" s="21"/>
      <c r="G5" s="21"/>
      <c r="H5" s="21"/>
    </row>
    <row r="6" customFormat="false" ht="19.5" hidden="false" customHeight="true" outlineLevel="0" collapsed="false">
      <c r="A6" s="22" t="s">
        <v>66</v>
      </c>
      <c r="B6" s="22" t="s">
        <v>162</v>
      </c>
      <c r="C6" s="22" t="s">
        <v>163</v>
      </c>
      <c r="D6" s="22"/>
      <c r="E6" s="22"/>
    </row>
    <row r="7" customFormat="false" ht="19.5" hidden="false" customHeight="true" outlineLevel="0" collapsed="false">
      <c r="A7" s="23" t="s">
        <v>164</v>
      </c>
      <c r="B7" s="25"/>
      <c r="C7" s="43" t="s">
        <v>165</v>
      </c>
      <c r="D7" s="43"/>
      <c r="E7" s="43"/>
    </row>
    <row r="8" customFormat="false" ht="19.5" hidden="false" customHeight="true" outlineLevel="0" collapsed="false">
      <c r="A8" s="23" t="s">
        <v>166</v>
      </c>
      <c r="B8" s="44"/>
      <c r="C8" s="43" t="s">
        <v>165</v>
      </c>
      <c r="D8" s="43"/>
      <c r="E8" s="43"/>
    </row>
    <row r="9" customFormat="false" ht="19.5" hidden="false" customHeight="true" outlineLevel="0" collapsed="false">
      <c r="A9" s="23" t="s">
        <v>167</v>
      </c>
      <c r="B9" s="25"/>
      <c r="C9" s="43" t="s">
        <v>165</v>
      </c>
      <c r="D9" s="43"/>
      <c r="E9" s="43"/>
    </row>
    <row r="10" customFormat="false" ht="19.5" hidden="false" customHeight="true" outlineLevel="0" collapsed="false">
      <c r="A10" s="23" t="s">
        <v>168</v>
      </c>
      <c r="B10" s="45"/>
      <c r="C10" s="43" t="s">
        <v>165</v>
      </c>
      <c r="D10" s="43"/>
      <c r="E10" s="43"/>
    </row>
    <row r="11" customFormat="false" ht="19.5" hidden="false" customHeight="true" outlineLevel="0" collapsed="false">
      <c r="A11" s="23" t="s">
        <v>169</v>
      </c>
      <c r="B11" s="32" t="n">
        <f aca="false">B9*B10</f>
        <v>0</v>
      </c>
      <c r="C11" s="43" t="s">
        <v>165</v>
      </c>
      <c r="D11" s="43"/>
      <c r="E11" s="43"/>
    </row>
    <row r="12" customFormat="false" ht="6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</row>
    <row r="13" customFormat="false" ht="21.75" hidden="false" customHeight="true" outlineLevel="0" collapsed="false">
      <c r="A13" s="21" t="s">
        <v>170</v>
      </c>
      <c r="B13" s="21"/>
      <c r="C13" s="21"/>
      <c r="D13" s="21"/>
      <c r="E13" s="21"/>
      <c r="F13" s="21"/>
      <c r="G13" s="21"/>
      <c r="H13" s="21"/>
    </row>
    <row r="14" customFormat="false" ht="19.5" hidden="false" customHeight="true" outlineLevel="0" collapsed="false">
      <c r="A14" s="22" t="s">
        <v>66</v>
      </c>
      <c r="B14" s="22" t="s">
        <v>171</v>
      </c>
      <c r="C14" s="22" t="s">
        <v>172</v>
      </c>
    </row>
    <row r="15" customFormat="false" ht="19.5" hidden="false" customHeight="true" outlineLevel="0" collapsed="false">
      <c r="A15" s="46" t="s">
        <v>173</v>
      </c>
      <c r="B15" s="32" t="n">
        <f aca="false">IFERROR(B7/IF(B8=0,1,B8),0)</f>
        <v>0</v>
      </c>
      <c r="C15" s="28" t="s">
        <v>174</v>
      </c>
      <c r="D15" s="28"/>
      <c r="E15" s="28"/>
    </row>
    <row r="16" customFormat="false" ht="19.5" hidden="false" customHeight="true" outlineLevel="0" collapsed="false">
      <c r="A16" s="23" t="s">
        <v>175</v>
      </c>
      <c r="B16" s="47" t="n">
        <f aca="false">IFERROR(B14/B9,0)</f>
        <v>0</v>
      </c>
      <c r="C16" s="28" t="s">
        <v>176</v>
      </c>
      <c r="D16" s="28"/>
      <c r="E16" s="28"/>
    </row>
    <row r="17" customFormat="false" ht="19.5" hidden="false" customHeight="true" outlineLevel="0" collapsed="false">
      <c r="A17" s="46" t="s">
        <v>177</v>
      </c>
      <c r="B17" s="47" t="n">
        <f aca="false">IFERROR(B14/B11,0)</f>
        <v>0</v>
      </c>
      <c r="C17" s="28" t="s">
        <v>174</v>
      </c>
      <c r="D17" s="28"/>
      <c r="E17" s="28"/>
    </row>
    <row r="18" customFormat="false" ht="19.5" hidden="false" customHeight="true" outlineLevel="0" collapsed="false">
      <c r="A18" s="23" t="s">
        <v>178</v>
      </c>
      <c r="B18" s="32" t="n">
        <f aca="false">B11/0.015</f>
        <v>0</v>
      </c>
      <c r="C18" s="28" t="s">
        <v>179</v>
      </c>
      <c r="D18" s="28"/>
      <c r="E18" s="28"/>
    </row>
    <row r="19" customFormat="false" ht="19.5" hidden="false" customHeight="true" outlineLevel="0" collapsed="false">
      <c r="A19" s="46" t="s">
        <v>180</v>
      </c>
      <c r="B19" s="41" t="n">
        <f aca="false">IFERROR(B17/B14,0)</f>
        <v>0</v>
      </c>
      <c r="C19" s="28" t="s">
        <v>181</v>
      </c>
      <c r="D19" s="28"/>
      <c r="E19" s="28"/>
    </row>
  </sheetData>
  <mergeCells count="18">
    <mergeCell ref="A1:H1"/>
    <mergeCell ref="A2:H2"/>
    <mergeCell ref="A3:B3"/>
    <mergeCell ref="C3:D3"/>
    <mergeCell ref="E3:F3"/>
    <mergeCell ref="A5:H5"/>
    <mergeCell ref="C6:E6"/>
    <mergeCell ref="C7:E7"/>
    <mergeCell ref="C8:E8"/>
    <mergeCell ref="C9:E9"/>
    <mergeCell ref="C10:E10"/>
    <mergeCell ref="C11:E11"/>
    <mergeCell ref="A13:H13"/>
    <mergeCell ref="C15:E15"/>
    <mergeCell ref="C16:E16"/>
    <mergeCell ref="C17:E17"/>
    <mergeCell ref="C18:E18"/>
    <mergeCell ref="C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6"/>
    <col collapsed="false" customWidth="true" hidden="false" outlineLevel="0" max="5" min="5" style="1" width="18"/>
    <col collapsed="false" customWidth="true" hidden="false" outlineLevel="0" max="8" min="6" style="1" width="14"/>
    <col collapsed="false" customWidth="true" hidden="false" outlineLevel="0" max="9" min="9" style="1" width="18"/>
  </cols>
  <sheetData>
    <row r="1" customFormat="false" ht="36" hidden="false" customHeight="true" outlineLevel="0" collapsed="false">
      <c r="A1" s="15" t="s">
        <v>182</v>
      </c>
      <c r="B1" s="15"/>
      <c r="C1" s="15"/>
      <c r="D1" s="15"/>
      <c r="E1" s="15"/>
      <c r="F1" s="15"/>
      <c r="G1" s="15"/>
      <c r="H1" s="15"/>
      <c r="I1" s="15"/>
    </row>
    <row r="2" customFormat="false" ht="48" hidden="false" customHeight="true" outlineLevel="0" collapsed="false">
      <c r="A2" s="16" t="s">
        <v>183</v>
      </c>
      <c r="B2" s="16"/>
      <c r="C2" s="16"/>
      <c r="D2" s="16"/>
      <c r="E2" s="16"/>
      <c r="F2" s="16"/>
      <c r="G2" s="16"/>
      <c r="H2" s="16"/>
      <c r="I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184</v>
      </c>
      <c r="B5" s="21"/>
      <c r="C5" s="21"/>
      <c r="D5" s="21"/>
      <c r="E5" s="21"/>
      <c r="F5" s="21"/>
      <c r="G5" s="21"/>
      <c r="H5" s="21"/>
      <c r="I5" s="21"/>
    </row>
    <row r="6" customFormat="false" ht="19.5" hidden="false" customHeight="true" outlineLevel="0" collapsed="false">
      <c r="A6" s="22" t="s">
        <v>66</v>
      </c>
      <c r="B6" s="22" t="s">
        <v>162</v>
      </c>
      <c r="C6" s="22" t="s">
        <v>185</v>
      </c>
      <c r="D6" s="22" t="s">
        <v>186</v>
      </c>
      <c r="E6" s="22" t="s">
        <v>187</v>
      </c>
      <c r="F6" s="22"/>
      <c r="G6" s="22"/>
      <c r="H6" s="22"/>
      <c r="I6" s="22"/>
    </row>
    <row r="7" customFormat="false" ht="19.5" hidden="false" customHeight="true" outlineLevel="0" collapsed="false">
      <c r="A7" s="46" t="s">
        <v>188</v>
      </c>
      <c r="B7" s="25"/>
      <c r="C7" s="28" t="s">
        <v>189</v>
      </c>
      <c r="D7" s="48" t="str">
        <f aca="false">IF(B7&lt;500,"Strong",IF(B7&lt;2000,"OK","Review"))</f>
        <v>Strong</v>
      </c>
      <c r="E7" s="49" t="s">
        <v>190</v>
      </c>
      <c r="F7" s="49"/>
      <c r="G7" s="49"/>
      <c r="H7" s="49"/>
      <c r="I7" s="49"/>
    </row>
    <row r="8" customFormat="false" ht="19.5" hidden="false" customHeight="true" outlineLevel="0" collapsed="false">
      <c r="A8" s="23" t="s">
        <v>191</v>
      </c>
      <c r="B8" s="25"/>
      <c r="C8" s="28" t="s">
        <v>192</v>
      </c>
      <c r="D8" s="48" t="str">
        <f aca="false">IF(B8&gt;200,"Strong",IF(B8&gt;100,"OK","Low"))</f>
        <v>Low</v>
      </c>
      <c r="E8" s="49" t="s">
        <v>193</v>
      </c>
      <c r="F8" s="49"/>
      <c r="G8" s="49"/>
      <c r="H8" s="49"/>
      <c r="I8" s="49"/>
    </row>
    <row r="9" customFormat="false" ht="19.5" hidden="false" customHeight="true" outlineLevel="0" collapsed="false">
      <c r="A9" s="46" t="s">
        <v>194</v>
      </c>
      <c r="B9" s="45"/>
      <c r="C9" s="28" t="s">
        <v>195</v>
      </c>
      <c r="D9" s="48" t="str">
        <f aca="false">IF(B9&gt;0.7,"Strong",IF(B9&gt;0.5,"OK","Risk"))</f>
        <v>Risk</v>
      </c>
      <c r="E9" s="49" t="s">
        <v>196</v>
      </c>
      <c r="F9" s="49"/>
      <c r="G9" s="49"/>
      <c r="H9" s="49"/>
      <c r="I9" s="49"/>
    </row>
    <row r="10" customFormat="false" ht="19.5" hidden="false" customHeight="true" outlineLevel="0" collapsed="false">
      <c r="A10" s="23" t="s">
        <v>197</v>
      </c>
      <c r="B10" s="45"/>
      <c r="C10" s="28" t="s">
        <v>198</v>
      </c>
      <c r="D10" s="48" t="str">
        <f aca="false">IF(B10&lt;0.015,"Strong",IF(B10&lt;0.03,"OK","High"))</f>
        <v>Strong</v>
      </c>
      <c r="E10" s="49" t="s">
        <v>199</v>
      </c>
      <c r="F10" s="49"/>
      <c r="G10" s="49"/>
      <c r="H10" s="49"/>
      <c r="I10" s="49"/>
    </row>
    <row r="11" customFormat="false" ht="19.5" hidden="false" customHeight="true" outlineLevel="0" collapsed="false">
      <c r="A11" s="46" t="s">
        <v>200</v>
      </c>
      <c r="B11" s="45"/>
      <c r="C11" s="28" t="s">
        <v>201</v>
      </c>
      <c r="D11" s="48" t="str">
        <f aca="false">IF(B11&lt;0.01,"Strong",IF(B11&lt;0.02,"OK","High"))</f>
        <v>Strong</v>
      </c>
      <c r="E11" s="49" t="s">
        <v>202</v>
      </c>
      <c r="F11" s="49"/>
      <c r="G11" s="49"/>
      <c r="H11" s="49"/>
      <c r="I11" s="49"/>
    </row>
    <row r="12" customFormat="false" ht="19.5" hidden="false" customHeight="true" outlineLevel="0" collapsed="false">
      <c r="A12" s="23" t="s">
        <v>203</v>
      </c>
      <c r="B12" s="45"/>
      <c r="C12" s="28" t="s">
        <v>204</v>
      </c>
      <c r="D12" s="48" t="str">
        <f aca="false">IF(B12&gt;1.2,"Top Decile",IF(B12&gt;=1,"OK","Shrinking"))</f>
        <v>Shrinking</v>
      </c>
      <c r="E12" s="49" t="s">
        <v>205</v>
      </c>
      <c r="F12" s="49"/>
      <c r="G12" s="49"/>
      <c r="H12" s="49"/>
      <c r="I12" s="49"/>
    </row>
    <row r="13" customFormat="false" ht="19.5" hidden="false" customHeight="true" outlineLevel="0" collapsed="false">
      <c r="A13" s="46" t="s">
        <v>206</v>
      </c>
      <c r="B13" s="44"/>
      <c r="C13" s="28" t="s">
        <v>207</v>
      </c>
      <c r="D13" s="48" t="str">
        <f aca="false">IF(B13&lt;30,"Fast",IF(B13&lt;90,"OK","Long"))</f>
        <v>Fast</v>
      </c>
      <c r="E13" s="49" t="s">
        <v>208</v>
      </c>
      <c r="F13" s="49"/>
      <c r="G13" s="49"/>
      <c r="H13" s="49"/>
      <c r="I13" s="49"/>
    </row>
    <row r="14" customFormat="false" ht="19.5" hidden="false" customHeight="true" outlineLevel="0" collapsed="false">
      <c r="A14" s="23" t="s">
        <v>209</v>
      </c>
      <c r="B14" s="25"/>
      <c r="C14" s="28" t="s">
        <v>210</v>
      </c>
      <c r="D14" s="48" t="str">
        <f aca="false">IF(B14&gt;25000,"Strong",IF(B14&gt;10000,"OK","Low"))</f>
        <v>Low</v>
      </c>
      <c r="E14" s="49" t="s">
        <v>211</v>
      </c>
      <c r="F14" s="49"/>
      <c r="G14" s="49"/>
      <c r="H14" s="49"/>
      <c r="I14" s="49"/>
    </row>
    <row r="15" customFormat="false" ht="6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</row>
    <row r="16" customFormat="false" ht="21.75" hidden="false" customHeight="true" outlineLevel="0" collapsed="false">
      <c r="A16" s="21" t="s">
        <v>212</v>
      </c>
      <c r="B16" s="21"/>
      <c r="C16" s="21"/>
      <c r="D16" s="21"/>
      <c r="E16" s="21"/>
      <c r="F16" s="21"/>
      <c r="G16" s="21"/>
      <c r="H16" s="21"/>
      <c r="I16" s="21"/>
    </row>
    <row r="17" customFormat="false" ht="19.5" hidden="false" customHeight="true" outlineLevel="0" collapsed="false">
      <c r="A17" s="22" t="s">
        <v>66</v>
      </c>
      <c r="B17" s="22" t="s">
        <v>213</v>
      </c>
      <c r="C17" s="22" t="s">
        <v>214</v>
      </c>
      <c r="D17" s="22" t="s">
        <v>215</v>
      </c>
      <c r="E17" s="22"/>
      <c r="F17" s="22"/>
      <c r="G17" s="22"/>
      <c r="H17" s="22"/>
      <c r="I17" s="22"/>
    </row>
    <row r="18" customFormat="false" ht="19.5" hidden="false" customHeight="true" outlineLevel="0" collapsed="false">
      <c r="A18" s="23" t="s">
        <v>216</v>
      </c>
      <c r="B18" s="50" t="n">
        <f aca="false">IFERROR(B7/(B8*B9),0)</f>
        <v>0</v>
      </c>
      <c r="D18" s="28" t="s">
        <v>217</v>
      </c>
      <c r="E18" s="28"/>
      <c r="F18" s="28"/>
      <c r="G18" s="28"/>
      <c r="H18" s="28"/>
      <c r="I18" s="28"/>
    </row>
    <row r="19" customFormat="false" ht="19.5" hidden="false" customHeight="true" outlineLevel="0" collapsed="false">
      <c r="A19" s="46" t="s">
        <v>218</v>
      </c>
      <c r="B19" s="32" t="n">
        <f aca="false">IFERROR((B8*B9)/B11,0)</f>
        <v>0</v>
      </c>
      <c r="D19" s="28" t="s">
        <v>219</v>
      </c>
      <c r="E19" s="28"/>
      <c r="F19" s="28"/>
      <c r="G19" s="28"/>
      <c r="H19" s="28"/>
      <c r="I19" s="28"/>
    </row>
    <row r="20" customFormat="false" ht="19.5" hidden="false" customHeight="true" outlineLevel="0" collapsed="false">
      <c r="A20" s="23" t="s">
        <v>180</v>
      </c>
      <c r="B20" s="41" t="n">
        <f aca="false">IFERROR(B17/B7,0)</f>
        <v>0</v>
      </c>
      <c r="D20" s="28" t="s">
        <v>220</v>
      </c>
      <c r="E20" s="28"/>
      <c r="F20" s="28"/>
      <c r="G20" s="28"/>
      <c r="H20" s="28"/>
      <c r="I20" s="28"/>
    </row>
    <row r="21" customFormat="false" ht="19.5" hidden="false" customHeight="true" outlineLevel="0" collapsed="false">
      <c r="A21" s="46" t="s">
        <v>221</v>
      </c>
      <c r="B21" s="50" t="n">
        <f aca="false">IFERROR(B7*3/(B8*B9),0)</f>
        <v>0</v>
      </c>
      <c r="D21" s="28" t="s">
        <v>222</v>
      </c>
      <c r="E21" s="28"/>
      <c r="F21" s="28"/>
      <c r="G21" s="28"/>
      <c r="H21" s="28"/>
      <c r="I21" s="28"/>
    </row>
  </sheetData>
  <mergeCells count="21">
    <mergeCell ref="A1:I1"/>
    <mergeCell ref="A2:I2"/>
    <mergeCell ref="A3:B3"/>
    <mergeCell ref="C3:D3"/>
    <mergeCell ref="E3:F3"/>
    <mergeCell ref="A5:I5"/>
    <mergeCell ref="E6:I6"/>
    <mergeCell ref="E7:I7"/>
    <mergeCell ref="E8:I8"/>
    <mergeCell ref="E9:I9"/>
    <mergeCell ref="E10:I10"/>
    <mergeCell ref="E11:I11"/>
    <mergeCell ref="E12:I12"/>
    <mergeCell ref="E13:I13"/>
    <mergeCell ref="E14:I14"/>
    <mergeCell ref="A16:I16"/>
    <mergeCell ref="D17:I17"/>
    <mergeCell ref="D18:I18"/>
    <mergeCell ref="D19:I19"/>
    <mergeCell ref="D20:I20"/>
    <mergeCell ref="D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4"/>
    <col collapsed="false" customWidth="true" hidden="false" outlineLevel="0" max="7" min="6" style="1" width="20"/>
    <col collapsed="false" customWidth="true" hidden="false" outlineLevel="0" max="8" min="8" style="1" width="10"/>
  </cols>
  <sheetData>
    <row r="1" customFormat="false" ht="36" hidden="false" customHeight="true" outlineLevel="0" collapsed="false">
      <c r="A1" s="15" t="s">
        <v>223</v>
      </c>
      <c r="B1" s="15"/>
      <c r="C1" s="15"/>
      <c r="D1" s="15"/>
      <c r="E1" s="15"/>
      <c r="F1" s="15"/>
      <c r="G1" s="15"/>
      <c r="H1" s="15"/>
    </row>
    <row r="2" customFormat="false" ht="48" hidden="false" customHeight="true" outlineLevel="0" collapsed="false">
      <c r="A2" s="16" t="s">
        <v>224</v>
      </c>
      <c r="B2" s="16"/>
      <c r="C2" s="16"/>
      <c r="D2" s="16"/>
      <c r="E2" s="16"/>
      <c r="F2" s="16"/>
      <c r="G2" s="16"/>
      <c r="H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225</v>
      </c>
      <c r="B5" s="21"/>
      <c r="C5" s="21"/>
      <c r="D5" s="21"/>
      <c r="E5" s="21"/>
      <c r="F5" s="21"/>
      <c r="G5" s="21"/>
      <c r="H5" s="21"/>
    </row>
    <row r="6" customFormat="false" ht="36" hidden="false" customHeight="true" outlineLevel="0" collapsed="false">
      <c r="A6" s="22" t="s">
        <v>226</v>
      </c>
      <c r="B6" s="22" t="s">
        <v>227</v>
      </c>
      <c r="C6" s="22" t="s">
        <v>228</v>
      </c>
      <c r="D6" s="22" t="s">
        <v>229</v>
      </c>
      <c r="E6" s="22" t="s">
        <v>230</v>
      </c>
      <c r="F6" s="22" t="s">
        <v>231</v>
      </c>
      <c r="G6" s="22" t="s">
        <v>232</v>
      </c>
      <c r="H6" s="22" t="s">
        <v>233</v>
      </c>
    </row>
    <row r="7" customFormat="false" ht="36" hidden="false" customHeight="true" outlineLevel="0" collapsed="false">
      <c r="A7" s="51" t="s">
        <v>234</v>
      </c>
      <c r="B7" s="24"/>
      <c r="C7" s="52" t="n">
        <v>0.25</v>
      </c>
      <c r="D7" s="47" t="n">
        <f aca="false">IFERROR(B7*C7,0)</f>
        <v>0</v>
      </c>
      <c r="E7" s="36" t="n">
        <v>4.2</v>
      </c>
      <c r="F7" s="53" t="s">
        <v>235</v>
      </c>
      <c r="G7" s="54" t="s">
        <v>236</v>
      </c>
      <c r="H7" s="55" t="s">
        <v>237</v>
      </c>
    </row>
    <row r="8" customFormat="false" ht="36" hidden="false" customHeight="true" outlineLevel="0" collapsed="false">
      <c r="A8" s="56" t="s">
        <v>238</v>
      </c>
      <c r="B8" s="24"/>
      <c r="C8" s="52" t="n">
        <v>0.15</v>
      </c>
      <c r="D8" s="47" t="n">
        <f aca="false">IFERROR(B8*C8,0)</f>
        <v>0</v>
      </c>
      <c r="E8" s="36" t="n">
        <v>3.8</v>
      </c>
      <c r="F8" s="53" t="s">
        <v>239</v>
      </c>
      <c r="G8" s="54" t="s">
        <v>236</v>
      </c>
      <c r="H8" s="55" t="s">
        <v>237</v>
      </c>
    </row>
    <row r="9" customFormat="false" ht="36" hidden="false" customHeight="true" outlineLevel="0" collapsed="false">
      <c r="A9" s="51" t="s">
        <v>240</v>
      </c>
      <c r="B9" s="24"/>
      <c r="C9" s="52" t="n">
        <v>0.15</v>
      </c>
      <c r="D9" s="47" t="n">
        <f aca="false">IFERROR(B9*C9,0)</f>
        <v>0</v>
      </c>
      <c r="E9" s="36" t="n">
        <v>3.5</v>
      </c>
      <c r="F9" s="53" t="s">
        <v>241</v>
      </c>
      <c r="G9" s="54" t="s">
        <v>236</v>
      </c>
      <c r="H9" s="55" t="s">
        <v>237</v>
      </c>
    </row>
    <row r="10" customFormat="false" ht="36" hidden="false" customHeight="true" outlineLevel="0" collapsed="false">
      <c r="A10" s="56" t="s">
        <v>242</v>
      </c>
      <c r="B10" s="24"/>
      <c r="C10" s="52" t="n">
        <v>0.15</v>
      </c>
      <c r="D10" s="47" t="n">
        <f aca="false">IFERROR(B10*C10,0)</f>
        <v>0</v>
      </c>
      <c r="E10" s="36" t="n">
        <v>4</v>
      </c>
      <c r="F10" s="53" t="s">
        <v>243</v>
      </c>
      <c r="G10" s="54" t="s">
        <v>236</v>
      </c>
      <c r="H10" s="55" t="s">
        <v>237</v>
      </c>
    </row>
    <row r="11" customFormat="false" ht="36" hidden="false" customHeight="true" outlineLevel="0" collapsed="false">
      <c r="A11" s="51" t="s">
        <v>244</v>
      </c>
      <c r="B11" s="24"/>
      <c r="C11" s="52" t="n">
        <v>0.2</v>
      </c>
      <c r="D11" s="47" t="n">
        <f aca="false">IFERROR(B11*C11,0)</f>
        <v>0</v>
      </c>
      <c r="E11" s="36" t="n">
        <v>3.9</v>
      </c>
      <c r="F11" s="53" t="s">
        <v>245</v>
      </c>
      <c r="G11" s="54" t="s">
        <v>236</v>
      </c>
      <c r="H11" s="55" t="s">
        <v>237</v>
      </c>
    </row>
    <row r="12" customFormat="false" ht="36" hidden="false" customHeight="true" outlineLevel="0" collapsed="false">
      <c r="A12" s="56" t="s">
        <v>246</v>
      </c>
      <c r="B12" s="24"/>
      <c r="C12" s="52" t="n">
        <v>0.1</v>
      </c>
      <c r="D12" s="47" t="n">
        <f aca="false">IFERROR(B12*C12,0)</f>
        <v>0</v>
      </c>
      <c r="E12" s="36" t="n">
        <v>3.7</v>
      </c>
      <c r="F12" s="53" t="s">
        <v>247</v>
      </c>
      <c r="G12" s="54" t="s">
        <v>236</v>
      </c>
      <c r="H12" s="55" t="s">
        <v>237</v>
      </c>
    </row>
    <row r="13" customFormat="false" ht="21.75" hidden="false" customHeight="true" outlineLevel="0" collapsed="false">
      <c r="A13" s="57" t="s">
        <v>248</v>
      </c>
      <c r="D13" s="47" t="n">
        <f aca="false">SUM(D7:D12)</f>
        <v>0</v>
      </c>
    </row>
    <row r="14" customFormat="false" ht="30" hidden="false" customHeight="true" outlineLevel="0" collapsed="false">
      <c r="A14" s="26" t="s">
        <v>249</v>
      </c>
      <c r="B14" s="26"/>
      <c r="C14" s="26"/>
      <c r="D14" s="26"/>
      <c r="E14" s="26"/>
      <c r="F14" s="26"/>
      <c r="G14" s="26"/>
      <c r="H14" s="26"/>
    </row>
  </sheetData>
  <mergeCells count="7">
    <mergeCell ref="A1:H1"/>
    <mergeCell ref="A2:H2"/>
    <mergeCell ref="A3:B3"/>
    <mergeCell ref="C3:D3"/>
    <mergeCell ref="E3:F3"/>
    <mergeCell ref="A5:H5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4"/>
  </cols>
  <sheetData>
    <row r="1" customFormat="false" ht="36" hidden="false" customHeight="true" outlineLevel="0" collapsed="false">
      <c r="A1" s="15" t="s">
        <v>250</v>
      </c>
      <c r="B1" s="15"/>
      <c r="C1" s="15"/>
      <c r="D1" s="15"/>
      <c r="E1" s="15"/>
      <c r="F1" s="15"/>
      <c r="G1" s="15"/>
      <c r="H1" s="15"/>
      <c r="I1" s="15"/>
    </row>
    <row r="2" customFormat="false" ht="48" hidden="false" customHeight="true" outlineLevel="0" collapsed="false">
      <c r="A2" s="16" t="s">
        <v>251</v>
      </c>
      <c r="B2" s="16"/>
      <c r="C2" s="16"/>
      <c r="D2" s="16"/>
      <c r="E2" s="16"/>
      <c r="F2" s="16"/>
      <c r="G2" s="16"/>
      <c r="H2" s="16"/>
      <c r="I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252</v>
      </c>
      <c r="B5" s="21"/>
      <c r="C5" s="21"/>
      <c r="D5" s="21"/>
      <c r="E5" s="21"/>
      <c r="F5" s="21"/>
      <c r="G5" s="21"/>
      <c r="H5" s="21"/>
      <c r="I5" s="21"/>
    </row>
    <row r="6" customFormat="false" ht="36" hidden="false" customHeight="true" outlineLevel="0" collapsed="false">
      <c r="A6" s="22" t="s">
        <v>253</v>
      </c>
      <c r="B6" s="22" t="s">
        <v>254</v>
      </c>
      <c r="C6" s="22" t="s">
        <v>255</v>
      </c>
      <c r="D6" s="22" t="s">
        <v>256</v>
      </c>
      <c r="E6" s="22" t="s">
        <v>257</v>
      </c>
      <c r="F6" s="22" t="s">
        <v>258</v>
      </c>
      <c r="G6" s="22" t="s">
        <v>259</v>
      </c>
      <c r="H6" s="22" t="s">
        <v>260</v>
      </c>
      <c r="I6" s="22" t="s">
        <v>261</v>
      </c>
    </row>
    <row r="7" customFormat="false" ht="19.5" hidden="false" customHeight="true" outlineLevel="0" collapsed="false">
      <c r="A7" s="46" t="s">
        <v>262</v>
      </c>
      <c r="B7" s="58"/>
      <c r="C7" s="58"/>
      <c r="D7" s="45"/>
      <c r="E7" s="45"/>
      <c r="F7" s="45"/>
      <c r="G7" s="58"/>
      <c r="H7" s="41" t="n">
        <f aca="false">IFERROR(H7/C7,0)</f>
        <v>0</v>
      </c>
      <c r="I7" s="41" t="n">
        <f aca="false">IFERROR(H7/B7,0)</f>
        <v>0</v>
      </c>
    </row>
    <row r="8" customFormat="false" ht="19.5" hidden="false" customHeight="true" outlineLevel="0" collapsed="false">
      <c r="A8" s="23" t="s">
        <v>263</v>
      </c>
      <c r="B8" s="58"/>
      <c r="C8" s="58"/>
      <c r="D8" s="45"/>
      <c r="E8" s="45"/>
      <c r="F8" s="45"/>
      <c r="G8" s="58"/>
      <c r="H8" s="41" t="n">
        <f aca="false">IFERROR(H8/C8,0)</f>
        <v>0</v>
      </c>
      <c r="I8" s="41" t="n">
        <f aca="false">IFERROR(H8/B8,0)</f>
        <v>0</v>
      </c>
    </row>
    <row r="9" customFormat="false" ht="19.5" hidden="false" customHeight="true" outlineLevel="0" collapsed="false">
      <c r="A9" s="46" t="s">
        <v>264</v>
      </c>
      <c r="B9" s="58"/>
      <c r="C9" s="58"/>
      <c r="D9" s="45"/>
      <c r="E9" s="45"/>
      <c r="F9" s="45"/>
      <c r="G9" s="58"/>
      <c r="H9" s="41" t="n">
        <f aca="false">IFERROR(H9/C9,0)</f>
        <v>0</v>
      </c>
      <c r="I9" s="41" t="n">
        <f aca="false">IFERROR(H9/B9,0)</f>
        <v>0</v>
      </c>
    </row>
    <row r="10" customFormat="false" ht="19.5" hidden="false" customHeight="true" outlineLevel="0" collapsed="false">
      <c r="A10" s="23" t="s">
        <v>265</v>
      </c>
      <c r="B10" s="58"/>
      <c r="C10" s="58"/>
      <c r="D10" s="45"/>
      <c r="E10" s="45"/>
      <c r="F10" s="45"/>
      <c r="G10" s="58"/>
      <c r="H10" s="41" t="n">
        <f aca="false">IFERROR(H10/C10,0)</f>
        <v>0</v>
      </c>
      <c r="I10" s="41" t="n">
        <f aca="false">IFERROR(H10/B10,0)</f>
        <v>0</v>
      </c>
    </row>
    <row r="11" customFormat="false" ht="19.5" hidden="false" customHeight="true" outlineLevel="0" collapsed="false">
      <c r="A11" s="46" t="s">
        <v>266</v>
      </c>
      <c r="B11" s="58"/>
      <c r="C11" s="58"/>
      <c r="D11" s="45"/>
      <c r="E11" s="45"/>
      <c r="F11" s="45"/>
      <c r="G11" s="58"/>
      <c r="H11" s="41" t="n">
        <f aca="false">IFERROR(H11/C11,0)</f>
        <v>0</v>
      </c>
      <c r="I11" s="41" t="n">
        <f aca="false">IFERROR(H11/B11,0)</f>
        <v>0</v>
      </c>
    </row>
    <row r="12" customFormat="false" ht="19.5" hidden="false" customHeight="true" outlineLevel="0" collapsed="false">
      <c r="A12" s="23" t="s">
        <v>267</v>
      </c>
      <c r="B12" s="58"/>
      <c r="C12" s="58"/>
      <c r="D12" s="45"/>
      <c r="E12" s="45"/>
      <c r="F12" s="45"/>
      <c r="G12" s="58"/>
      <c r="H12" s="41" t="n">
        <f aca="false">IFERROR(H12/C12,0)</f>
        <v>0</v>
      </c>
      <c r="I12" s="41" t="n">
        <f aca="false">IFERROR(H12/B12,0)</f>
        <v>0</v>
      </c>
    </row>
    <row r="13" customFormat="false" ht="19.5" hidden="false" customHeight="true" outlineLevel="0" collapsed="false">
      <c r="A13" s="46" t="s">
        <v>268</v>
      </c>
      <c r="B13" s="58"/>
      <c r="C13" s="58"/>
      <c r="D13" s="45"/>
      <c r="E13" s="45"/>
      <c r="F13" s="45"/>
      <c r="G13" s="58"/>
      <c r="H13" s="41" t="n">
        <f aca="false">IFERROR(H13/C13,0)</f>
        <v>0</v>
      </c>
      <c r="I13" s="41" t="n">
        <f aca="false">IFERROR(H13/B13,0)</f>
        <v>0</v>
      </c>
    </row>
    <row r="14" customFormat="false" ht="19.5" hidden="false" customHeight="true" outlineLevel="0" collapsed="false">
      <c r="A14" s="23" t="s">
        <v>269</v>
      </c>
      <c r="B14" s="58"/>
      <c r="C14" s="58"/>
      <c r="D14" s="45"/>
      <c r="E14" s="45"/>
      <c r="F14" s="45"/>
      <c r="G14" s="58"/>
      <c r="H14" s="41" t="n">
        <f aca="false">IFERROR(H14/C14,0)</f>
        <v>0</v>
      </c>
      <c r="I14" s="41" t="n">
        <f aca="false">IFERROR(H14/B14,0)</f>
        <v>0</v>
      </c>
    </row>
    <row r="15" customFormat="false" ht="21.75" hidden="false" customHeight="true" outlineLevel="0" collapsed="false">
      <c r="A15" s="59" t="s">
        <v>270</v>
      </c>
      <c r="B15" s="60"/>
      <c r="C15" s="60"/>
      <c r="D15" s="61"/>
      <c r="E15" s="61"/>
      <c r="F15" s="61"/>
      <c r="G15" s="60"/>
      <c r="H15" s="62"/>
      <c r="I15" s="62"/>
    </row>
    <row r="16" customFormat="false" ht="6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</row>
    <row r="17" customFormat="false" ht="21.75" hidden="false" customHeight="true" outlineLevel="0" collapsed="false">
      <c r="A17" s="21" t="s">
        <v>271</v>
      </c>
      <c r="B17" s="21"/>
      <c r="C17" s="21"/>
      <c r="D17" s="21"/>
      <c r="E17" s="21"/>
      <c r="F17" s="21"/>
      <c r="G17" s="21"/>
      <c r="H17" s="21"/>
      <c r="I17" s="21"/>
    </row>
    <row r="18" customFormat="false" ht="36" hidden="false" customHeight="true" outlineLevel="0" collapsed="false">
      <c r="A18" s="22" t="s">
        <v>66</v>
      </c>
      <c r="B18" s="22" t="s">
        <v>272</v>
      </c>
      <c r="C18" s="22" t="s">
        <v>273</v>
      </c>
      <c r="D18" s="22" t="s">
        <v>274</v>
      </c>
      <c r="E18" s="22" t="s">
        <v>275</v>
      </c>
      <c r="F18" s="22" t="s">
        <v>276</v>
      </c>
      <c r="G18" s="22" t="s">
        <v>277</v>
      </c>
      <c r="H18" s="22" t="s">
        <v>278</v>
      </c>
    </row>
    <row r="19" customFormat="false" ht="19.5" hidden="false" customHeight="true" outlineLevel="0" collapsed="false">
      <c r="A19" s="23" t="s">
        <v>279</v>
      </c>
      <c r="B19" s="58"/>
      <c r="C19" s="63" t="n">
        <f aca="false">H15</f>
        <v>0</v>
      </c>
      <c r="D19" s="64" t="n">
        <f aca="false">IFERROR(B19*C19*0.7,0)</f>
        <v>0</v>
      </c>
      <c r="E19" s="65" t="n">
        <f aca="false">IFERROR(B19*C19,0)</f>
        <v>0</v>
      </c>
      <c r="F19" s="64" t="n">
        <f aca="false">IFERROR(B19*C19*1.3,0)</f>
        <v>0</v>
      </c>
    </row>
    <row r="20" customFormat="false" ht="19.5" hidden="false" customHeight="true" outlineLevel="0" collapsed="false">
      <c r="A20" s="23" t="s">
        <v>280</v>
      </c>
      <c r="B20" s="58"/>
      <c r="C20" s="63" t="n">
        <f aca="false">I15</f>
        <v>0</v>
      </c>
      <c r="D20" s="64" t="n">
        <f aca="false">IFERROR(B20*C20*0.7,0)</f>
        <v>0</v>
      </c>
      <c r="E20" s="65" t="n">
        <f aca="false">IFERROR(B20*C20,0)</f>
        <v>0</v>
      </c>
      <c r="F20" s="64" t="n">
        <f aca="false">IFERROR(B20*C20*1.3,0)</f>
        <v>0</v>
      </c>
    </row>
  </sheetData>
  <mergeCells count="7">
    <mergeCell ref="A1:I1"/>
    <mergeCell ref="A2:I2"/>
    <mergeCell ref="A3:B3"/>
    <mergeCell ref="C3:D3"/>
    <mergeCell ref="E3:F3"/>
    <mergeCell ref="A5:I5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6"/>
    <col collapsed="false" customWidth="true" hidden="false" outlineLevel="0" max="7" min="6" style="1" width="14"/>
    <col collapsed="false" customWidth="true" hidden="false" outlineLevel="0" max="8" min="8" style="1" width="16"/>
  </cols>
  <sheetData>
    <row r="1" customFormat="false" ht="36" hidden="false" customHeight="true" outlineLevel="0" collapsed="false">
      <c r="A1" s="15" t="s">
        <v>281</v>
      </c>
      <c r="B1" s="15"/>
      <c r="C1" s="15"/>
      <c r="D1" s="15"/>
      <c r="E1" s="15"/>
      <c r="F1" s="15"/>
      <c r="G1" s="15"/>
      <c r="H1" s="15"/>
    </row>
    <row r="2" customFormat="false" ht="48" hidden="false" customHeight="true" outlineLevel="0" collapsed="false">
      <c r="A2" s="16" t="s">
        <v>282</v>
      </c>
      <c r="B2" s="16"/>
      <c r="C2" s="16"/>
      <c r="D2" s="16"/>
      <c r="E2" s="16"/>
      <c r="F2" s="16"/>
      <c r="G2" s="16"/>
      <c r="H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283</v>
      </c>
      <c r="B5" s="21"/>
      <c r="C5" s="21"/>
      <c r="D5" s="21"/>
      <c r="E5" s="21"/>
      <c r="F5" s="21"/>
      <c r="G5" s="21"/>
      <c r="H5" s="21"/>
    </row>
    <row r="6" customFormat="false" ht="19.5" hidden="false" customHeight="true" outlineLevel="0" collapsed="false">
      <c r="A6" s="22" t="s">
        <v>284</v>
      </c>
      <c r="B6" s="22" t="s">
        <v>285</v>
      </c>
      <c r="C6" s="22" t="s">
        <v>286</v>
      </c>
    </row>
    <row r="7" customFormat="false" ht="19.5" hidden="false" customHeight="true" outlineLevel="0" collapsed="false">
      <c r="A7" s="46" t="s">
        <v>279</v>
      </c>
      <c r="B7" s="58"/>
      <c r="C7" s="28" t="s">
        <v>287</v>
      </c>
      <c r="D7" s="28"/>
      <c r="E7" s="28"/>
      <c r="F7" s="28"/>
    </row>
    <row r="8" customFormat="false" ht="19.5" hidden="false" customHeight="true" outlineLevel="0" collapsed="false">
      <c r="A8" s="23" t="s">
        <v>288</v>
      </c>
      <c r="B8" s="66"/>
      <c r="C8" s="28" t="s">
        <v>289</v>
      </c>
      <c r="D8" s="28"/>
      <c r="E8" s="28"/>
      <c r="F8" s="28"/>
    </row>
    <row r="9" customFormat="false" ht="19.5" hidden="false" customHeight="true" outlineLevel="0" collapsed="false">
      <c r="A9" s="46" t="s">
        <v>290</v>
      </c>
      <c r="B9" s="45"/>
      <c r="C9" s="28" t="s">
        <v>291</v>
      </c>
      <c r="D9" s="28"/>
      <c r="E9" s="28"/>
      <c r="F9" s="28"/>
    </row>
    <row r="10" customFormat="false" ht="19.5" hidden="false" customHeight="true" outlineLevel="0" collapsed="false">
      <c r="A10" s="23" t="s">
        <v>292</v>
      </c>
      <c r="B10" s="24"/>
      <c r="C10" s="28" t="s">
        <v>293</v>
      </c>
      <c r="D10" s="28"/>
      <c r="E10" s="28"/>
      <c r="F10" s="28"/>
    </row>
    <row r="11" customFormat="false" ht="6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</row>
    <row r="12" customFormat="false" ht="21.75" hidden="false" customHeight="true" outlineLevel="0" collapsed="false">
      <c r="A12" s="21" t="s">
        <v>294</v>
      </c>
      <c r="B12" s="21"/>
      <c r="C12" s="21"/>
      <c r="D12" s="21"/>
      <c r="E12" s="21"/>
      <c r="F12" s="21"/>
      <c r="G12" s="21"/>
      <c r="H12" s="21"/>
    </row>
    <row r="13" customFormat="false" ht="19.5" hidden="false" customHeight="true" outlineLevel="0" collapsed="false">
      <c r="A13" s="22" t="s">
        <v>284</v>
      </c>
      <c r="B13" s="22" t="s">
        <v>285</v>
      </c>
      <c r="C13" s="22" t="s">
        <v>286</v>
      </c>
    </row>
    <row r="14" customFormat="false" ht="19.5" hidden="false" customHeight="true" outlineLevel="0" collapsed="false">
      <c r="A14" s="23" t="s">
        <v>295</v>
      </c>
      <c r="B14" s="66"/>
      <c r="C14" s="28" t="s">
        <v>296</v>
      </c>
      <c r="D14" s="28"/>
      <c r="E14" s="28"/>
      <c r="F14" s="28"/>
    </row>
    <row r="15" customFormat="false" ht="19.5" hidden="false" customHeight="true" outlineLevel="0" collapsed="false">
      <c r="A15" s="46" t="s">
        <v>297</v>
      </c>
      <c r="B15" s="45"/>
      <c r="C15" s="28" t="s">
        <v>298</v>
      </c>
      <c r="D15" s="28"/>
      <c r="E15" s="28"/>
      <c r="F15" s="28"/>
    </row>
    <row r="16" customFormat="false" ht="19.5" hidden="false" customHeight="true" outlineLevel="0" collapsed="false">
      <c r="A16" s="23" t="s">
        <v>299</v>
      </c>
      <c r="B16" s="24"/>
      <c r="C16" s="28" t="s">
        <v>293</v>
      </c>
      <c r="D16" s="28"/>
      <c r="E16" s="28"/>
      <c r="F16" s="28"/>
    </row>
    <row r="17" customFormat="false" ht="6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</row>
    <row r="18" customFormat="false" ht="21.75" hidden="false" customHeight="true" outlineLevel="0" collapsed="false">
      <c r="A18" s="21" t="s">
        <v>300</v>
      </c>
      <c r="B18" s="21"/>
      <c r="C18" s="21"/>
      <c r="D18" s="21"/>
      <c r="E18" s="21"/>
      <c r="F18" s="21"/>
      <c r="G18" s="21"/>
      <c r="H18" s="21"/>
    </row>
    <row r="19" customFormat="false" ht="19.5" hidden="false" customHeight="true" outlineLevel="0" collapsed="false">
      <c r="A19" s="22" t="s">
        <v>301</v>
      </c>
      <c r="B19" s="22" t="s">
        <v>302</v>
      </c>
      <c r="C19" s="22" t="s">
        <v>303</v>
      </c>
      <c r="D19" s="22" t="s">
        <v>304</v>
      </c>
      <c r="E19" s="22" t="s">
        <v>305</v>
      </c>
    </row>
    <row r="20" customFormat="false" ht="19.5" hidden="false" customHeight="true" outlineLevel="0" collapsed="false">
      <c r="A20" s="67" t="s">
        <v>306</v>
      </c>
      <c r="B20" s="58"/>
      <c r="C20" s="45"/>
      <c r="D20" s="45"/>
      <c r="E20" s="65" t="n">
        <f aca="false">IFERROR(B20*D20,0)</f>
        <v>0</v>
      </c>
    </row>
    <row r="21" customFormat="false" ht="19.5" hidden="false" customHeight="true" outlineLevel="0" collapsed="false">
      <c r="A21" s="67" t="s">
        <v>307</v>
      </c>
      <c r="B21" s="58"/>
      <c r="C21" s="45"/>
      <c r="D21" s="45"/>
      <c r="E21" s="65" t="n">
        <f aca="false">IFERROR(B21*D21,0)</f>
        <v>0</v>
      </c>
    </row>
    <row r="22" customFormat="false" ht="19.5" hidden="false" customHeight="true" outlineLevel="0" collapsed="false">
      <c r="A22" s="67" t="s">
        <v>308</v>
      </c>
      <c r="B22" s="58"/>
      <c r="C22" s="45"/>
      <c r="D22" s="45"/>
      <c r="E22" s="65" t="n">
        <f aca="false">IFERROR(B22*D22,0)</f>
        <v>0</v>
      </c>
    </row>
    <row r="23" customFormat="false" ht="19.5" hidden="false" customHeight="true" outlineLevel="0" collapsed="false">
      <c r="A23" s="67" t="s">
        <v>309</v>
      </c>
      <c r="B23" s="58"/>
      <c r="C23" s="45"/>
      <c r="D23" s="45"/>
      <c r="E23" s="65" t="n">
        <f aca="false">IFERROR(B23*D23,0)</f>
        <v>0</v>
      </c>
    </row>
    <row r="24" customFormat="false" ht="19.5" hidden="false" customHeight="true" outlineLevel="0" collapsed="false">
      <c r="A24" s="67" t="s">
        <v>310</v>
      </c>
      <c r="B24" s="58"/>
      <c r="C24" s="45"/>
      <c r="D24" s="45"/>
      <c r="E24" s="65" t="n">
        <f aca="false">IFERROR(B24*D24,0)</f>
        <v>0</v>
      </c>
    </row>
    <row r="25" customFormat="false" ht="19.5" hidden="false" customHeight="true" outlineLevel="0" collapsed="false">
      <c r="A25" s="22" t="s">
        <v>311</v>
      </c>
      <c r="B25" s="22" t="s">
        <v>285</v>
      </c>
    </row>
    <row r="26" customFormat="false" ht="19.5" hidden="false" customHeight="true" outlineLevel="0" collapsed="false">
      <c r="A26" s="23" t="s">
        <v>312</v>
      </c>
      <c r="B26" s="45"/>
    </row>
    <row r="27" customFormat="false" ht="19.5" hidden="false" customHeight="true" outlineLevel="0" collapsed="false">
      <c r="A27" s="46" t="s">
        <v>313</v>
      </c>
      <c r="B27" s="45"/>
    </row>
    <row r="28" customFormat="false" ht="19.5" hidden="false" customHeight="true" outlineLevel="0" collapsed="false">
      <c r="A28" s="23" t="s">
        <v>314</v>
      </c>
      <c r="B28" s="65" t="n">
        <f aca="false">IFERROR(E24*(1+B27)/((B26-B27)),0)</f>
        <v>0</v>
      </c>
    </row>
    <row r="29" customFormat="false" ht="19.5" hidden="false" customHeight="true" outlineLevel="0" collapsed="false">
      <c r="A29" s="46" t="s">
        <v>315</v>
      </c>
      <c r="B29" s="65" t="n">
        <f aca="false">IFERROR(NPV(B26,E20:E24),0)</f>
        <v>0</v>
      </c>
    </row>
    <row r="30" customFormat="false" ht="19.5" hidden="false" customHeight="true" outlineLevel="0" collapsed="false">
      <c r="A30" s="23" t="s">
        <v>316</v>
      </c>
      <c r="B30" s="65" t="n">
        <f aca="false">IFERROR(B28/(1+B26)^5,0)</f>
        <v>0</v>
      </c>
    </row>
    <row r="31" customFormat="false" ht="19.5" hidden="false" customHeight="true" outlineLevel="0" collapsed="false">
      <c r="A31" s="46" t="s">
        <v>317</v>
      </c>
      <c r="B31" s="65" t="n">
        <f aca="false">IFERROR(B29+B30,0)</f>
        <v>0</v>
      </c>
    </row>
    <row r="32" customFormat="false" ht="6" hidden="false" customHeight="true" outlineLevel="0" collapsed="false">
      <c r="A32" s="20"/>
      <c r="B32" s="20"/>
      <c r="C32" s="20"/>
      <c r="D32" s="20"/>
      <c r="E32" s="20"/>
      <c r="F32" s="20"/>
      <c r="G32" s="20"/>
      <c r="H32" s="20"/>
    </row>
    <row r="33" customFormat="false" ht="21.75" hidden="false" customHeight="true" outlineLevel="0" collapsed="false">
      <c r="A33" s="21" t="s">
        <v>318</v>
      </c>
      <c r="B33" s="21"/>
      <c r="C33" s="21"/>
      <c r="D33" s="21"/>
      <c r="E33" s="21"/>
      <c r="F33" s="21"/>
      <c r="G33" s="21"/>
      <c r="H33" s="21"/>
    </row>
    <row r="34" customFormat="false" ht="19.5" hidden="false" customHeight="true" outlineLevel="0" collapsed="false">
      <c r="A34" s="22" t="s">
        <v>319</v>
      </c>
      <c r="B34" s="22" t="s">
        <v>320</v>
      </c>
      <c r="C34" s="22" t="s">
        <v>321</v>
      </c>
      <c r="D34" s="22" t="s">
        <v>322</v>
      </c>
    </row>
    <row r="35" customFormat="false" ht="19.5" hidden="false" customHeight="true" outlineLevel="0" collapsed="false">
      <c r="A35" s="46" t="s">
        <v>323</v>
      </c>
      <c r="B35" s="68" t="n">
        <f aca="false">B10</f>
        <v>0</v>
      </c>
      <c r="C35" s="69" t="n">
        <v>0.4</v>
      </c>
      <c r="D35" s="65" t="n">
        <f aca="false">IFERROR(B35*C35,0)</f>
        <v>0</v>
      </c>
    </row>
    <row r="36" customFormat="false" ht="19.5" hidden="false" customHeight="true" outlineLevel="0" collapsed="false">
      <c r="A36" s="23" t="s">
        <v>324</v>
      </c>
      <c r="B36" s="68" t="n">
        <f aca="false">B16</f>
        <v>0</v>
      </c>
      <c r="C36" s="69" t="n">
        <v>0.35</v>
      </c>
      <c r="D36" s="65" t="n">
        <f aca="false">IFERROR(B36*C36,0)</f>
        <v>0</v>
      </c>
    </row>
    <row r="37" customFormat="false" ht="19.5" hidden="false" customHeight="true" outlineLevel="0" collapsed="false">
      <c r="A37" s="46" t="s">
        <v>325</v>
      </c>
      <c r="B37" s="68" t="n">
        <f aca="false">B31</f>
        <v>0</v>
      </c>
      <c r="C37" s="69" t="n">
        <v>0.25</v>
      </c>
      <c r="D37" s="65" t="n">
        <f aca="false">IFERROR(B37*C37,0)</f>
        <v>0</v>
      </c>
    </row>
    <row r="38" customFormat="false" ht="21.75" hidden="false" customHeight="true" outlineLevel="0" collapsed="false">
      <c r="A38" s="57" t="s">
        <v>326</v>
      </c>
      <c r="D38" s="65" t="n">
        <f aca="false">SUM(D35:D37)</f>
        <v>0</v>
      </c>
    </row>
  </sheetData>
  <mergeCells count="16">
    <mergeCell ref="A1:H1"/>
    <mergeCell ref="A2:H2"/>
    <mergeCell ref="A3:B3"/>
    <mergeCell ref="C3:D3"/>
    <mergeCell ref="E3:F3"/>
    <mergeCell ref="A5:H5"/>
    <mergeCell ref="C7:F7"/>
    <mergeCell ref="C8:F8"/>
    <mergeCell ref="C9:F9"/>
    <mergeCell ref="C10:F10"/>
    <mergeCell ref="A12:H12"/>
    <mergeCell ref="C14:F14"/>
    <mergeCell ref="C15:F15"/>
    <mergeCell ref="C16:F16"/>
    <mergeCell ref="A18:H18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8"/>
    <col collapsed="false" customWidth="true" hidden="false" outlineLevel="0" max="8" min="5" style="1" width="14"/>
  </cols>
  <sheetData>
    <row r="1" customFormat="false" ht="36" hidden="false" customHeight="true" outlineLevel="0" collapsed="false">
      <c r="A1" s="15" t="s">
        <v>327</v>
      </c>
      <c r="B1" s="15"/>
      <c r="C1" s="15"/>
      <c r="D1" s="15"/>
      <c r="E1" s="15"/>
      <c r="F1" s="15"/>
      <c r="G1" s="15"/>
      <c r="H1" s="15"/>
    </row>
    <row r="2" customFormat="false" ht="48" hidden="false" customHeight="true" outlineLevel="0" collapsed="false">
      <c r="A2" s="16" t="s">
        <v>328</v>
      </c>
      <c r="B2" s="16"/>
      <c r="C2" s="16"/>
      <c r="D2" s="16"/>
      <c r="E2" s="16"/>
      <c r="F2" s="16"/>
      <c r="G2" s="16"/>
      <c r="H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329</v>
      </c>
      <c r="B5" s="21"/>
      <c r="C5" s="21"/>
      <c r="D5" s="21"/>
      <c r="E5" s="21"/>
      <c r="F5" s="21"/>
      <c r="G5" s="21"/>
      <c r="H5" s="21"/>
    </row>
    <row r="6" customFormat="false" ht="30" hidden="false" customHeight="true" outlineLevel="0" collapsed="false">
      <c r="A6" s="22" t="s">
        <v>330</v>
      </c>
      <c r="B6" s="22" t="s">
        <v>331</v>
      </c>
      <c r="C6" s="22" t="s">
        <v>332</v>
      </c>
      <c r="D6" s="22" t="s">
        <v>333</v>
      </c>
      <c r="E6" s="22" t="s">
        <v>321</v>
      </c>
      <c r="F6" s="22" t="s">
        <v>334</v>
      </c>
      <c r="G6" s="22" t="s">
        <v>335</v>
      </c>
      <c r="H6" s="22" t="s">
        <v>336</v>
      </c>
    </row>
    <row r="7" customFormat="false" ht="19.5" hidden="false" customHeight="true" outlineLevel="0" collapsed="false">
      <c r="A7" s="46" t="s">
        <v>337</v>
      </c>
      <c r="B7" s="58"/>
      <c r="C7" s="58"/>
      <c r="D7" s="58"/>
      <c r="E7" s="52" t="n">
        <v>0.3</v>
      </c>
      <c r="F7" s="24"/>
      <c r="G7" s="24"/>
      <c r="H7" s="24"/>
    </row>
    <row r="8" customFormat="false" ht="19.5" hidden="false" customHeight="true" outlineLevel="0" collapsed="false">
      <c r="A8" s="23" t="s">
        <v>338</v>
      </c>
      <c r="B8" s="69"/>
      <c r="C8" s="69"/>
      <c r="D8" s="69"/>
      <c r="E8" s="52" t="n">
        <v>0.2</v>
      </c>
      <c r="F8" s="24"/>
      <c r="G8" s="24"/>
      <c r="H8" s="24"/>
    </row>
    <row r="9" customFormat="false" ht="19.5" hidden="false" customHeight="true" outlineLevel="0" collapsed="false">
      <c r="A9" s="46" t="s">
        <v>339</v>
      </c>
      <c r="B9" s="58"/>
      <c r="C9" s="58"/>
      <c r="D9" s="58"/>
      <c r="E9" s="52" t="n">
        <v>0.1</v>
      </c>
      <c r="F9" s="24"/>
      <c r="G9" s="24"/>
      <c r="H9" s="24"/>
    </row>
    <row r="10" customFormat="false" ht="19.5" hidden="false" customHeight="true" outlineLevel="0" collapsed="false">
      <c r="A10" s="23" t="s">
        <v>340</v>
      </c>
      <c r="B10" s="44"/>
      <c r="C10" s="44"/>
      <c r="D10" s="44"/>
      <c r="E10" s="52" t="n">
        <v>0.05</v>
      </c>
      <c r="F10" s="24"/>
      <c r="G10" s="24"/>
      <c r="H10" s="24"/>
    </row>
    <row r="11" customFormat="false" ht="19.5" hidden="false" customHeight="true" outlineLevel="0" collapsed="false">
      <c r="A11" s="46" t="s">
        <v>341</v>
      </c>
      <c r="B11" s="69"/>
      <c r="C11" s="69"/>
      <c r="D11" s="69"/>
      <c r="E11" s="52" t="n">
        <v>0.1</v>
      </c>
      <c r="F11" s="24"/>
      <c r="G11" s="24"/>
      <c r="H11" s="24"/>
    </row>
    <row r="12" customFormat="false" ht="19.5" hidden="false" customHeight="true" outlineLevel="0" collapsed="false">
      <c r="A12" s="23" t="s">
        <v>342</v>
      </c>
      <c r="B12" s="44"/>
      <c r="C12" s="44"/>
      <c r="D12" s="44"/>
      <c r="E12" s="52" t="n">
        <v>0.05</v>
      </c>
      <c r="F12" s="24"/>
      <c r="G12" s="24"/>
      <c r="H12" s="24"/>
    </row>
    <row r="13" customFormat="false" ht="19.5" hidden="false" customHeight="true" outlineLevel="0" collapsed="false">
      <c r="A13" s="46" t="s">
        <v>343</v>
      </c>
      <c r="B13" s="44"/>
      <c r="C13" s="44"/>
      <c r="D13" s="44"/>
      <c r="E13" s="52" t="n">
        <v>0.1</v>
      </c>
      <c r="F13" s="24"/>
      <c r="G13" s="24"/>
      <c r="H13" s="24"/>
    </row>
    <row r="14" customFormat="false" ht="19.5" hidden="false" customHeight="true" outlineLevel="0" collapsed="false">
      <c r="A14" s="23" t="s">
        <v>344</v>
      </c>
      <c r="B14" s="58"/>
      <c r="C14" s="58"/>
      <c r="D14" s="58"/>
      <c r="E14" s="52" t="n">
        <v>0.05</v>
      </c>
      <c r="F14" s="24"/>
      <c r="G14" s="24"/>
      <c r="H14" s="24"/>
    </row>
    <row r="15" customFormat="false" ht="19.5" hidden="false" customHeight="true" outlineLevel="0" collapsed="false">
      <c r="A15" s="46" t="s">
        <v>345</v>
      </c>
      <c r="B15" s="24"/>
      <c r="C15" s="24"/>
      <c r="D15" s="24"/>
      <c r="E15" s="52" t="n">
        <v>0.05</v>
      </c>
      <c r="F15" s="24"/>
      <c r="G15" s="24"/>
      <c r="H15" s="24"/>
    </row>
    <row r="16" customFormat="false" ht="6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</row>
    <row r="17" customFormat="false" ht="21.75" hidden="false" customHeight="true" outlineLevel="0" collapsed="false">
      <c r="A17" s="21" t="s">
        <v>346</v>
      </c>
      <c r="B17" s="21"/>
      <c r="C17" s="21"/>
      <c r="D17" s="21"/>
      <c r="E17" s="21"/>
      <c r="F17" s="21"/>
      <c r="G17" s="21"/>
      <c r="H17" s="21"/>
    </row>
    <row r="18" customFormat="false" ht="19.5" hidden="false" customHeight="true" outlineLevel="0" collapsed="false">
      <c r="A18" s="22"/>
      <c r="B18" s="22" t="s">
        <v>331</v>
      </c>
      <c r="C18" s="22" t="s">
        <v>332</v>
      </c>
      <c r="D18" s="22" t="s">
        <v>333</v>
      </c>
    </row>
    <row r="19" customFormat="false" ht="19.5" hidden="false" customHeight="true" outlineLevel="0" collapsed="false">
      <c r="A19" s="23" t="s">
        <v>347</v>
      </c>
      <c r="B19" s="70" t="n">
        <f aca="false">SUMPRODUCT(E7:E15,F7:F15)</f>
        <v>0</v>
      </c>
      <c r="C19" s="70" t="n">
        <f aca="false">SUMPRODUCT(E7:E15,G7:G15)</f>
        <v>0</v>
      </c>
      <c r="D19" s="70" t="n">
        <f aca="false">SUMPRODUCT(E7:E15,H7:H15)</f>
        <v>0</v>
      </c>
    </row>
    <row r="20" customFormat="false" ht="19.5" hidden="false" customHeight="true" outlineLevel="0" collapsed="false">
      <c r="A20" s="23" t="s">
        <v>348</v>
      </c>
      <c r="B20" s="71" t="n">
        <f aca="false">IFERROR(SUMPRODUCT(E7:E15*IF(ISNUMBER(F7:F15),F7:F15,0)),0)</f>
        <v>0</v>
      </c>
      <c r="C20" s="71" t="n">
        <f aca="false">IFERROR(SUMPRODUCT(E7:E15*IF(ISNUMBER(G7:G15),G7:G15,0)),0)</f>
        <v>0</v>
      </c>
      <c r="D20" s="71" t="n">
        <f aca="false">IFERROR(SUMPRODUCT(E7:E15*IF(ISNUMBER(H7:H15),H7:H15,0)),0)</f>
        <v>0</v>
      </c>
    </row>
    <row r="21" customFormat="false" ht="30" hidden="false" customHeight="true" outlineLevel="0" collapsed="false">
      <c r="A21" s="26" t="s">
        <v>349</v>
      </c>
      <c r="B21" s="26"/>
      <c r="C21" s="26"/>
      <c r="D21" s="26"/>
      <c r="E21" s="26"/>
      <c r="F21" s="26"/>
      <c r="G21" s="26"/>
      <c r="H21" s="26"/>
    </row>
  </sheetData>
  <mergeCells count="8">
    <mergeCell ref="A1:H1"/>
    <mergeCell ref="A2:H2"/>
    <mergeCell ref="A3:B3"/>
    <mergeCell ref="C3:D3"/>
    <mergeCell ref="E3:F3"/>
    <mergeCell ref="A5:H5"/>
    <mergeCell ref="A17:H17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6"/>
    <col collapsed="false" customWidth="true" hidden="false" outlineLevel="0" max="8" min="5" style="1" width="14"/>
  </cols>
  <sheetData>
    <row r="1" customFormat="false" ht="36" hidden="false" customHeight="true" outlineLevel="0" collapsed="false">
      <c r="A1" s="15" t="s">
        <v>350</v>
      </c>
      <c r="B1" s="15"/>
      <c r="C1" s="15"/>
      <c r="D1" s="15"/>
      <c r="E1" s="15"/>
      <c r="F1" s="15"/>
      <c r="G1" s="15"/>
      <c r="H1" s="15"/>
    </row>
    <row r="2" customFormat="false" ht="48" hidden="false" customHeight="true" outlineLevel="0" collapsed="false">
      <c r="A2" s="16" t="s">
        <v>351</v>
      </c>
      <c r="B2" s="16"/>
      <c r="C2" s="16"/>
      <c r="D2" s="16"/>
      <c r="E2" s="16"/>
      <c r="F2" s="16"/>
      <c r="G2" s="16"/>
      <c r="H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352</v>
      </c>
      <c r="B5" s="21"/>
      <c r="C5" s="21"/>
      <c r="D5" s="21"/>
      <c r="E5" s="21"/>
      <c r="F5" s="21"/>
      <c r="G5" s="21"/>
      <c r="H5" s="21"/>
    </row>
    <row r="6" customFormat="false" ht="19.5" hidden="false" customHeight="true" outlineLevel="0" collapsed="false">
      <c r="A6" s="22" t="s">
        <v>284</v>
      </c>
      <c r="B6" s="22" t="s">
        <v>285</v>
      </c>
      <c r="C6" s="22" t="s">
        <v>353</v>
      </c>
    </row>
    <row r="7" customFormat="false" ht="19.5" hidden="false" customHeight="true" outlineLevel="0" collapsed="false">
      <c r="A7" s="46" t="s">
        <v>354</v>
      </c>
      <c r="B7" s="24"/>
      <c r="C7" s="49" t="s">
        <v>355</v>
      </c>
    </row>
    <row r="8" customFormat="false" ht="19.5" hidden="false" customHeight="true" outlineLevel="0" collapsed="false">
      <c r="A8" s="23" t="s">
        <v>356</v>
      </c>
      <c r="B8" s="24"/>
      <c r="C8" s="49" t="s">
        <v>355</v>
      </c>
    </row>
    <row r="9" customFormat="false" ht="19.5" hidden="false" customHeight="true" outlineLevel="0" collapsed="false">
      <c r="A9" s="46" t="s">
        <v>357</v>
      </c>
      <c r="B9" s="25"/>
      <c r="C9" s="49" t="s">
        <v>358</v>
      </c>
    </row>
    <row r="10" customFormat="false" ht="19.5" hidden="false" customHeight="true" outlineLevel="0" collapsed="false">
      <c r="A10" s="23" t="s">
        <v>359</v>
      </c>
      <c r="B10" s="25"/>
      <c r="C10" s="49" t="s">
        <v>358</v>
      </c>
    </row>
    <row r="11" customFormat="false" ht="19.5" hidden="false" customHeight="true" outlineLevel="0" collapsed="false">
      <c r="A11" s="46" t="s">
        <v>360</v>
      </c>
      <c r="B11" s="66"/>
      <c r="C11" s="49" t="s">
        <v>361</v>
      </c>
    </row>
    <row r="12" customFormat="false" ht="19.5" hidden="false" customHeight="true" outlineLevel="0" collapsed="false">
      <c r="A12" s="23" t="s">
        <v>362</v>
      </c>
      <c r="B12" s="66"/>
      <c r="C12" s="49" t="s">
        <v>361</v>
      </c>
    </row>
    <row r="13" customFormat="false" ht="19.5" hidden="false" customHeight="true" outlineLevel="0" collapsed="false">
      <c r="A13" s="46" t="s">
        <v>363</v>
      </c>
      <c r="B13" s="24"/>
      <c r="C13" s="49" t="s">
        <v>364</v>
      </c>
    </row>
    <row r="14" customFormat="false" ht="19.5" hidden="false" customHeight="true" outlineLevel="0" collapsed="false">
      <c r="A14" s="23" t="s">
        <v>365</v>
      </c>
      <c r="B14" s="66"/>
      <c r="C14" s="49" t="s">
        <v>361</v>
      </c>
    </row>
    <row r="15" customFormat="false" ht="6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</row>
    <row r="16" customFormat="false" ht="21.75" hidden="false" customHeight="true" outlineLevel="0" collapsed="false">
      <c r="A16" s="21" t="s">
        <v>366</v>
      </c>
      <c r="B16" s="21"/>
      <c r="C16" s="21"/>
      <c r="D16" s="21"/>
      <c r="E16" s="21"/>
      <c r="F16" s="21"/>
      <c r="G16" s="21"/>
      <c r="H16" s="21"/>
    </row>
    <row r="17" customFormat="false" ht="19.5" hidden="false" customHeight="true" outlineLevel="0" collapsed="false">
      <c r="A17" s="22" t="s">
        <v>367</v>
      </c>
      <c r="B17" s="22" t="s">
        <v>368</v>
      </c>
      <c r="C17" s="22" t="s">
        <v>369</v>
      </c>
      <c r="D17" s="22" t="s">
        <v>370</v>
      </c>
      <c r="E17" s="22" t="s">
        <v>371</v>
      </c>
      <c r="F17" s="22" t="s">
        <v>372</v>
      </c>
      <c r="G17" s="22" t="s">
        <v>373</v>
      </c>
    </row>
    <row r="18" customFormat="false" ht="21.75" hidden="false" customHeight="true" outlineLevel="0" collapsed="false">
      <c r="A18" s="72" t="s">
        <v>374</v>
      </c>
      <c r="B18" s="58" t="n">
        <v>5</v>
      </c>
      <c r="C18" s="58" t="n">
        <v>15</v>
      </c>
      <c r="D18" s="58" t="n">
        <v>50</v>
      </c>
    </row>
    <row r="19" customFormat="false" ht="19.5" hidden="false" customHeight="true" outlineLevel="0" collapsed="false">
      <c r="A19" s="46" t="s">
        <v>375</v>
      </c>
      <c r="B19" s="68"/>
      <c r="C19" s="68"/>
      <c r="D19" s="68"/>
      <c r="E19" s="73"/>
      <c r="F19" s="73"/>
      <c r="G19" s="73"/>
    </row>
    <row r="20" customFormat="false" ht="19.5" hidden="false" customHeight="true" outlineLevel="0" collapsed="false">
      <c r="A20" s="23" t="s">
        <v>376</v>
      </c>
      <c r="B20" s="68"/>
      <c r="C20" s="68"/>
      <c r="D20" s="68"/>
      <c r="E20" s="73"/>
      <c r="F20" s="73"/>
      <c r="G20" s="73"/>
    </row>
    <row r="21" customFormat="false" ht="19.5" hidden="false" customHeight="true" outlineLevel="0" collapsed="false">
      <c r="A21" s="46" t="s">
        <v>377</v>
      </c>
      <c r="B21" s="68"/>
      <c r="C21" s="68"/>
      <c r="D21" s="68"/>
      <c r="E21" s="73"/>
      <c r="F21" s="73"/>
      <c r="G21" s="73"/>
    </row>
    <row r="22" customFormat="false" ht="19.5" hidden="false" customHeight="true" outlineLevel="0" collapsed="false">
      <c r="A22" s="23" t="s">
        <v>378</v>
      </c>
      <c r="B22" s="68"/>
      <c r="C22" s="68"/>
      <c r="D22" s="68"/>
      <c r="E22" s="73"/>
      <c r="F22" s="73"/>
      <c r="G22" s="73"/>
    </row>
    <row r="23" customFormat="false" ht="19.5" hidden="false" customHeight="true" outlineLevel="0" collapsed="false">
      <c r="A23" s="46" t="s">
        <v>379</v>
      </c>
      <c r="B23" s="68"/>
      <c r="C23" s="68"/>
      <c r="D23" s="68"/>
      <c r="E23" s="73"/>
      <c r="F23" s="73"/>
      <c r="G23" s="73"/>
    </row>
    <row r="24" customFormat="false" ht="19.5" hidden="false" customHeight="true" outlineLevel="0" collapsed="false">
      <c r="A24" s="23" t="s">
        <v>380</v>
      </c>
      <c r="B24" s="65"/>
      <c r="C24" s="65"/>
      <c r="D24" s="65"/>
      <c r="E24" s="27"/>
      <c r="F24" s="27"/>
      <c r="G24" s="27"/>
    </row>
    <row r="25" customFormat="false" ht="30" hidden="false" customHeight="true" outlineLevel="0" collapsed="false">
      <c r="A25" s="26" t="s">
        <v>381</v>
      </c>
      <c r="B25" s="26"/>
      <c r="C25" s="26"/>
      <c r="D25" s="26"/>
      <c r="E25" s="26"/>
      <c r="F25" s="26"/>
      <c r="G25" s="26"/>
      <c r="H25" s="26"/>
    </row>
  </sheetData>
  <mergeCells count="8">
    <mergeCell ref="A1:H1"/>
    <mergeCell ref="A2:H2"/>
    <mergeCell ref="A3:B3"/>
    <mergeCell ref="C3:D3"/>
    <mergeCell ref="E3:F3"/>
    <mergeCell ref="A5:H5"/>
    <mergeCell ref="A16:H16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8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36" hidden="false" customHeight="true" outlineLevel="0" collapsed="false">
      <c r="A1" s="15" t="s">
        <v>382</v>
      </c>
      <c r="B1" s="15"/>
      <c r="C1" s="15"/>
      <c r="D1" s="15"/>
      <c r="E1" s="15"/>
      <c r="F1" s="15"/>
      <c r="G1" s="15"/>
    </row>
    <row r="2" customFormat="false" ht="48" hidden="false" customHeight="true" outlineLevel="0" collapsed="false">
      <c r="A2" s="16" t="s">
        <v>383</v>
      </c>
      <c r="B2" s="16"/>
      <c r="C2" s="16"/>
      <c r="D2" s="16"/>
      <c r="E2" s="16"/>
      <c r="F2" s="16"/>
      <c r="G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384</v>
      </c>
      <c r="B5" s="21"/>
      <c r="C5" s="21"/>
      <c r="D5" s="21"/>
      <c r="E5" s="21"/>
      <c r="F5" s="21"/>
      <c r="G5" s="21"/>
    </row>
    <row r="6" customFormat="false" ht="19.5" hidden="false" customHeight="true" outlineLevel="0" collapsed="false">
      <c r="A6" s="22" t="s">
        <v>385</v>
      </c>
      <c r="B6" s="22" t="s">
        <v>386</v>
      </c>
      <c r="C6" s="22" t="s">
        <v>387</v>
      </c>
      <c r="D6" s="22" t="s">
        <v>388</v>
      </c>
      <c r="E6" s="22" t="s">
        <v>389</v>
      </c>
    </row>
    <row r="7" customFormat="false" ht="19.5" hidden="false" customHeight="true" outlineLevel="0" collapsed="false">
      <c r="A7" s="46" t="s">
        <v>390</v>
      </c>
      <c r="B7" s="24" t="s">
        <v>308</v>
      </c>
      <c r="C7" s="24" t="s">
        <v>310</v>
      </c>
      <c r="D7" s="24" t="s">
        <v>309</v>
      </c>
      <c r="E7" s="28" t="s">
        <v>391</v>
      </c>
      <c r="F7" s="28"/>
      <c r="G7" s="28"/>
    </row>
    <row r="8" customFormat="false" ht="19.5" hidden="false" customHeight="true" outlineLevel="0" collapsed="false">
      <c r="A8" s="23" t="s">
        <v>392</v>
      </c>
      <c r="B8" s="58"/>
      <c r="C8" s="58"/>
      <c r="D8" s="58"/>
      <c r="E8" s="28" t="s">
        <v>393</v>
      </c>
      <c r="F8" s="28"/>
      <c r="G8" s="28"/>
    </row>
    <row r="9" customFormat="false" ht="19.5" hidden="false" customHeight="true" outlineLevel="0" collapsed="false">
      <c r="A9" s="46" t="s">
        <v>394</v>
      </c>
      <c r="B9" s="58"/>
      <c r="C9" s="58"/>
      <c r="D9" s="58"/>
      <c r="E9" s="28" t="s">
        <v>395</v>
      </c>
      <c r="F9" s="28"/>
      <c r="G9" s="28"/>
    </row>
    <row r="10" customFormat="false" ht="19.5" hidden="false" customHeight="true" outlineLevel="0" collapsed="false">
      <c r="A10" s="23" t="s">
        <v>396</v>
      </c>
      <c r="B10" s="66"/>
      <c r="C10" s="66"/>
      <c r="D10" s="66"/>
      <c r="E10" s="28" t="s">
        <v>397</v>
      </c>
      <c r="F10" s="28"/>
      <c r="G10" s="28"/>
    </row>
    <row r="11" customFormat="false" ht="19.5" hidden="false" customHeight="true" outlineLevel="0" collapsed="false">
      <c r="A11" s="46" t="s">
        <v>398</v>
      </c>
      <c r="B11" s="65" t="n">
        <f aca="false">IFERROR(B8*B10,0)</f>
        <v>0</v>
      </c>
      <c r="C11" s="65" t="n">
        <f aca="false">IFERROR(C8*C10,0)</f>
        <v>0</v>
      </c>
      <c r="D11" s="65" t="n">
        <f aca="false">IFERROR(D8*D10,0)</f>
        <v>0</v>
      </c>
      <c r="E11" s="28" t="s">
        <v>213</v>
      </c>
      <c r="F11" s="28"/>
      <c r="G11" s="28"/>
    </row>
    <row r="12" customFormat="false" ht="19.5" hidden="false" customHeight="true" outlineLevel="0" collapsed="false">
      <c r="A12" s="23" t="s">
        <v>399</v>
      </c>
      <c r="B12" s="58"/>
      <c r="C12" s="58"/>
      <c r="D12" s="58"/>
      <c r="E12" s="28" t="s">
        <v>400</v>
      </c>
      <c r="F12" s="28"/>
      <c r="G12" s="28"/>
    </row>
    <row r="13" customFormat="false" ht="19.5" hidden="false" customHeight="true" outlineLevel="0" collapsed="false">
      <c r="A13" s="46" t="s">
        <v>401</v>
      </c>
      <c r="B13" s="65" t="n">
        <f aca="false">IFERROR(B11-B12,0)</f>
        <v>0</v>
      </c>
      <c r="C13" s="65" t="n">
        <f aca="false">IFERROR(C11-C12,0)</f>
        <v>0</v>
      </c>
      <c r="D13" s="65" t="n">
        <f aca="false">IFERROR(D11-D12,0)</f>
        <v>0</v>
      </c>
      <c r="E13" s="28" t="s">
        <v>402</v>
      </c>
      <c r="F13" s="28"/>
      <c r="G13" s="28"/>
    </row>
    <row r="14" customFormat="false" ht="19.5" hidden="false" customHeight="true" outlineLevel="0" collapsed="false">
      <c r="A14" s="23" t="s">
        <v>403</v>
      </c>
      <c r="B14" s="45"/>
      <c r="C14" s="45"/>
      <c r="D14" s="45"/>
      <c r="E14" s="28" t="s">
        <v>404</v>
      </c>
      <c r="F14" s="28"/>
      <c r="G14" s="28"/>
    </row>
    <row r="15" customFormat="false" ht="19.5" hidden="false" customHeight="true" outlineLevel="0" collapsed="false">
      <c r="A15" s="46" t="s">
        <v>405</v>
      </c>
      <c r="B15" s="65" t="n">
        <f aca="false">IFERROR(B13*B14,0)</f>
        <v>0</v>
      </c>
      <c r="C15" s="65" t="n">
        <f aca="false">IFERROR(C13*C14,0)</f>
        <v>0</v>
      </c>
      <c r="D15" s="65" t="n">
        <f aca="false">IFERROR(D13*D14,0)</f>
        <v>0</v>
      </c>
      <c r="E15" s="28" t="s">
        <v>406</v>
      </c>
      <c r="F15" s="28"/>
      <c r="G15" s="28"/>
    </row>
    <row r="16" customFormat="false" ht="19.5" hidden="false" customHeight="true" outlineLevel="0" collapsed="false">
      <c r="A16" s="23" t="s">
        <v>407</v>
      </c>
      <c r="B16" s="58"/>
      <c r="C16" s="58"/>
      <c r="D16" s="58"/>
      <c r="E16" s="28" t="s">
        <v>408</v>
      </c>
      <c r="F16" s="28"/>
      <c r="G16" s="28"/>
    </row>
    <row r="17" customFormat="false" ht="19.5" hidden="false" customHeight="true" outlineLevel="0" collapsed="false">
      <c r="A17" s="46" t="s">
        <v>409</v>
      </c>
      <c r="B17" s="65" t="n">
        <f aca="false">IFERROR(B15*(1-B16),0)</f>
        <v>0</v>
      </c>
      <c r="C17" s="65" t="n">
        <f aca="false">IFERROR(C15*(1-C16),0)</f>
        <v>0</v>
      </c>
      <c r="D17" s="65" t="n">
        <f aca="false">IFERROR(D15*(1-D16),0)</f>
        <v>0</v>
      </c>
      <c r="E17" s="28" t="s">
        <v>410</v>
      </c>
      <c r="F17" s="28"/>
      <c r="G17" s="28"/>
    </row>
  </sheetData>
  <mergeCells count="17">
    <mergeCell ref="A1:G1"/>
    <mergeCell ref="A2:G2"/>
    <mergeCell ref="A3:B3"/>
    <mergeCell ref="C3:D3"/>
    <mergeCell ref="E3:F3"/>
    <mergeCell ref="A5:G5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36" hidden="false" customHeight="true" outlineLevel="0" collapsed="false">
      <c r="A1" s="15" t="s">
        <v>411</v>
      </c>
      <c r="B1" s="15"/>
      <c r="C1" s="15"/>
      <c r="D1" s="15"/>
      <c r="E1" s="15"/>
      <c r="F1" s="15"/>
      <c r="G1" s="15"/>
    </row>
    <row r="2" customFormat="false" ht="48" hidden="false" customHeight="true" outlineLevel="0" collapsed="false">
      <c r="A2" s="16" t="s">
        <v>412</v>
      </c>
      <c r="B2" s="16"/>
      <c r="C2" s="16"/>
      <c r="D2" s="16"/>
      <c r="E2" s="16"/>
      <c r="F2" s="16"/>
      <c r="G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413</v>
      </c>
      <c r="B5" s="21"/>
      <c r="C5" s="21"/>
      <c r="D5" s="21"/>
      <c r="E5" s="21"/>
      <c r="F5" s="21"/>
      <c r="G5" s="21"/>
    </row>
    <row r="6" customFormat="false" ht="19.5" hidden="false" customHeight="true" outlineLevel="0" collapsed="false">
      <c r="A6" s="22" t="s">
        <v>414</v>
      </c>
      <c r="B6" s="22" t="s">
        <v>415</v>
      </c>
      <c r="C6" s="22" t="s">
        <v>416</v>
      </c>
      <c r="D6" s="22" t="s">
        <v>417</v>
      </c>
      <c r="E6" s="22" t="s">
        <v>286</v>
      </c>
    </row>
    <row r="7" customFormat="false" ht="19.5" hidden="false" customHeight="true" outlineLevel="0" collapsed="false">
      <c r="A7" s="74" t="s">
        <v>418</v>
      </c>
      <c r="B7" s="25"/>
      <c r="C7" s="25"/>
      <c r="D7" s="75" t="n">
        <f aca="false">IFERROR((C7-B7)/ABS(B7),0)</f>
        <v>0</v>
      </c>
    </row>
    <row r="8" customFormat="false" ht="19.5" hidden="false" customHeight="true" outlineLevel="0" collapsed="false">
      <c r="A8" s="76" t="s">
        <v>419</v>
      </c>
      <c r="B8" s="25"/>
      <c r="C8" s="25"/>
      <c r="D8" s="75" t="n">
        <f aca="false">IFERROR((C8-B8)/ABS(B8),0)</f>
        <v>0</v>
      </c>
    </row>
    <row r="9" customFormat="false" ht="19.5" hidden="false" customHeight="true" outlineLevel="0" collapsed="false">
      <c r="A9" s="77" t="s">
        <v>420</v>
      </c>
      <c r="B9" s="32" t="n">
        <f aca="false">B7-B8</f>
        <v>0</v>
      </c>
      <c r="C9" s="32" t="n">
        <f aca="false">C7-C8</f>
        <v>0</v>
      </c>
      <c r="D9" s="75" t="n">
        <f aca="false">IFERROR((C9-B9)/ABS(B9),0)</f>
        <v>0</v>
      </c>
    </row>
    <row r="10" customFormat="false" ht="19.5" hidden="false" customHeight="true" outlineLevel="0" collapsed="false">
      <c r="A10" s="76" t="s">
        <v>421</v>
      </c>
      <c r="B10" s="25"/>
      <c r="C10" s="25"/>
      <c r="D10" s="75" t="n">
        <f aca="false">IFERROR((C10-B10)/ABS(B10),0)</f>
        <v>0</v>
      </c>
    </row>
    <row r="11" customFormat="false" ht="19.5" hidden="false" customHeight="true" outlineLevel="0" collapsed="false">
      <c r="A11" s="74" t="s">
        <v>422</v>
      </c>
      <c r="B11" s="25"/>
      <c r="C11" s="25"/>
      <c r="D11" s="75" t="n">
        <f aca="false">IFERROR((C11-B11)/ABS(B11),0)</f>
        <v>0</v>
      </c>
    </row>
    <row r="12" customFormat="false" ht="19.5" hidden="false" customHeight="true" outlineLevel="0" collapsed="false">
      <c r="A12" s="76" t="s">
        <v>423</v>
      </c>
      <c r="B12" s="25"/>
      <c r="C12" s="25"/>
      <c r="D12" s="75" t="n">
        <f aca="false">IFERROR((C12-B12)/ABS(B12),0)</f>
        <v>0</v>
      </c>
    </row>
    <row r="13" customFormat="false" ht="19.5" hidden="false" customHeight="true" outlineLevel="0" collapsed="false">
      <c r="A13" s="77" t="s">
        <v>424</v>
      </c>
      <c r="B13" s="32" t="n">
        <f aca="false">B9-B10-B11-B12</f>
        <v>0</v>
      </c>
      <c r="C13" s="32" t="n">
        <f aca="false">C9-C10-C11-C12</f>
        <v>0</v>
      </c>
      <c r="D13" s="75" t="n">
        <f aca="false">IFERROR((C13-B13)/ABS(B13),0)</f>
        <v>0</v>
      </c>
    </row>
    <row r="14" customFormat="false" ht="6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</row>
    <row r="15" customFormat="false" ht="21.75" hidden="false" customHeight="true" outlineLevel="0" collapsed="false">
      <c r="A15" s="21" t="s">
        <v>425</v>
      </c>
      <c r="B15" s="21"/>
      <c r="C15" s="21"/>
      <c r="D15" s="21"/>
      <c r="E15" s="21"/>
      <c r="F15" s="21"/>
      <c r="G15" s="21"/>
    </row>
    <row r="16" customFormat="false" ht="19.5" hidden="false" customHeight="true" outlineLevel="0" collapsed="false">
      <c r="A16" s="22" t="s">
        <v>426</v>
      </c>
      <c r="B16" s="22" t="s">
        <v>415</v>
      </c>
      <c r="C16" s="22" t="s">
        <v>416</v>
      </c>
      <c r="D16" s="22" t="s">
        <v>427</v>
      </c>
      <c r="E16" s="22" t="s">
        <v>428</v>
      </c>
    </row>
    <row r="17" customFormat="false" ht="19.5" hidden="false" customHeight="true" outlineLevel="0" collapsed="false">
      <c r="A17" s="74" t="s">
        <v>429</v>
      </c>
      <c r="B17" s="25"/>
      <c r="C17" s="25"/>
      <c r="D17" s="78" t="s">
        <v>430</v>
      </c>
      <c r="E17" s="78" t="s">
        <v>431</v>
      </c>
      <c r="F17" s="78"/>
      <c r="G17" s="78"/>
    </row>
    <row r="18" customFormat="false" ht="19.5" hidden="false" customHeight="true" outlineLevel="0" collapsed="false">
      <c r="A18" s="76" t="s">
        <v>432</v>
      </c>
      <c r="B18" s="25"/>
      <c r="C18" s="25"/>
      <c r="D18" s="78" t="s">
        <v>430</v>
      </c>
      <c r="E18" s="78" t="s">
        <v>431</v>
      </c>
      <c r="F18" s="78"/>
      <c r="G18" s="78"/>
    </row>
    <row r="19" customFormat="false" ht="19.5" hidden="false" customHeight="true" outlineLevel="0" collapsed="false">
      <c r="A19" s="74" t="s">
        <v>433</v>
      </c>
      <c r="B19" s="25"/>
      <c r="C19" s="25"/>
      <c r="D19" s="78" t="s">
        <v>430</v>
      </c>
      <c r="E19" s="78" t="s">
        <v>431</v>
      </c>
      <c r="F19" s="78"/>
      <c r="G19" s="78"/>
    </row>
    <row r="20" customFormat="false" ht="19.5" hidden="false" customHeight="true" outlineLevel="0" collapsed="false">
      <c r="A20" s="76" t="s">
        <v>434</v>
      </c>
      <c r="B20" s="25"/>
      <c r="C20" s="25"/>
      <c r="D20" s="78" t="s">
        <v>430</v>
      </c>
      <c r="E20" s="78" t="s">
        <v>431</v>
      </c>
      <c r="F20" s="78"/>
      <c r="G20" s="78"/>
    </row>
    <row r="21" customFormat="false" ht="19.5" hidden="false" customHeight="true" outlineLevel="0" collapsed="false">
      <c r="A21" s="74" t="s">
        <v>435</v>
      </c>
      <c r="B21" s="25"/>
      <c r="C21" s="25"/>
      <c r="D21" s="78" t="s">
        <v>430</v>
      </c>
      <c r="E21" s="78" t="s">
        <v>431</v>
      </c>
      <c r="F21" s="78"/>
      <c r="G21" s="78"/>
    </row>
    <row r="22" customFormat="false" ht="19.5" hidden="false" customHeight="true" outlineLevel="0" collapsed="false">
      <c r="A22" s="76" t="s">
        <v>436</v>
      </c>
      <c r="B22" s="25"/>
      <c r="C22" s="25"/>
      <c r="D22" s="78" t="s">
        <v>430</v>
      </c>
      <c r="E22" s="78" t="s">
        <v>431</v>
      </c>
      <c r="F22" s="78"/>
      <c r="G22" s="78"/>
    </row>
    <row r="23" customFormat="false" ht="19.5" hidden="false" customHeight="true" outlineLevel="0" collapsed="false">
      <c r="A23" s="74" t="s">
        <v>437</v>
      </c>
      <c r="B23" s="25"/>
      <c r="C23" s="25"/>
      <c r="D23" s="78" t="s">
        <v>430</v>
      </c>
      <c r="E23" s="78" t="s">
        <v>431</v>
      </c>
      <c r="F23" s="78"/>
      <c r="G23" s="78"/>
    </row>
    <row r="24" customFormat="false" ht="21.75" hidden="false" customHeight="true" outlineLevel="0" collapsed="false">
      <c r="A24" s="72" t="s">
        <v>438</v>
      </c>
      <c r="B24" s="79" t="n">
        <f aca="false">SUM(C17:C23)</f>
        <v>0</v>
      </c>
    </row>
    <row r="25" customFormat="false" ht="21.75" hidden="false" customHeight="true" outlineLevel="0" collapsed="false">
      <c r="A25" s="57" t="s">
        <v>439</v>
      </c>
      <c r="B25" s="32" t="n">
        <f aca="false">B13+B24</f>
        <v>0</v>
      </c>
      <c r="C25" s="32" t="n">
        <f aca="false">C13+C24</f>
        <v>0</v>
      </c>
    </row>
  </sheetData>
  <mergeCells count="14">
    <mergeCell ref="A1:G1"/>
    <mergeCell ref="A2:G2"/>
    <mergeCell ref="A3:B3"/>
    <mergeCell ref="C3:D3"/>
    <mergeCell ref="E3:F3"/>
    <mergeCell ref="A5:G5"/>
    <mergeCell ref="A15:G15"/>
    <mergeCell ref="E17:G17"/>
    <mergeCell ref="E18:G18"/>
    <mergeCell ref="E19:G19"/>
    <mergeCell ref="E20:G20"/>
    <mergeCell ref="E21:G21"/>
    <mergeCell ref="E22:G22"/>
    <mergeCell ref="E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4"/>
    <col collapsed="false" customWidth="true" hidden="false" outlineLevel="0" max="6" min="6" style="1" width="20"/>
    <col collapsed="false" customWidth="true" hidden="false" outlineLevel="0" max="7" min="7" style="1" width="14"/>
  </cols>
  <sheetData>
    <row r="1" customFormat="false" ht="36" hidden="false" customHeight="true" outlineLevel="0" collapsed="false">
      <c r="A1" s="15" t="s">
        <v>440</v>
      </c>
      <c r="B1" s="15"/>
      <c r="C1" s="15"/>
      <c r="D1" s="15"/>
      <c r="E1" s="15"/>
      <c r="F1" s="15"/>
      <c r="G1" s="15"/>
    </row>
    <row r="2" customFormat="false" ht="48" hidden="false" customHeight="true" outlineLevel="0" collapsed="false">
      <c r="A2" s="16" t="s">
        <v>441</v>
      </c>
      <c r="B2" s="16"/>
      <c r="C2" s="16"/>
      <c r="D2" s="16"/>
      <c r="E2" s="16"/>
      <c r="F2" s="16"/>
      <c r="G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442</v>
      </c>
      <c r="B5" s="21"/>
      <c r="C5" s="21"/>
      <c r="D5" s="21"/>
      <c r="E5" s="21"/>
      <c r="F5" s="21"/>
      <c r="G5" s="21"/>
      <c r="H5" s="21"/>
    </row>
    <row r="6" customFormat="false" ht="30" hidden="false" customHeight="true" outlineLevel="0" collapsed="false">
      <c r="A6" s="22" t="s">
        <v>443</v>
      </c>
      <c r="B6" s="22" t="s">
        <v>415</v>
      </c>
      <c r="C6" s="22" t="s">
        <v>416</v>
      </c>
      <c r="D6" s="22" t="s">
        <v>444</v>
      </c>
      <c r="E6" s="22" t="s">
        <v>445</v>
      </c>
      <c r="F6" s="22" t="s">
        <v>446</v>
      </c>
      <c r="G6" s="22" t="s">
        <v>447</v>
      </c>
    </row>
    <row r="7" customFormat="false" ht="19.5" hidden="false" customHeight="true" outlineLevel="0" collapsed="false">
      <c r="A7" s="46" t="s">
        <v>448</v>
      </c>
      <c r="B7" s="25"/>
      <c r="C7" s="25"/>
      <c r="D7" s="25"/>
      <c r="E7" s="27" t="n">
        <f aca="false">IFERROR(D7/SUM($D$7:$D$12),0)</f>
        <v>0</v>
      </c>
      <c r="F7" s="80" t="n">
        <v>5</v>
      </c>
      <c r="G7" s="28" t="s">
        <v>449</v>
      </c>
    </row>
    <row r="8" customFormat="false" ht="19.5" hidden="false" customHeight="true" outlineLevel="0" collapsed="false">
      <c r="A8" s="23" t="s">
        <v>450</v>
      </c>
      <c r="B8" s="25"/>
      <c r="C8" s="25"/>
      <c r="D8" s="25"/>
      <c r="E8" s="27" t="n">
        <f aca="false">IFERROR(D8/SUM($D$7:$D$12),0)</f>
        <v>0</v>
      </c>
      <c r="F8" s="80" t="n">
        <v>4</v>
      </c>
      <c r="G8" s="28" t="s">
        <v>451</v>
      </c>
    </row>
    <row r="9" customFormat="false" ht="19.5" hidden="false" customHeight="true" outlineLevel="0" collapsed="false">
      <c r="A9" s="46" t="s">
        <v>452</v>
      </c>
      <c r="B9" s="25"/>
      <c r="C9" s="25"/>
      <c r="D9" s="25"/>
      <c r="E9" s="27" t="n">
        <f aca="false">IFERROR(D9/SUM($D$7:$D$12),0)</f>
        <v>0</v>
      </c>
      <c r="F9" s="81" t="n">
        <v>3</v>
      </c>
      <c r="G9" s="28" t="s">
        <v>453</v>
      </c>
    </row>
    <row r="10" customFormat="false" ht="19.5" hidden="false" customHeight="true" outlineLevel="0" collapsed="false">
      <c r="A10" s="23" t="s">
        <v>454</v>
      </c>
      <c r="B10" s="25"/>
      <c r="C10" s="25"/>
      <c r="D10" s="25"/>
      <c r="E10" s="27" t="n">
        <f aca="false">IFERROR(D10/SUM($D$7:$D$12),0)</f>
        <v>0</v>
      </c>
      <c r="F10" s="82" t="n">
        <v>2</v>
      </c>
      <c r="G10" s="28" t="s">
        <v>455</v>
      </c>
    </row>
    <row r="11" customFormat="false" ht="19.5" hidden="false" customHeight="true" outlineLevel="0" collapsed="false">
      <c r="A11" s="46" t="s">
        <v>456</v>
      </c>
      <c r="B11" s="25"/>
      <c r="C11" s="25"/>
      <c r="D11" s="25"/>
      <c r="E11" s="27" t="n">
        <f aca="false">IFERROR(D11/SUM($D$7:$D$12),0)</f>
        <v>0</v>
      </c>
      <c r="F11" s="82" t="n">
        <v>2</v>
      </c>
      <c r="G11" s="28" t="s">
        <v>457</v>
      </c>
    </row>
    <row r="12" customFormat="false" ht="19.5" hidden="false" customHeight="true" outlineLevel="0" collapsed="false">
      <c r="A12" s="23" t="s">
        <v>458</v>
      </c>
      <c r="B12" s="25"/>
      <c r="C12" s="25"/>
      <c r="D12" s="25"/>
      <c r="E12" s="27" t="n">
        <f aca="false">IFERROR(D12/SUM($D$7:$D$12),0)</f>
        <v>0</v>
      </c>
      <c r="F12" s="82" t="n">
        <v>1</v>
      </c>
      <c r="G12" s="28" t="s">
        <v>459</v>
      </c>
    </row>
    <row r="13" customFormat="false" ht="21.75" hidden="false" customHeight="true" outlineLevel="0" collapsed="false">
      <c r="A13" s="79" t="s">
        <v>460</v>
      </c>
      <c r="B13" s="79" t="n">
        <f aca="false">SUM(C7:C12)</f>
        <v>0</v>
      </c>
      <c r="C13" s="79" t="n">
        <f aca="false">SUM(D7:D12)</f>
        <v>0</v>
      </c>
      <c r="D13" s="83" t="n">
        <f aca="false">IFERROR((D7+D8)/D13,0)</f>
        <v>0</v>
      </c>
    </row>
    <row r="14" customFormat="false" ht="6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</row>
    <row r="15" customFormat="false" ht="21.75" hidden="false" customHeight="true" outlineLevel="0" collapsed="false">
      <c r="A15" s="21" t="s">
        <v>461</v>
      </c>
      <c r="B15" s="21"/>
      <c r="C15" s="21"/>
      <c r="D15" s="21"/>
      <c r="E15" s="21"/>
      <c r="F15" s="21"/>
      <c r="G15" s="21"/>
      <c r="H15" s="21"/>
    </row>
    <row r="16" customFormat="false" ht="19.5" hidden="false" customHeight="true" outlineLevel="0" collapsed="false">
      <c r="A16" s="22" t="s">
        <v>462</v>
      </c>
      <c r="B16" s="22" t="s">
        <v>463</v>
      </c>
      <c r="C16" s="22" t="s">
        <v>464</v>
      </c>
      <c r="D16" s="22" t="s">
        <v>465</v>
      </c>
    </row>
    <row r="17" customFormat="false" ht="19.5" hidden="false" customHeight="true" outlineLevel="0" collapsed="false">
      <c r="A17" s="74" t="s">
        <v>466</v>
      </c>
      <c r="B17" s="25"/>
      <c r="C17" s="27" t="n">
        <f aca="false">IFERROR(B17/SUM(B17:B26),0)</f>
        <v>0</v>
      </c>
      <c r="D17" s="67" t="str">
        <f aca="false">IF(C17&gt;0.1,"HIGH RISK — &gt;10%",IF(C17&gt;0.05,"Watch — 5-10%","OK"))</f>
        <v>OK</v>
      </c>
    </row>
    <row r="18" customFormat="false" ht="19.5" hidden="false" customHeight="true" outlineLevel="0" collapsed="false">
      <c r="A18" s="76" t="s">
        <v>467</v>
      </c>
      <c r="B18" s="25"/>
      <c r="C18" s="27" t="n">
        <f aca="false">IFERROR(B18/SUM(B17:B26),0)</f>
        <v>0</v>
      </c>
      <c r="D18" s="67" t="str">
        <f aca="false">IF(C18&gt;0.1,"HIGH RISK — &gt;10%",IF(C18&gt;0.05,"Watch — 5-10%","OK"))</f>
        <v>OK</v>
      </c>
    </row>
    <row r="19" customFormat="false" ht="19.5" hidden="false" customHeight="true" outlineLevel="0" collapsed="false">
      <c r="A19" s="74" t="s">
        <v>468</v>
      </c>
      <c r="B19" s="25"/>
      <c r="C19" s="27" t="n">
        <f aca="false">IFERROR(B19/SUM(B17:B26),0)</f>
        <v>0</v>
      </c>
      <c r="D19" s="67" t="str">
        <f aca="false">IF(C19&gt;0.1,"HIGH RISK — &gt;10%",IF(C19&gt;0.05,"Watch — 5-10%","OK"))</f>
        <v>OK</v>
      </c>
    </row>
    <row r="20" customFormat="false" ht="19.5" hidden="false" customHeight="true" outlineLevel="0" collapsed="false">
      <c r="A20" s="76" t="s">
        <v>469</v>
      </c>
      <c r="B20" s="25"/>
      <c r="C20" s="27" t="n">
        <f aca="false">IFERROR(B20/SUM(B17:B26),0)</f>
        <v>0</v>
      </c>
      <c r="D20" s="67" t="str">
        <f aca="false">IF(C20&gt;0.1,"HIGH RISK — &gt;10%",IF(C20&gt;0.05,"Watch — 5-10%","OK"))</f>
        <v>OK</v>
      </c>
    </row>
    <row r="21" customFormat="false" ht="19.5" hidden="false" customHeight="true" outlineLevel="0" collapsed="false">
      <c r="A21" s="74" t="s">
        <v>470</v>
      </c>
      <c r="B21" s="25"/>
      <c r="C21" s="27" t="n">
        <f aca="false">IFERROR(B21/SUM(B17:B26),0)</f>
        <v>0</v>
      </c>
      <c r="D21" s="67" t="str">
        <f aca="false">IF(C21&gt;0.1,"HIGH RISK — &gt;10%",IF(C21&gt;0.05,"Watch — 5-10%","OK"))</f>
        <v>OK</v>
      </c>
    </row>
    <row r="22" customFormat="false" ht="19.5" hidden="false" customHeight="true" outlineLevel="0" collapsed="false">
      <c r="A22" s="76" t="s">
        <v>471</v>
      </c>
      <c r="B22" s="25"/>
      <c r="C22" s="27" t="n">
        <f aca="false">IFERROR(B22/SUM(B17:B26),0)</f>
        <v>0</v>
      </c>
      <c r="D22" s="67" t="str">
        <f aca="false">IF(C22&gt;0.1,"HIGH RISK — &gt;10%",IF(C22&gt;0.05,"Watch — 5-10%","OK"))</f>
        <v>OK</v>
      </c>
    </row>
    <row r="23" customFormat="false" ht="19.5" hidden="false" customHeight="true" outlineLevel="0" collapsed="false">
      <c r="A23" s="74" t="s">
        <v>472</v>
      </c>
      <c r="B23" s="25"/>
      <c r="C23" s="27" t="n">
        <f aca="false">IFERROR(B23/SUM(B17:B26),0)</f>
        <v>0</v>
      </c>
      <c r="D23" s="67" t="str">
        <f aca="false">IF(C23&gt;0.1,"HIGH RISK — &gt;10%",IF(C23&gt;0.05,"Watch — 5-10%","OK"))</f>
        <v>OK</v>
      </c>
    </row>
    <row r="24" customFormat="false" ht="19.5" hidden="false" customHeight="true" outlineLevel="0" collapsed="false">
      <c r="A24" s="76" t="s">
        <v>473</v>
      </c>
      <c r="B24" s="25"/>
      <c r="C24" s="27" t="n">
        <f aca="false">IFERROR(B24/SUM(B17:B26),0)</f>
        <v>0</v>
      </c>
      <c r="D24" s="67" t="str">
        <f aca="false">IF(C24&gt;0.1,"HIGH RISK — &gt;10%",IF(C24&gt;0.05,"Watch — 5-10%","OK"))</f>
        <v>OK</v>
      </c>
    </row>
    <row r="25" customFormat="false" ht="19.5" hidden="false" customHeight="true" outlineLevel="0" collapsed="false">
      <c r="A25" s="74" t="s">
        <v>474</v>
      </c>
      <c r="B25" s="25"/>
      <c r="C25" s="27" t="n">
        <f aca="false">IFERROR(B25/SUM(B17:B26),0)</f>
        <v>0</v>
      </c>
      <c r="D25" s="67" t="str">
        <f aca="false">IF(C25&gt;0.1,"HIGH RISK — &gt;10%",IF(C25&gt;0.05,"Watch — 5-10%","OK"))</f>
        <v>OK</v>
      </c>
    </row>
    <row r="26" customFormat="false" ht="19.5" hidden="false" customHeight="true" outlineLevel="0" collapsed="false">
      <c r="A26" s="76" t="s">
        <v>475</v>
      </c>
      <c r="B26" s="25"/>
      <c r="C26" s="27" t="n">
        <f aca="false">IFERROR(B26/SUM(B17:B26),0)</f>
        <v>0</v>
      </c>
      <c r="D26" s="67" t="str">
        <f aca="false">IF(C26&gt;0.1,"HIGH RISK — &gt;10%",IF(C26&gt;0.05,"Watch — 5-10%","OK"))</f>
        <v>OK</v>
      </c>
    </row>
  </sheetData>
  <mergeCells count="7">
    <mergeCell ref="A1:G1"/>
    <mergeCell ref="A2:G2"/>
    <mergeCell ref="A3:B3"/>
    <mergeCell ref="C3:D3"/>
    <mergeCell ref="E3:F3"/>
    <mergeCell ref="A5:H5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36" hidden="false" customHeight="true" outlineLevel="0" collapsed="false">
      <c r="A1" s="15" t="s">
        <v>476</v>
      </c>
      <c r="B1" s="15"/>
      <c r="C1" s="15"/>
      <c r="D1" s="15"/>
      <c r="E1" s="15"/>
      <c r="F1" s="15"/>
      <c r="G1" s="15"/>
    </row>
    <row r="2" customFormat="false" ht="48" hidden="false" customHeight="true" outlineLevel="0" collapsed="false">
      <c r="A2" s="16" t="s">
        <v>477</v>
      </c>
      <c r="B2" s="16"/>
      <c r="C2" s="16"/>
      <c r="D2" s="16"/>
      <c r="E2" s="16"/>
      <c r="F2" s="16"/>
      <c r="G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19.5" hidden="false" customHeight="true" outlineLevel="0" collapsed="false">
      <c r="A5" s="22" t="s">
        <v>478</v>
      </c>
      <c r="B5" s="22" t="s">
        <v>5</v>
      </c>
      <c r="C5" s="22" t="s">
        <v>479</v>
      </c>
      <c r="D5" s="22" t="s">
        <v>480</v>
      </c>
      <c r="E5" s="22" t="s">
        <v>389</v>
      </c>
      <c r="F5" s="22" t="s">
        <v>481</v>
      </c>
      <c r="G5" s="22" t="s">
        <v>233</v>
      </c>
    </row>
    <row r="6" customFormat="false" ht="21.75" hidden="false" customHeight="true" outlineLevel="0" collapsed="false">
      <c r="A6" s="84" t="s">
        <v>482</v>
      </c>
      <c r="B6" s="84"/>
      <c r="C6" s="84"/>
      <c r="D6" s="84"/>
      <c r="E6" s="84"/>
      <c r="F6" s="84"/>
      <c r="G6" s="84"/>
    </row>
    <row r="7" customFormat="false" ht="19.5" hidden="false" customHeight="true" outlineLevel="0" collapsed="false">
      <c r="A7" s="74" t="s">
        <v>483</v>
      </c>
      <c r="B7" s="55" t="s">
        <v>9</v>
      </c>
      <c r="C7" s="78"/>
      <c r="D7" s="78"/>
      <c r="E7" s="78"/>
      <c r="F7" s="78"/>
      <c r="G7" s="55" t="s">
        <v>484</v>
      </c>
    </row>
    <row r="8" customFormat="false" ht="19.5" hidden="false" customHeight="true" outlineLevel="0" collapsed="false">
      <c r="A8" s="76" t="s">
        <v>485</v>
      </c>
      <c r="B8" s="55" t="s">
        <v>9</v>
      </c>
      <c r="C8" s="78"/>
      <c r="D8" s="78"/>
      <c r="E8" s="78"/>
      <c r="F8" s="78"/>
      <c r="G8" s="55" t="s">
        <v>484</v>
      </c>
    </row>
    <row r="9" customFormat="false" ht="19.5" hidden="false" customHeight="true" outlineLevel="0" collapsed="false">
      <c r="A9" s="74" t="s">
        <v>486</v>
      </c>
      <c r="B9" s="55" t="s">
        <v>9</v>
      </c>
      <c r="C9" s="78"/>
      <c r="D9" s="78"/>
      <c r="E9" s="78"/>
      <c r="F9" s="78"/>
      <c r="G9" s="55" t="s">
        <v>484</v>
      </c>
    </row>
    <row r="10" customFormat="false" ht="19.5" hidden="false" customHeight="true" outlineLevel="0" collapsed="false">
      <c r="A10" s="76" t="s">
        <v>487</v>
      </c>
      <c r="B10" s="55" t="s">
        <v>9</v>
      </c>
      <c r="C10" s="78"/>
      <c r="D10" s="78"/>
      <c r="E10" s="78"/>
      <c r="F10" s="78"/>
      <c r="G10" s="55" t="s">
        <v>484</v>
      </c>
    </row>
    <row r="11" customFormat="false" ht="19.5" hidden="false" customHeight="true" outlineLevel="0" collapsed="false">
      <c r="A11" s="74" t="s">
        <v>488</v>
      </c>
      <c r="B11" s="55" t="s">
        <v>9</v>
      </c>
      <c r="C11" s="78"/>
      <c r="D11" s="78"/>
      <c r="E11" s="78"/>
      <c r="F11" s="78"/>
      <c r="G11" s="55" t="s">
        <v>484</v>
      </c>
    </row>
    <row r="12" customFormat="false" ht="19.5" hidden="false" customHeight="true" outlineLevel="0" collapsed="false">
      <c r="A12" s="76" t="s">
        <v>489</v>
      </c>
      <c r="B12" s="55" t="s">
        <v>9</v>
      </c>
      <c r="C12" s="78"/>
      <c r="D12" s="78"/>
      <c r="E12" s="78"/>
      <c r="F12" s="78"/>
      <c r="G12" s="55" t="s">
        <v>484</v>
      </c>
    </row>
    <row r="13" customFormat="false" ht="19.5" hidden="false" customHeight="true" outlineLevel="0" collapsed="false">
      <c r="A13" s="74" t="s">
        <v>490</v>
      </c>
      <c r="B13" s="55" t="s">
        <v>9</v>
      </c>
      <c r="C13" s="78"/>
      <c r="D13" s="78"/>
      <c r="E13" s="78"/>
      <c r="F13" s="78"/>
      <c r="G13" s="55" t="s">
        <v>484</v>
      </c>
    </row>
    <row r="14" customFormat="false" ht="21.75" hidden="false" customHeight="true" outlineLevel="0" collapsed="false">
      <c r="A14" s="84" t="s">
        <v>491</v>
      </c>
      <c r="B14" s="84"/>
      <c r="C14" s="84"/>
      <c r="D14" s="84"/>
      <c r="E14" s="84"/>
      <c r="F14" s="84"/>
      <c r="G14" s="84"/>
    </row>
    <row r="15" customFormat="false" ht="19.5" hidden="false" customHeight="true" outlineLevel="0" collapsed="false">
      <c r="A15" s="74" t="s">
        <v>492</v>
      </c>
      <c r="B15" s="55" t="s">
        <v>9</v>
      </c>
      <c r="C15" s="78"/>
      <c r="D15" s="78"/>
      <c r="E15" s="78"/>
      <c r="F15" s="78"/>
      <c r="G15" s="55" t="s">
        <v>484</v>
      </c>
    </row>
    <row r="16" customFormat="false" ht="19.5" hidden="false" customHeight="true" outlineLevel="0" collapsed="false">
      <c r="A16" s="76" t="s">
        <v>493</v>
      </c>
      <c r="B16" s="55" t="s">
        <v>9</v>
      </c>
      <c r="C16" s="78"/>
      <c r="D16" s="78"/>
      <c r="E16" s="78"/>
      <c r="F16" s="78"/>
      <c r="G16" s="55" t="s">
        <v>484</v>
      </c>
    </row>
    <row r="17" customFormat="false" ht="19.5" hidden="false" customHeight="true" outlineLevel="0" collapsed="false">
      <c r="A17" s="74" t="s">
        <v>494</v>
      </c>
      <c r="B17" s="55" t="s">
        <v>9</v>
      </c>
      <c r="C17" s="78"/>
      <c r="D17" s="78"/>
      <c r="E17" s="78"/>
      <c r="F17" s="78"/>
      <c r="G17" s="55" t="s">
        <v>484</v>
      </c>
    </row>
    <row r="18" customFormat="false" ht="19.5" hidden="false" customHeight="true" outlineLevel="0" collapsed="false">
      <c r="A18" s="76" t="s">
        <v>495</v>
      </c>
      <c r="B18" s="55" t="s">
        <v>9</v>
      </c>
      <c r="C18" s="78"/>
      <c r="D18" s="78"/>
      <c r="E18" s="78"/>
      <c r="F18" s="78"/>
      <c r="G18" s="55" t="s">
        <v>484</v>
      </c>
    </row>
    <row r="19" customFormat="false" ht="19.5" hidden="false" customHeight="true" outlineLevel="0" collapsed="false">
      <c r="A19" s="74" t="s">
        <v>496</v>
      </c>
      <c r="B19" s="55" t="s">
        <v>9</v>
      </c>
      <c r="C19" s="78"/>
      <c r="D19" s="78"/>
      <c r="E19" s="78"/>
      <c r="F19" s="78"/>
      <c r="G19" s="55" t="s">
        <v>484</v>
      </c>
    </row>
    <row r="20" customFormat="false" ht="19.5" hidden="false" customHeight="true" outlineLevel="0" collapsed="false">
      <c r="A20" s="76" t="s">
        <v>497</v>
      </c>
      <c r="B20" s="55" t="s">
        <v>9</v>
      </c>
      <c r="C20" s="78"/>
      <c r="D20" s="78"/>
      <c r="E20" s="78"/>
      <c r="F20" s="78"/>
      <c r="G20" s="55" t="s">
        <v>484</v>
      </c>
    </row>
    <row r="21" customFormat="false" ht="19.5" hidden="false" customHeight="true" outlineLevel="0" collapsed="false">
      <c r="A21" s="74" t="s">
        <v>498</v>
      </c>
      <c r="B21" s="55" t="s">
        <v>9</v>
      </c>
      <c r="C21" s="78"/>
      <c r="D21" s="78"/>
      <c r="E21" s="78"/>
      <c r="F21" s="78"/>
      <c r="G21" s="55" t="s">
        <v>484</v>
      </c>
    </row>
    <row r="22" customFormat="false" ht="21.75" hidden="false" customHeight="true" outlineLevel="0" collapsed="false">
      <c r="A22" s="84" t="s">
        <v>499</v>
      </c>
      <c r="B22" s="84"/>
      <c r="C22" s="84"/>
      <c r="D22" s="84"/>
      <c r="E22" s="84"/>
      <c r="F22" s="84"/>
      <c r="G22" s="84"/>
    </row>
    <row r="23" customFormat="false" ht="19.5" hidden="false" customHeight="true" outlineLevel="0" collapsed="false">
      <c r="A23" s="74" t="s">
        <v>500</v>
      </c>
      <c r="B23" s="55" t="s">
        <v>9</v>
      </c>
      <c r="C23" s="78"/>
      <c r="D23" s="78"/>
      <c r="E23" s="78"/>
      <c r="F23" s="78"/>
      <c r="G23" s="55" t="s">
        <v>484</v>
      </c>
    </row>
    <row r="24" customFormat="false" ht="19.5" hidden="false" customHeight="true" outlineLevel="0" collapsed="false">
      <c r="A24" s="76" t="s">
        <v>501</v>
      </c>
      <c r="B24" s="55" t="s">
        <v>9</v>
      </c>
      <c r="C24" s="78"/>
      <c r="D24" s="78"/>
      <c r="E24" s="78"/>
      <c r="F24" s="78"/>
      <c r="G24" s="55" t="s">
        <v>484</v>
      </c>
    </row>
    <row r="25" customFormat="false" ht="19.5" hidden="false" customHeight="true" outlineLevel="0" collapsed="false">
      <c r="A25" s="74" t="s">
        <v>502</v>
      </c>
      <c r="B25" s="55" t="s">
        <v>9</v>
      </c>
      <c r="C25" s="78"/>
      <c r="D25" s="78"/>
      <c r="E25" s="78"/>
      <c r="F25" s="78"/>
      <c r="G25" s="55" t="s">
        <v>484</v>
      </c>
    </row>
    <row r="26" customFormat="false" ht="19.5" hidden="false" customHeight="true" outlineLevel="0" collapsed="false">
      <c r="A26" s="76" t="s">
        <v>503</v>
      </c>
      <c r="B26" s="55" t="s">
        <v>9</v>
      </c>
      <c r="C26" s="78"/>
      <c r="D26" s="78"/>
      <c r="E26" s="78"/>
      <c r="F26" s="78"/>
      <c r="G26" s="55" t="s">
        <v>484</v>
      </c>
    </row>
    <row r="27" customFormat="false" ht="19.5" hidden="false" customHeight="true" outlineLevel="0" collapsed="false">
      <c r="A27" s="74" t="s">
        <v>504</v>
      </c>
      <c r="B27" s="55" t="s">
        <v>9</v>
      </c>
      <c r="C27" s="78"/>
      <c r="D27" s="78"/>
      <c r="E27" s="78"/>
      <c r="F27" s="78"/>
      <c r="G27" s="55" t="s">
        <v>484</v>
      </c>
    </row>
    <row r="28" customFormat="false" ht="21.75" hidden="false" customHeight="true" outlineLevel="0" collapsed="false">
      <c r="A28" s="84" t="s">
        <v>505</v>
      </c>
      <c r="B28" s="84"/>
      <c r="C28" s="84"/>
      <c r="D28" s="84"/>
      <c r="E28" s="84"/>
      <c r="F28" s="84"/>
      <c r="G28" s="84"/>
    </row>
    <row r="29" customFormat="false" ht="19.5" hidden="false" customHeight="true" outlineLevel="0" collapsed="false">
      <c r="A29" s="74" t="s">
        <v>506</v>
      </c>
      <c r="B29" s="55" t="s">
        <v>9</v>
      </c>
      <c r="C29" s="78"/>
      <c r="D29" s="78"/>
      <c r="E29" s="78"/>
      <c r="F29" s="78"/>
      <c r="G29" s="55" t="s">
        <v>484</v>
      </c>
    </row>
    <row r="30" customFormat="false" ht="19.5" hidden="false" customHeight="true" outlineLevel="0" collapsed="false">
      <c r="A30" s="76" t="s">
        <v>507</v>
      </c>
      <c r="B30" s="55" t="s">
        <v>9</v>
      </c>
      <c r="C30" s="78"/>
      <c r="D30" s="78"/>
      <c r="E30" s="78"/>
      <c r="F30" s="78"/>
      <c r="G30" s="55" t="s">
        <v>484</v>
      </c>
    </row>
    <row r="31" customFormat="false" ht="19.5" hidden="false" customHeight="true" outlineLevel="0" collapsed="false">
      <c r="A31" s="74" t="s">
        <v>508</v>
      </c>
      <c r="B31" s="55" t="s">
        <v>9</v>
      </c>
      <c r="C31" s="78"/>
      <c r="D31" s="78"/>
      <c r="E31" s="78"/>
      <c r="F31" s="78"/>
      <c r="G31" s="55" t="s">
        <v>484</v>
      </c>
    </row>
    <row r="32" customFormat="false" ht="19.5" hidden="false" customHeight="true" outlineLevel="0" collapsed="false">
      <c r="A32" s="76" t="s">
        <v>509</v>
      </c>
      <c r="B32" s="55" t="s">
        <v>9</v>
      </c>
      <c r="C32" s="78"/>
      <c r="D32" s="78"/>
      <c r="E32" s="78"/>
      <c r="F32" s="78"/>
      <c r="G32" s="55" t="s">
        <v>484</v>
      </c>
    </row>
    <row r="33" customFormat="false" ht="19.5" hidden="false" customHeight="true" outlineLevel="0" collapsed="false">
      <c r="A33" s="74" t="s">
        <v>510</v>
      </c>
      <c r="B33" s="55" t="s">
        <v>9</v>
      </c>
      <c r="C33" s="78"/>
      <c r="D33" s="78"/>
      <c r="E33" s="78"/>
      <c r="F33" s="78"/>
      <c r="G33" s="55" t="s">
        <v>484</v>
      </c>
    </row>
    <row r="34" customFormat="false" ht="21.75" hidden="false" customHeight="true" outlineLevel="0" collapsed="false">
      <c r="A34" s="84" t="s">
        <v>511</v>
      </c>
      <c r="B34" s="84"/>
      <c r="C34" s="84"/>
      <c r="D34" s="84"/>
      <c r="E34" s="84"/>
      <c r="F34" s="84"/>
      <c r="G34" s="84"/>
    </row>
    <row r="35" customFormat="false" ht="19.5" hidden="false" customHeight="true" outlineLevel="0" collapsed="false">
      <c r="A35" s="74" t="s">
        <v>512</v>
      </c>
      <c r="B35" s="55" t="s">
        <v>9</v>
      </c>
      <c r="C35" s="78"/>
      <c r="D35" s="78"/>
      <c r="E35" s="78"/>
      <c r="F35" s="78"/>
      <c r="G35" s="55" t="s">
        <v>484</v>
      </c>
    </row>
    <row r="36" customFormat="false" ht="19.5" hidden="false" customHeight="true" outlineLevel="0" collapsed="false">
      <c r="A36" s="76" t="s">
        <v>513</v>
      </c>
      <c r="B36" s="55" t="s">
        <v>9</v>
      </c>
      <c r="C36" s="78"/>
      <c r="D36" s="78"/>
      <c r="E36" s="78"/>
      <c r="F36" s="78"/>
      <c r="G36" s="55" t="s">
        <v>484</v>
      </c>
    </row>
    <row r="37" customFormat="false" ht="19.5" hidden="false" customHeight="true" outlineLevel="0" collapsed="false">
      <c r="A37" s="74" t="s">
        <v>514</v>
      </c>
      <c r="B37" s="55" t="s">
        <v>9</v>
      </c>
      <c r="C37" s="78"/>
      <c r="D37" s="78"/>
      <c r="E37" s="78"/>
      <c r="F37" s="78"/>
      <c r="G37" s="55" t="s">
        <v>484</v>
      </c>
    </row>
    <row r="38" customFormat="false" ht="19.5" hidden="false" customHeight="true" outlineLevel="0" collapsed="false">
      <c r="A38" s="76" t="s">
        <v>515</v>
      </c>
      <c r="B38" s="55" t="s">
        <v>9</v>
      </c>
      <c r="C38" s="78"/>
      <c r="D38" s="78"/>
      <c r="E38" s="78"/>
      <c r="F38" s="78"/>
      <c r="G38" s="55" t="s">
        <v>484</v>
      </c>
    </row>
    <row r="39" customFormat="false" ht="19.5" hidden="false" customHeight="true" outlineLevel="0" collapsed="false">
      <c r="A39" s="74" t="s">
        <v>516</v>
      </c>
      <c r="B39" s="55" t="s">
        <v>9</v>
      </c>
      <c r="C39" s="78"/>
      <c r="D39" s="78"/>
      <c r="E39" s="78"/>
      <c r="F39" s="78"/>
      <c r="G39" s="55" t="s">
        <v>484</v>
      </c>
    </row>
    <row r="40" customFormat="false" ht="21.75" hidden="false" customHeight="true" outlineLevel="0" collapsed="false">
      <c r="A40" s="84" t="s">
        <v>517</v>
      </c>
      <c r="B40" s="84"/>
      <c r="C40" s="84"/>
      <c r="D40" s="84"/>
      <c r="E40" s="84"/>
      <c r="F40" s="84"/>
      <c r="G40" s="84"/>
    </row>
    <row r="41" customFormat="false" ht="19.5" hidden="false" customHeight="true" outlineLevel="0" collapsed="false">
      <c r="A41" s="74" t="s">
        <v>518</v>
      </c>
      <c r="B41" s="55" t="s">
        <v>9</v>
      </c>
      <c r="C41" s="78"/>
      <c r="D41" s="78"/>
      <c r="E41" s="78"/>
      <c r="F41" s="78"/>
      <c r="G41" s="55" t="s">
        <v>484</v>
      </c>
    </row>
    <row r="42" customFormat="false" ht="19.5" hidden="false" customHeight="true" outlineLevel="0" collapsed="false">
      <c r="A42" s="76" t="s">
        <v>519</v>
      </c>
      <c r="B42" s="55" t="s">
        <v>9</v>
      </c>
      <c r="C42" s="78"/>
      <c r="D42" s="78"/>
      <c r="E42" s="78"/>
      <c r="F42" s="78"/>
      <c r="G42" s="55" t="s">
        <v>484</v>
      </c>
    </row>
    <row r="43" customFormat="false" ht="19.5" hidden="false" customHeight="true" outlineLevel="0" collapsed="false">
      <c r="A43" s="74" t="s">
        <v>520</v>
      </c>
      <c r="B43" s="55" t="s">
        <v>9</v>
      </c>
      <c r="C43" s="78"/>
      <c r="D43" s="78"/>
      <c r="E43" s="78"/>
      <c r="F43" s="78"/>
      <c r="G43" s="55" t="s">
        <v>484</v>
      </c>
    </row>
    <row r="44" customFormat="false" ht="19.5" hidden="false" customHeight="true" outlineLevel="0" collapsed="false">
      <c r="A44" s="76" t="s">
        <v>521</v>
      </c>
      <c r="B44" s="55" t="s">
        <v>9</v>
      </c>
      <c r="C44" s="78"/>
      <c r="D44" s="78"/>
      <c r="E44" s="78"/>
      <c r="F44" s="78"/>
      <c r="G44" s="55" t="s">
        <v>484</v>
      </c>
    </row>
  </sheetData>
  <mergeCells count="11">
    <mergeCell ref="A1:G1"/>
    <mergeCell ref="A2:G2"/>
    <mergeCell ref="A3:B3"/>
    <mergeCell ref="C3:D3"/>
    <mergeCell ref="E3:F3"/>
    <mergeCell ref="A6:G6"/>
    <mergeCell ref="A14:G14"/>
    <mergeCell ref="A22:G22"/>
    <mergeCell ref="A28:G28"/>
    <mergeCell ref="A34:G34"/>
    <mergeCell ref="A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6"/>
    <col collapsed="false" customWidth="true" hidden="false" outlineLevel="0" max="6" min="6" style="1" width="18"/>
    <col collapsed="false" customWidth="true" hidden="false" outlineLevel="0" max="7" min="7" style="1" width="14"/>
  </cols>
  <sheetData>
    <row r="1" customFormat="false" ht="36" hidden="false" customHeight="true" outlineLevel="0" collapsed="false">
      <c r="A1" s="15" t="s">
        <v>522</v>
      </c>
      <c r="B1" s="15"/>
      <c r="C1" s="15"/>
      <c r="D1" s="15"/>
      <c r="E1" s="15"/>
      <c r="F1" s="15"/>
      <c r="G1" s="15"/>
    </row>
    <row r="2" customFormat="false" ht="48" hidden="false" customHeight="true" outlineLevel="0" collapsed="false">
      <c r="A2" s="16" t="s">
        <v>523</v>
      </c>
      <c r="B2" s="16"/>
      <c r="C2" s="16"/>
      <c r="D2" s="16"/>
      <c r="E2" s="16"/>
      <c r="F2" s="16"/>
      <c r="G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524</v>
      </c>
      <c r="B5" s="21"/>
      <c r="C5" s="21"/>
      <c r="D5" s="21"/>
      <c r="E5" s="21"/>
      <c r="F5" s="21"/>
      <c r="G5" s="21"/>
      <c r="H5" s="21"/>
    </row>
    <row r="6" customFormat="false" ht="19.5" hidden="false" customHeight="true" outlineLevel="0" collapsed="false">
      <c r="A6" s="22" t="s">
        <v>525</v>
      </c>
      <c r="B6" s="22" t="s">
        <v>285</v>
      </c>
      <c r="C6" s="22" t="s">
        <v>286</v>
      </c>
    </row>
    <row r="7" customFormat="false" ht="19.5" hidden="false" customHeight="true" outlineLevel="0" collapsed="false">
      <c r="A7" s="46" t="s">
        <v>526</v>
      </c>
      <c r="B7" s="58"/>
      <c r="C7" s="28" t="s">
        <v>527</v>
      </c>
      <c r="D7" s="28"/>
      <c r="E7" s="28"/>
      <c r="F7" s="28"/>
      <c r="G7" s="28"/>
    </row>
    <row r="8" customFormat="false" ht="19.5" hidden="false" customHeight="true" outlineLevel="0" collapsed="false">
      <c r="A8" s="23" t="s">
        <v>528</v>
      </c>
      <c r="B8" s="44"/>
      <c r="C8" s="28" t="s">
        <v>529</v>
      </c>
      <c r="D8" s="28"/>
      <c r="E8" s="28"/>
      <c r="F8" s="28"/>
      <c r="G8" s="28"/>
    </row>
    <row r="9" customFormat="false" ht="19.5" hidden="false" customHeight="true" outlineLevel="0" collapsed="false">
      <c r="A9" s="46" t="s">
        <v>530</v>
      </c>
      <c r="B9" s="58"/>
      <c r="C9" s="28" t="s">
        <v>531</v>
      </c>
      <c r="D9" s="28"/>
      <c r="E9" s="28"/>
      <c r="F9" s="28"/>
      <c r="G9" s="28"/>
    </row>
    <row r="10" customFormat="false" ht="19.5" hidden="false" customHeight="true" outlineLevel="0" collapsed="false">
      <c r="A10" s="23" t="s">
        <v>532</v>
      </c>
      <c r="B10" s="58"/>
      <c r="C10" s="28" t="s">
        <v>533</v>
      </c>
      <c r="D10" s="28"/>
      <c r="E10" s="28"/>
      <c r="F10" s="28"/>
      <c r="G10" s="28"/>
    </row>
    <row r="11" customFormat="false" ht="19.5" hidden="false" customHeight="true" outlineLevel="0" collapsed="false">
      <c r="A11" s="46" t="s">
        <v>534</v>
      </c>
      <c r="B11" s="44"/>
      <c r="C11" s="28" t="s">
        <v>535</v>
      </c>
      <c r="D11" s="28"/>
      <c r="E11" s="28"/>
      <c r="F11" s="28"/>
      <c r="G11" s="28"/>
    </row>
    <row r="12" customFormat="false" ht="19.5" hidden="false" customHeight="true" outlineLevel="0" collapsed="false">
      <c r="A12" s="23" t="s">
        <v>536</v>
      </c>
      <c r="B12" s="45"/>
      <c r="C12" s="28" t="s">
        <v>537</v>
      </c>
      <c r="D12" s="28"/>
      <c r="E12" s="28"/>
      <c r="F12" s="28"/>
      <c r="G12" s="28"/>
    </row>
    <row r="13" customFormat="false" ht="6" hidden="false" customHeight="true" outlineLevel="0" collapsed="false">
      <c r="A13" s="20"/>
      <c r="B13" s="20"/>
      <c r="C13" s="20"/>
      <c r="D13" s="20"/>
      <c r="E13" s="20"/>
      <c r="F13" s="20"/>
      <c r="G13" s="20"/>
      <c r="H13" s="20"/>
    </row>
    <row r="14" customFormat="false" ht="21.75" hidden="false" customHeight="true" outlineLevel="0" collapsed="false">
      <c r="A14" s="21" t="s">
        <v>538</v>
      </c>
      <c r="B14" s="21"/>
      <c r="C14" s="21"/>
      <c r="D14" s="21"/>
      <c r="E14" s="21"/>
      <c r="F14" s="21"/>
      <c r="G14" s="21"/>
      <c r="H14" s="21"/>
    </row>
    <row r="15" customFormat="false" ht="36" hidden="false" customHeight="true" outlineLevel="0" collapsed="false">
      <c r="A15" s="22" t="s">
        <v>539</v>
      </c>
      <c r="B15" s="22" t="s">
        <v>540</v>
      </c>
      <c r="C15" s="22" t="s">
        <v>541</v>
      </c>
      <c r="D15" s="22" t="s">
        <v>542</v>
      </c>
      <c r="E15" s="22" t="s">
        <v>543</v>
      </c>
      <c r="F15" s="22" t="s">
        <v>544</v>
      </c>
      <c r="G15" s="22" t="s">
        <v>545</v>
      </c>
    </row>
    <row r="16" customFormat="false" ht="24" hidden="false" customHeight="true" outlineLevel="0" collapsed="false">
      <c r="A16" s="23" t="s">
        <v>546</v>
      </c>
      <c r="B16" s="58"/>
      <c r="C16" s="85" t="str">
        <f aca="false">IF(B16&gt;=$B$9,"YES","NO")</f>
        <v>YES</v>
      </c>
      <c r="D16" s="65" t="n">
        <f aca="false">IFERROR(IF(B16&lt;$B$9,0,IF($B$11=1,MIN($B$7,(B16-$B$9)/($B$10-$B$9)*$B$7),$B$7)),0)</f>
        <v>0</v>
      </c>
      <c r="E16" s="65" t="n">
        <f aca="false">IFERROR(D16/(1+$B$12)^$B$8,0)</f>
        <v>0</v>
      </c>
      <c r="F16" s="27" t="n">
        <f aca="false">IFERROR(D16/$B$7,0)</f>
        <v>0</v>
      </c>
      <c r="G16" s="78" t="s">
        <v>547</v>
      </c>
    </row>
    <row r="17" customFormat="false" ht="24" hidden="false" customHeight="true" outlineLevel="0" collapsed="false">
      <c r="A17" s="46" t="s">
        <v>548</v>
      </c>
      <c r="B17" s="58"/>
      <c r="C17" s="85" t="str">
        <f aca="false">IF(B17&gt;=$B$9,"YES","NO")</f>
        <v>YES</v>
      </c>
      <c r="D17" s="65" t="n">
        <f aca="false">IFERROR(IF(B17&lt;$B$9,0,IF($B$11=1,MIN($B$7,(B17-$B$9)/($B$10-$B$9)*$B$7),$B$7)),0)</f>
        <v>0</v>
      </c>
      <c r="E17" s="65" t="n">
        <f aca="false">IFERROR(D17/(1+$B$12)^$B$8,0)</f>
        <v>0</v>
      </c>
      <c r="F17" s="27" t="n">
        <f aca="false">IFERROR(D17/$B$7,0)</f>
        <v>0</v>
      </c>
      <c r="G17" s="78" t="s">
        <v>547</v>
      </c>
    </row>
    <row r="18" customFormat="false" ht="24" hidden="false" customHeight="true" outlineLevel="0" collapsed="false">
      <c r="A18" s="23" t="s">
        <v>549</v>
      </c>
      <c r="B18" s="58"/>
      <c r="C18" s="85" t="str">
        <f aca="false">IF(B18&gt;=$B$9,"YES","NO")</f>
        <v>YES</v>
      </c>
      <c r="D18" s="65" t="n">
        <f aca="false">IFERROR(IF(B18&lt;$B$9,0,IF($B$11=1,MIN($B$7,(B18-$B$9)/($B$10-$B$9)*$B$7),$B$7)),0)</f>
        <v>0</v>
      </c>
      <c r="E18" s="65" t="n">
        <f aca="false">IFERROR(D18/(1+$B$12)^$B$8,0)</f>
        <v>0</v>
      </c>
      <c r="F18" s="27" t="n">
        <f aca="false">IFERROR(D18/$B$7,0)</f>
        <v>0</v>
      </c>
      <c r="G18" s="78" t="s">
        <v>547</v>
      </c>
    </row>
    <row r="19" customFormat="false" ht="24" hidden="false" customHeight="true" outlineLevel="0" collapsed="false">
      <c r="A19" s="46" t="s">
        <v>550</v>
      </c>
      <c r="B19" s="58"/>
      <c r="C19" s="85" t="str">
        <f aca="false">IF(B19&gt;=$B$9,"YES","NO")</f>
        <v>YES</v>
      </c>
      <c r="D19" s="65" t="n">
        <f aca="false">IFERROR(IF(B19&lt;$B$9,0,IF($B$11=1,MIN($B$7,(B19-$B$9)/($B$10-$B$9)*$B$7),$B$7)),0)</f>
        <v>0</v>
      </c>
      <c r="E19" s="65" t="n">
        <f aca="false">IFERROR(D19/(1+$B$12)^$B$8,0)</f>
        <v>0</v>
      </c>
      <c r="F19" s="27" t="n">
        <f aca="false">IFERROR(D19/$B$7,0)</f>
        <v>0</v>
      </c>
      <c r="G19" s="78" t="s">
        <v>547</v>
      </c>
    </row>
  </sheetData>
  <mergeCells count="13">
    <mergeCell ref="A1:G1"/>
    <mergeCell ref="A2:G2"/>
    <mergeCell ref="A3:B3"/>
    <mergeCell ref="C3:D3"/>
    <mergeCell ref="E3:F3"/>
    <mergeCell ref="A5:H5"/>
    <mergeCell ref="C7:G7"/>
    <mergeCell ref="C8:G8"/>
    <mergeCell ref="C9:G9"/>
    <mergeCell ref="C10:G10"/>
    <mergeCell ref="C11:G11"/>
    <mergeCell ref="C12:G1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6"/>
  </cols>
  <sheetData>
    <row r="1" customFormat="false" ht="36" hidden="false" customHeight="true" outlineLevel="0" collapsed="false">
      <c r="A1" s="15" t="s">
        <v>551</v>
      </c>
      <c r="B1" s="15"/>
      <c r="C1" s="15"/>
      <c r="D1" s="15"/>
      <c r="E1" s="15"/>
      <c r="F1" s="15"/>
      <c r="G1" s="15"/>
      <c r="H1" s="15"/>
    </row>
    <row r="2" customFormat="false" ht="48" hidden="false" customHeight="true" outlineLevel="0" collapsed="false">
      <c r="A2" s="16" t="s">
        <v>552</v>
      </c>
      <c r="B2" s="16"/>
      <c r="C2" s="16"/>
      <c r="D2" s="16"/>
      <c r="E2" s="16"/>
      <c r="F2" s="16"/>
      <c r="G2" s="16"/>
      <c r="H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553</v>
      </c>
      <c r="B5" s="21"/>
      <c r="C5" s="21"/>
      <c r="D5" s="21"/>
      <c r="E5" s="21"/>
      <c r="F5" s="21"/>
      <c r="G5" s="21"/>
      <c r="H5" s="21"/>
    </row>
    <row r="6" customFormat="false" ht="36" hidden="false" customHeight="true" outlineLevel="0" collapsed="false">
      <c r="A6" s="22" t="s">
        <v>554</v>
      </c>
      <c r="B6" s="22" t="s">
        <v>555</v>
      </c>
      <c r="C6" s="22" t="s">
        <v>556</v>
      </c>
      <c r="D6" s="22" t="s">
        <v>557</v>
      </c>
      <c r="E6" s="22" t="s">
        <v>479</v>
      </c>
      <c r="F6" s="22" t="s">
        <v>558</v>
      </c>
      <c r="G6" s="22" t="s">
        <v>559</v>
      </c>
      <c r="H6" s="22" t="s">
        <v>389</v>
      </c>
    </row>
    <row r="7" customFormat="false" ht="36" hidden="false" customHeight="true" outlineLevel="0" collapsed="false">
      <c r="A7" s="46" t="s">
        <v>560</v>
      </c>
      <c r="B7" s="86" t="s">
        <v>561</v>
      </c>
      <c r="C7" s="87" t="s">
        <v>562</v>
      </c>
      <c r="D7" s="86" t="s">
        <v>563</v>
      </c>
      <c r="E7" s="88"/>
      <c r="F7" s="88"/>
      <c r="G7" s="88"/>
      <c r="H7" s="86" t="s">
        <v>564</v>
      </c>
    </row>
    <row r="8" customFormat="false" ht="36" hidden="false" customHeight="true" outlineLevel="0" collapsed="false">
      <c r="A8" s="23" t="s">
        <v>565</v>
      </c>
      <c r="B8" s="89" t="s">
        <v>566</v>
      </c>
      <c r="C8" s="90" t="s">
        <v>567</v>
      </c>
      <c r="D8" s="89" t="s">
        <v>563</v>
      </c>
      <c r="E8" s="88"/>
      <c r="F8" s="88"/>
      <c r="G8" s="88" t="n">
        <f aca="false">G7*12</f>
        <v>0</v>
      </c>
      <c r="H8" s="89" t="s">
        <v>568</v>
      </c>
    </row>
    <row r="9" customFormat="false" ht="36" hidden="false" customHeight="true" outlineLevel="0" collapsed="false">
      <c r="A9" s="46" t="s">
        <v>569</v>
      </c>
      <c r="B9" s="86" t="s">
        <v>566</v>
      </c>
      <c r="C9" s="87" t="s">
        <v>570</v>
      </c>
      <c r="D9" s="86" t="s">
        <v>571</v>
      </c>
      <c r="E9" s="88"/>
      <c r="F9" s="88"/>
      <c r="G9" s="88"/>
      <c r="H9" s="86" t="s">
        <v>572</v>
      </c>
    </row>
    <row r="10" customFormat="false" ht="36" hidden="false" customHeight="true" outlineLevel="0" collapsed="false">
      <c r="A10" s="23" t="s">
        <v>573</v>
      </c>
      <c r="B10" s="89" t="s">
        <v>566</v>
      </c>
      <c r="C10" s="90" t="s">
        <v>574</v>
      </c>
      <c r="D10" s="89" t="s">
        <v>571</v>
      </c>
      <c r="E10" s="88"/>
      <c r="F10" s="88"/>
      <c r="G10" s="88"/>
      <c r="H10" s="89"/>
    </row>
    <row r="11" customFormat="false" ht="36" hidden="false" customHeight="true" outlineLevel="0" collapsed="false">
      <c r="A11" s="46" t="s">
        <v>575</v>
      </c>
      <c r="B11" s="86" t="s">
        <v>566</v>
      </c>
      <c r="C11" s="87" t="s">
        <v>576</v>
      </c>
      <c r="D11" s="86" t="s">
        <v>571</v>
      </c>
      <c r="E11" s="88"/>
      <c r="F11" s="88"/>
      <c r="G11" s="88"/>
      <c r="H11" s="86"/>
    </row>
    <row r="12" customFormat="false" ht="36" hidden="false" customHeight="true" outlineLevel="0" collapsed="false">
      <c r="A12" s="23" t="s">
        <v>577</v>
      </c>
      <c r="B12" s="89" t="s">
        <v>578</v>
      </c>
      <c r="C12" s="90" t="s">
        <v>579</v>
      </c>
      <c r="D12" s="89" t="s">
        <v>571</v>
      </c>
      <c r="E12" s="88"/>
      <c r="F12" s="88"/>
      <c r="G12" s="88"/>
      <c r="H12" s="89" t="s">
        <v>580</v>
      </c>
    </row>
    <row r="13" customFormat="false" ht="36" hidden="false" customHeight="true" outlineLevel="0" collapsed="false">
      <c r="A13" s="46" t="s">
        <v>581</v>
      </c>
      <c r="B13" s="86" t="s">
        <v>582</v>
      </c>
      <c r="C13" s="87" t="s">
        <v>583</v>
      </c>
      <c r="D13" s="86" t="s">
        <v>571</v>
      </c>
      <c r="E13" s="88"/>
      <c r="F13" s="88"/>
      <c r="G13" s="88"/>
      <c r="H13" s="86"/>
    </row>
    <row r="14" customFormat="false" ht="36" hidden="false" customHeight="true" outlineLevel="0" collapsed="false">
      <c r="A14" s="23" t="s">
        <v>584</v>
      </c>
      <c r="B14" s="89" t="s">
        <v>585</v>
      </c>
      <c r="C14" s="90" t="s">
        <v>586</v>
      </c>
      <c r="D14" s="89" t="s">
        <v>571</v>
      </c>
      <c r="E14" s="88"/>
      <c r="F14" s="88"/>
      <c r="G14" s="88"/>
      <c r="H14" s="89"/>
    </row>
    <row r="15" customFormat="false" ht="36" hidden="false" customHeight="true" outlineLevel="0" collapsed="false">
      <c r="A15" s="46" t="s">
        <v>587</v>
      </c>
      <c r="B15" s="86" t="s">
        <v>588</v>
      </c>
      <c r="C15" s="87" t="s">
        <v>589</v>
      </c>
      <c r="D15" s="86" t="s">
        <v>563</v>
      </c>
      <c r="E15" s="88"/>
      <c r="F15" s="88"/>
      <c r="G15" s="88"/>
      <c r="H15" s="86"/>
    </row>
    <row r="16" customFormat="false" ht="36" hidden="false" customHeight="true" outlineLevel="0" collapsed="false">
      <c r="A16" s="23" t="s">
        <v>590</v>
      </c>
      <c r="B16" s="89" t="s">
        <v>591</v>
      </c>
      <c r="C16" s="90" t="s">
        <v>592</v>
      </c>
      <c r="D16" s="89" t="s">
        <v>571</v>
      </c>
      <c r="E16" s="88"/>
      <c r="F16" s="88"/>
      <c r="G16" s="88"/>
      <c r="H16" s="89" t="s">
        <v>593</v>
      </c>
    </row>
    <row r="17" customFormat="false" ht="36" hidden="false" customHeight="true" outlineLevel="0" collapsed="false">
      <c r="A17" s="46" t="s">
        <v>594</v>
      </c>
      <c r="B17" s="86" t="s">
        <v>595</v>
      </c>
      <c r="C17" s="87" t="s">
        <v>596</v>
      </c>
      <c r="D17" s="86" t="s">
        <v>597</v>
      </c>
      <c r="E17" s="88"/>
      <c r="F17" s="88"/>
      <c r="G17" s="88"/>
      <c r="H17" s="86" t="s">
        <v>598</v>
      </c>
    </row>
    <row r="18" customFormat="false" ht="36" hidden="false" customHeight="true" outlineLevel="0" collapsed="false">
      <c r="A18" s="23" t="s">
        <v>599</v>
      </c>
      <c r="B18" s="89" t="s">
        <v>582</v>
      </c>
      <c r="C18" s="90" t="s">
        <v>600</v>
      </c>
      <c r="D18" s="89" t="s">
        <v>597</v>
      </c>
      <c r="E18" s="88"/>
      <c r="F18" s="88"/>
      <c r="G18" s="88"/>
      <c r="H18" s="89" t="s">
        <v>601</v>
      </c>
    </row>
  </sheetData>
  <mergeCells count="6">
    <mergeCell ref="A1:H1"/>
    <mergeCell ref="A2:H2"/>
    <mergeCell ref="A3:B3"/>
    <mergeCell ref="C3:D3"/>
    <mergeCell ref="E3:F3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14" min="3" style="1" width="10"/>
  </cols>
  <sheetData>
    <row r="1" customFormat="false" ht="36" hidden="false" customHeight="true" outlineLevel="0" collapsed="false">
      <c r="A1" s="15" t="s">
        <v>602</v>
      </c>
      <c r="B1" s="15"/>
      <c r="C1" s="15"/>
      <c r="D1" s="15"/>
      <c r="E1" s="15"/>
      <c r="F1" s="15"/>
      <c r="G1" s="15"/>
      <c r="H1" s="15"/>
      <c r="I1" s="15"/>
    </row>
    <row r="2" customFormat="false" ht="48" hidden="false" customHeight="true" outlineLevel="0" collapsed="false">
      <c r="A2" s="16" t="s">
        <v>603</v>
      </c>
      <c r="B2" s="16"/>
      <c r="C2" s="16"/>
      <c r="D2" s="16"/>
      <c r="E2" s="16"/>
      <c r="F2" s="16"/>
      <c r="G2" s="16"/>
      <c r="H2" s="16"/>
      <c r="I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604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customFormat="false" ht="19.5" hidden="false" customHeight="true" outlineLevel="0" collapsed="false">
      <c r="A6" s="22" t="s">
        <v>605</v>
      </c>
      <c r="B6" s="22" t="s">
        <v>100</v>
      </c>
      <c r="C6" s="22" t="s">
        <v>101</v>
      </c>
      <c r="D6" s="22" t="s">
        <v>102</v>
      </c>
      <c r="E6" s="22" t="s">
        <v>103</v>
      </c>
      <c r="F6" s="22" t="s">
        <v>104</v>
      </c>
      <c r="G6" s="22" t="s">
        <v>105</v>
      </c>
      <c r="H6" s="22" t="s">
        <v>106</v>
      </c>
      <c r="I6" s="22" t="s">
        <v>107</v>
      </c>
      <c r="J6" s="22" t="s">
        <v>108</v>
      </c>
      <c r="K6" s="22" t="s">
        <v>109</v>
      </c>
      <c r="L6" s="22" t="s">
        <v>110</v>
      </c>
      <c r="M6" s="22" t="s">
        <v>111</v>
      </c>
      <c r="N6" s="22" t="s">
        <v>606</v>
      </c>
    </row>
    <row r="7" customFormat="false" ht="21.75" hidden="false" customHeight="true" outlineLevel="0" collapsed="false">
      <c r="A7" s="46" t="s">
        <v>607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35" t="str">
        <f aca="false">IFERROR(IF(M7&gt;L7,"▲ Up",IF(M7&lt;L7,"▼ Down","— Flat")),"—")</f>
        <v>— Flat</v>
      </c>
    </row>
    <row r="8" customFormat="false" ht="21.75" hidden="false" customHeight="true" outlineLevel="0" collapsed="false">
      <c r="A8" s="23" t="s">
        <v>463</v>
      </c>
      <c r="B8" s="91" t="n">
        <f aca="false">B7*12</f>
        <v>0</v>
      </c>
      <c r="C8" s="91" t="n">
        <f aca="false">C7*12</f>
        <v>0</v>
      </c>
      <c r="D8" s="91" t="n">
        <f aca="false">D7*12</f>
        <v>0</v>
      </c>
      <c r="E8" s="91" t="n">
        <f aca="false">E7*12</f>
        <v>0</v>
      </c>
      <c r="F8" s="91" t="n">
        <f aca="false">F7*12</f>
        <v>0</v>
      </c>
      <c r="G8" s="91" t="n">
        <f aca="false">G7*12</f>
        <v>0</v>
      </c>
      <c r="H8" s="91" t="n">
        <f aca="false">H7*12</f>
        <v>0</v>
      </c>
      <c r="I8" s="91" t="n">
        <f aca="false">I7*12</f>
        <v>0</v>
      </c>
      <c r="J8" s="91" t="n">
        <f aca="false">J7*12</f>
        <v>0</v>
      </c>
      <c r="K8" s="91" t="n">
        <f aca="false">K7*12</f>
        <v>0</v>
      </c>
      <c r="L8" s="91" t="n">
        <f aca="false">L7*12</f>
        <v>0</v>
      </c>
      <c r="M8" s="91" t="n">
        <f aca="false">M7*12</f>
        <v>0</v>
      </c>
      <c r="N8" s="35" t="str">
        <f aca="false">IFERROR(IF(M8&gt;L8,"▲ Up",IF(M8&lt;L8,"▼ Down","— Flat")),"—")</f>
        <v>— Flat</v>
      </c>
    </row>
    <row r="9" customFormat="false" ht="21.75" hidden="false" customHeight="true" outlineLevel="0" collapsed="false">
      <c r="A9" s="46" t="s">
        <v>608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35" t="str">
        <f aca="false">IFERROR(IF(M9&gt;L9,"▲ Up",IF(M9&lt;L9,"▼ Down","— Flat")),"—")</f>
        <v>— Flat</v>
      </c>
    </row>
    <row r="10" customFormat="false" ht="21.75" hidden="false" customHeight="true" outlineLevel="0" collapsed="false">
      <c r="A10" s="23" t="s">
        <v>194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35" t="str">
        <f aca="false">IFERROR(IF(M10&gt;L10,"▲ Up",IF(M10&lt;L10,"▼ Down","— Flat")),"—")</f>
        <v>— Flat</v>
      </c>
    </row>
    <row r="11" customFormat="false" ht="21.75" hidden="false" customHeight="true" outlineLevel="0" collapsed="false">
      <c r="A11" s="46" t="s">
        <v>609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35" t="str">
        <f aca="false">IFERROR(IF(M11&gt;L11,"▲ Up",IF(M11&lt;L11,"▼ Down","— Flat")),"—")</f>
        <v>— Flat</v>
      </c>
    </row>
    <row r="12" customFormat="false" ht="21.75" hidden="false" customHeight="true" outlineLevel="0" collapsed="false">
      <c r="A12" s="23" t="s">
        <v>610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35" t="str">
        <f aca="false">IFERROR(IF(M12&gt;L12,"▲ Up",IF(M12&lt;L12,"▼ Down","— Flat")),"—")</f>
        <v>— Flat</v>
      </c>
    </row>
    <row r="13" customFormat="false" ht="21.75" hidden="false" customHeight="true" outlineLevel="0" collapsed="false">
      <c r="A13" s="46" t="s">
        <v>611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35" t="str">
        <f aca="false">IFERROR(IF(M13&gt;L13,"▲ Up",IF(M13&lt;L13,"▼ Down","— Flat")),"—")</f>
        <v>— Flat</v>
      </c>
    </row>
    <row r="14" customFormat="false" ht="21.75" hidden="false" customHeight="true" outlineLevel="0" collapsed="false">
      <c r="A14" s="23" t="s">
        <v>180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35" t="str">
        <f aca="false">IFERROR(IF(M14&gt;L14,"▲ Up",IF(M14&lt;L14,"▼ Down","— Flat")),"—")</f>
        <v>— Flat</v>
      </c>
    </row>
    <row r="15" customFormat="false" ht="21.75" hidden="false" customHeight="true" outlineLevel="0" collapsed="false">
      <c r="A15" s="46" t="s">
        <v>612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35" t="str">
        <f aca="false">IFERROR(IF(M15&gt;L15,"▲ Up",IF(M15&lt;L15,"▼ Down","— Flat")),"—")</f>
        <v>— Flat</v>
      </c>
    </row>
    <row r="16" customFormat="false" ht="21.75" hidden="false" customHeight="true" outlineLevel="0" collapsed="false">
      <c r="A16" s="23" t="s">
        <v>613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35" t="str">
        <f aca="false">IFERROR(IF(M16&gt;L16,"▲ Up",IF(M16&lt;L16,"▼ Down","— Flat")),"—")</f>
        <v>— Flat</v>
      </c>
    </row>
    <row r="17" customFormat="false" ht="6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</row>
    <row r="18" customFormat="false" ht="21.75" hidden="false" customHeight="true" outlineLevel="0" collapsed="false">
      <c r="A18" s="21" t="s">
        <v>614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customFormat="false" ht="19.5" hidden="false" customHeight="true" outlineLevel="0" collapsed="false">
      <c r="A19" s="22" t="s">
        <v>605</v>
      </c>
      <c r="B19" s="22" t="s">
        <v>615</v>
      </c>
      <c r="C19" s="22" t="s">
        <v>616</v>
      </c>
      <c r="D19" s="22" t="s">
        <v>617</v>
      </c>
      <c r="E19" s="22" t="s">
        <v>618</v>
      </c>
      <c r="F19" s="22" t="s">
        <v>619</v>
      </c>
    </row>
    <row r="20" customFormat="false" ht="21.75" hidden="false" customHeight="true" outlineLevel="0" collapsed="false">
      <c r="A20" s="23" t="s">
        <v>607</v>
      </c>
      <c r="B20" s="24"/>
      <c r="C20" s="24"/>
      <c r="D20" s="5" t="n">
        <f aca="false">IFERROR(C20-B20,0)</f>
        <v>0</v>
      </c>
      <c r="E20" s="92" t="n">
        <f aca="false">IFERROR((C20-B20)/ABS(B20),0)</f>
        <v>0</v>
      </c>
      <c r="F20" s="85" t="str">
        <f aca="false">IF(ABS(E20)&lt;0.05,"Green",IF(ABS(E20)&lt;0.1,"Amber","Red"))</f>
        <v>Green</v>
      </c>
    </row>
    <row r="21" customFormat="false" ht="21.75" hidden="false" customHeight="true" outlineLevel="0" collapsed="false">
      <c r="A21" s="46" t="s">
        <v>463</v>
      </c>
      <c r="B21" s="24"/>
      <c r="C21" s="24"/>
      <c r="D21" s="5" t="n">
        <f aca="false">IFERROR(C21-B21,0)</f>
        <v>0</v>
      </c>
      <c r="E21" s="92" t="n">
        <f aca="false">IFERROR((C21-B21)/ABS(B21),0)</f>
        <v>0</v>
      </c>
      <c r="F21" s="85" t="str">
        <f aca="false">IF(ABS(E21)&lt;0.05,"Green",IF(ABS(E21)&lt;0.1,"Amber","Red"))</f>
        <v>Green</v>
      </c>
    </row>
    <row r="22" customFormat="false" ht="21.75" hidden="false" customHeight="true" outlineLevel="0" collapsed="false">
      <c r="A22" s="23" t="s">
        <v>608</v>
      </c>
      <c r="B22" s="24"/>
      <c r="C22" s="24"/>
      <c r="D22" s="5" t="n">
        <f aca="false">IFERROR(C22-B22,0)</f>
        <v>0</v>
      </c>
      <c r="E22" s="92" t="n">
        <f aca="false">IFERROR((C22-B22)/ABS(B22),0)</f>
        <v>0</v>
      </c>
      <c r="F22" s="85" t="str">
        <f aca="false">IF(ABS(E22)&lt;0.05,"Green",IF(ABS(E22)&lt;0.1,"Amber","Red"))</f>
        <v>Green</v>
      </c>
    </row>
    <row r="23" customFormat="false" ht="21.75" hidden="false" customHeight="true" outlineLevel="0" collapsed="false">
      <c r="A23" s="46" t="s">
        <v>194</v>
      </c>
      <c r="B23" s="24"/>
      <c r="C23" s="24"/>
      <c r="D23" s="5" t="n">
        <f aca="false">IFERROR(C23-B23,0)</f>
        <v>0</v>
      </c>
      <c r="E23" s="92" t="n">
        <f aca="false">IFERROR((C23-B23)/ABS(B23),0)</f>
        <v>0</v>
      </c>
      <c r="F23" s="85" t="str">
        <f aca="false">IF(ABS(E23)&lt;0.05,"Green",IF(ABS(E23)&lt;0.1,"Amber","Red"))</f>
        <v>Green</v>
      </c>
    </row>
    <row r="24" customFormat="false" ht="21.75" hidden="false" customHeight="true" outlineLevel="0" collapsed="false">
      <c r="A24" s="23" t="s">
        <v>609</v>
      </c>
      <c r="B24" s="24"/>
      <c r="C24" s="24"/>
      <c r="D24" s="5" t="n">
        <f aca="false">IFERROR(C24-B24,0)</f>
        <v>0</v>
      </c>
      <c r="E24" s="92" t="n">
        <f aca="false">IFERROR((C24-B24)/ABS(B24),0)</f>
        <v>0</v>
      </c>
      <c r="F24" s="85" t="str">
        <f aca="false">IF(ABS(E24)&lt;0.05,"Green",IF(ABS(E24)&lt;0.1,"Amber","Red"))</f>
        <v>Green</v>
      </c>
    </row>
    <row r="25" customFormat="false" ht="21.75" hidden="false" customHeight="true" outlineLevel="0" collapsed="false">
      <c r="A25" s="46" t="s">
        <v>610</v>
      </c>
      <c r="B25" s="24"/>
      <c r="C25" s="24"/>
      <c r="D25" s="5" t="n">
        <f aca="false">IFERROR(C25-B25,0)</f>
        <v>0</v>
      </c>
      <c r="E25" s="92" t="n">
        <f aca="false">IFERROR((C25-B25)/ABS(B25),0)</f>
        <v>0</v>
      </c>
      <c r="F25" s="85" t="str">
        <f aca="false">IF(ABS(E25)&lt;0.05,"Green",IF(ABS(E25)&lt;0.1,"Amber","Red"))</f>
        <v>Green</v>
      </c>
    </row>
    <row r="26" customFormat="false" ht="21.75" hidden="false" customHeight="true" outlineLevel="0" collapsed="false">
      <c r="A26" s="23" t="s">
        <v>611</v>
      </c>
      <c r="B26" s="24"/>
      <c r="C26" s="24"/>
      <c r="D26" s="5" t="n">
        <f aca="false">IFERROR(C26-B26,0)</f>
        <v>0</v>
      </c>
      <c r="E26" s="92" t="n">
        <f aca="false">IFERROR((C26-B26)/ABS(B26),0)</f>
        <v>0</v>
      </c>
      <c r="F26" s="85" t="str">
        <f aca="false">IF(ABS(E26)&lt;0.05,"Green",IF(ABS(E26)&lt;0.1,"Amber","Red"))</f>
        <v>Green</v>
      </c>
    </row>
    <row r="27" customFormat="false" ht="21.75" hidden="false" customHeight="true" outlineLevel="0" collapsed="false">
      <c r="A27" s="46" t="s">
        <v>180</v>
      </c>
      <c r="B27" s="24"/>
      <c r="C27" s="24"/>
      <c r="D27" s="5" t="n">
        <f aca="false">IFERROR(C27-B27,0)</f>
        <v>0</v>
      </c>
      <c r="E27" s="92" t="n">
        <f aca="false">IFERROR((C27-B27)/ABS(B27),0)</f>
        <v>0</v>
      </c>
      <c r="F27" s="85" t="str">
        <f aca="false">IF(ABS(E27)&lt;0.05,"Green",IF(ABS(E27)&lt;0.1,"Amber","Red"))</f>
        <v>Green</v>
      </c>
    </row>
    <row r="28" customFormat="false" ht="21.75" hidden="false" customHeight="true" outlineLevel="0" collapsed="false">
      <c r="A28" s="23" t="s">
        <v>612</v>
      </c>
      <c r="B28" s="24"/>
      <c r="C28" s="24"/>
      <c r="D28" s="5" t="n">
        <f aca="false">IFERROR(C28-B28,0)</f>
        <v>0</v>
      </c>
      <c r="E28" s="92" t="n">
        <f aca="false">IFERROR((C28-B28)/ABS(B28),0)</f>
        <v>0</v>
      </c>
      <c r="F28" s="85" t="str">
        <f aca="false">IF(ABS(E28)&lt;0.05,"Green",IF(ABS(E28)&lt;0.1,"Amber","Red"))</f>
        <v>Green</v>
      </c>
    </row>
    <row r="29" customFormat="false" ht="21.75" hidden="false" customHeight="true" outlineLevel="0" collapsed="false">
      <c r="A29" s="46" t="s">
        <v>613</v>
      </c>
      <c r="B29" s="24"/>
      <c r="C29" s="24"/>
      <c r="D29" s="5" t="n">
        <f aca="false">IFERROR(C29-B29,0)</f>
        <v>0</v>
      </c>
      <c r="E29" s="92" t="n">
        <f aca="false">IFERROR((C29-B29)/ABS(B29),0)</f>
        <v>0</v>
      </c>
      <c r="F29" s="85" t="str">
        <f aca="false">IF(ABS(E29)&lt;0.05,"Green",IF(ABS(E29)&lt;0.1,"Amber","Red"))</f>
        <v>Green</v>
      </c>
    </row>
  </sheetData>
  <mergeCells count="7">
    <mergeCell ref="A1:I1"/>
    <mergeCell ref="A2:I2"/>
    <mergeCell ref="A3:B3"/>
    <mergeCell ref="C3:D3"/>
    <mergeCell ref="E3:F3"/>
    <mergeCell ref="A5:N5"/>
    <mergeCell ref="A18: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" min="2" style="1" width="12"/>
    <col collapsed="false" customWidth="true" hidden="false" outlineLevel="0" max="9" min="9" style="1" width="16"/>
  </cols>
  <sheetData>
    <row r="1" customFormat="false" ht="36" hidden="false" customHeight="true" outlineLevel="0" collapsed="false">
      <c r="A1" s="15" t="s">
        <v>620</v>
      </c>
      <c r="B1" s="15"/>
      <c r="C1" s="15"/>
      <c r="D1" s="15"/>
      <c r="E1" s="15"/>
      <c r="F1" s="15"/>
      <c r="G1" s="15"/>
      <c r="H1" s="15"/>
      <c r="I1" s="15"/>
    </row>
    <row r="2" customFormat="false" ht="48" hidden="false" customHeight="true" outlineLevel="0" collapsed="false">
      <c r="A2" s="16" t="s">
        <v>621</v>
      </c>
      <c r="B2" s="16"/>
      <c r="C2" s="16"/>
      <c r="D2" s="16"/>
      <c r="E2" s="16"/>
      <c r="F2" s="16"/>
      <c r="G2" s="16"/>
      <c r="H2" s="16"/>
      <c r="I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622</v>
      </c>
      <c r="B5" s="21"/>
      <c r="C5" s="21"/>
      <c r="D5" s="21"/>
      <c r="E5" s="21"/>
      <c r="F5" s="21"/>
      <c r="G5" s="21"/>
      <c r="H5" s="21"/>
      <c r="I5" s="21"/>
    </row>
    <row r="6" customFormat="false" ht="19.5" hidden="false" customHeight="true" outlineLevel="0" collapsed="false">
      <c r="A6" s="22" t="s">
        <v>66</v>
      </c>
      <c r="B6" s="22" t="s">
        <v>623</v>
      </c>
      <c r="C6" s="22" t="s">
        <v>624</v>
      </c>
      <c r="D6" s="22" t="s">
        <v>625</v>
      </c>
      <c r="E6" s="22" t="s">
        <v>626</v>
      </c>
      <c r="F6" s="22" t="s">
        <v>627</v>
      </c>
      <c r="G6" s="22" t="s">
        <v>628</v>
      </c>
      <c r="H6" s="22" t="s">
        <v>629</v>
      </c>
      <c r="I6" s="22" t="s">
        <v>630</v>
      </c>
      <c r="J6" s="22" t="s">
        <v>631</v>
      </c>
    </row>
    <row r="7" customFormat="false" ht="19.5" hidden="false" customHeight="true" outlineLevel="0" collapsed="false">
      <c r="A7" s="46" t="s">
        <v>632</v>
      </c>
      <c r="B7" s="44"/>
      <c r="C7" s="44"/>
      <c r="D7" s="44"/>
      <c r="E7" s="44"/>
      <c r="F7" s="44"/>
      <c r="G7" s="44"/>
      <c r="H7" s="44"/>
      <c r="I7" s="44"/>
      <c r="J7" s="35" t="str">
        <f aca="false">IFERROR(IF(I7&gt;B7,"▲ " &amp; TEXT(IFERROR((I7-B7)/B7,0),"0%"),"▼ " &amp; TEXT(IFERROR((I7-B7)/B7,0),"0%")),"—")</f>
        <v>▼ 0%</v>
      </c>
    </row>
    <row r="8" customFormat="false" ht="19.5" hidden="false" customHeight="true" outlineLevel="0" collapsed="false">
      <c r="A8" s="23" t="s">
        <v>633</v>
      </c>
      <c r="B8" s="44"/>
      <c r="C8" s="44"/>
      <c r="D8" s="44"/>
      <c r="E8" s="44"/>
      <c r="F8" s="44"/>
      <c r="G8" s="44"/>
      <c r="H8" s="44"/>
      <c r="I8" s="44"/>
      <c r="J8" s="35" t="str">
        <f aca="false">IFERROR(IF(I8&gt;B8,"▲ " &amp; TEXT(IFERROR((I8-B8)/B8,0),"0%"),"▼ " &amp; TEXT(IFERROR((I8-B8)/B8,0),"0%")),"—")</f>
        <v>▼ 0%</v>
      </c>
    </row>
    <row r="9" customFormat="false" ht="19.5" hidden="false" customHeight="true" outlineLevel="0" collapsed="false">
      <c r="A9" s="46" t="s">
        <v>634</v>
      </c>
      <c r="B9" s="44"/>
      <c r="C9" s="44"/>
      <c r="D9" s="44"/>
      <c r="E9" s="44"/>
      <c r="F9" s="44"/>
      <c r="G9" s="44"/>
      <c r="H9" s="44"/>
      <c r="I9" s="44"/>
      <c r="J9" s="35" t="str">
        <f aca="false">IFERROR(IF(I9&gt;B9,"▲ " &amp; TEXT(IFERROR((I9-B9)/B9,0),"0%"),"▼ " &amp; TEXT(IFERROR((I9-B9)/B9,0),"0%")),"—")</f>
        <v>▼ 0%</v>
      </c>
    </row>
    <row r="10" customFormat="false" ht="19.5" hidden="false" customHeight="true" outlineLevel="0" collapsed="false">
      <c r="A10" s="23" t="s">
        <v>635</v>
      </c>
      <c r="B10" s="44"/>
      <c r="C10" s="44"/>
      <c r="D10" s="44"/>
      <c r="E10" s="44"/>
      <c r="F10" s="44"/>
      <c r="G10" s="44"/>
      <c r="H10" s="44"/>
      <c r="I10" s="44"/>
      <c r="J10" s="35" t="str">
        <f aca="false">IFERROR(IF(I10&gt;B10,"▲ " &amp; TEXT(IFERROR((I10-B10)/B10,0),"0%"),"▼ " &amp; TEXT(IFERROR((I10-B10)/B10,0),"0%")),"—")</f>
        <v>▼ 0%</v>
      </c>
    </row>
    <row r="11" customFormat="false" ht="19.5" hidden="false" customHeight="true" outlineLevel="0" collapsed="false">
      <c r="A11" s="46" t="s">
        <v>636</v>
      </c>
      <c r="B11" s="44"/>
      <c r="C11" s="44"/>
      <c r="D11" s="44"/>
      <c r="E11" s="44"/>
      <c r="F11" s="44"/>
      <c r="G11" s="44"/>
      <c r="H11" s="44"/>
      <c r="I11" s="44"/>
      <c r="J11" s="35" t="str">
        <f aca="false">IFERROR(IF(I11&gt;B11,"▲ " &amp; TEXT(IFERROR((I11-B11)/B11,0),"0%"),"▼ " &amp; TEXT(IFERROR((I11-B11)/B11,0),"0%")),"—")</f>
        <v>▼ 0%</v>
      </c>
    </row>
    <row r="12" customFormat="false" ht="19.5" hidden="false" customHeight="true" outlineLevel="0" collapsed="false">
      <c r="A12" s="23" t="s">
        <v>637</v>
      </c>
      <c r="B12" s="44"/>
      <c r="C12" s="44"/>
      <c r="D12" s="44"/>
      <c r="E12" s="44"/>
      <c r="F12" s="44"/>
      <c r="G12" s="44"/>
      <c r="H12" s="44"/>
      <c r="I12" s="44"/>
      <c r="J12" s="35" t="str">
        <f aca="false">IFERROR(IF(I12&gt;B12,"▲ " &amp; TEXT(IFERROR((I12-B12)/B12,0),"0%"),"▼ " &amp; TEXT(IFERROR((I12-B12)/B12,0),"0%")),"—")</f>
        <v>▼ 0%</v>
      </c>
    </row>
    <row r="13" customFormat="false" ht="19.5" hidden="false" customHeight="true" outlineLevel="0" collapsed="false">
      <c r="A13" s="46" t="s">
        <v>638</v>
      </c>
      <c r="B13" s="44"/>
      <c r="C13" s="44"/>
      <c r="D13" s="44"/>
      <c r="E13" s="44"/>
      <c r="F13" s="44"/>
      <c r="G13" s="44"/>
      <c r="H13" s="44"/>
      <c r="I13" s="44"/>
      <c r="J13" s="35" t="str">
        <f aca="false">IFERROR(IF(I13&gt;B13,"▲ " &amp; TEXT(IFERROR((I13-B13)/B13,0),"0%"),"▼ " &amp; TEXT(IFERROR((I13-B13)/B13,0),"0%")),"—")</f>
        <v>▼ 0%</v>
      </c>
    </row>
    <row r="14" customFormat="false" ht="19.5" hidden="false" customHeight="true" outlineLevel="0" collapsed="false">
      <c r="A14" s="23" t="s">
        <v>639</v>
      </c>
      <c r="B14" s="44"/>
      <c r="C14" s="44"/>
      <c r="D14" s="44"/>
      <c r="E14" s="44"/>
      <c r="F14" s="44"/>
      <c r="G14" s="44"/>
      <c r="H14" s="44"/>
      <c r="I14" s="44"/>
      <c r="J14" s="35" t="str">
        <f aca="false">IFERROR(IF(I14&gt;B14,"▲ " &amp; TEXT(IFERROR((I14-B14)/B14,0),"0%"),"▼ " &amp; TEXT(IFERROR((I14-B14)/B14,0),"0%")),"—")</f>
        <v>▼ 0%</v>
      </c>
    </row>
    <row r="15" customFormat="false" ht="19.5" hidden="false" customHeight="true" outlineLevel="0" collapsed="false">
      <c r="A15" s="46" t="s">
        <v>640</v>
      </c>
      <c r="B15" s="44"/>
      <c r="C15" s="44"/>
      <c r="D15" s="44"/>
      <c r="E15" s="44"/>
      <c r="F15" s="44"/>
      <c r="G15" s="44"/>
      <c r="H15" s="44"/>
      <c r="I15" s="44"/>
      <c r="J15" s="35" t="str">
        <f aca="false">IFERROR(IF(I15&gt;B15,"▲ " &amp; TEXT(IFERROR((I15-B15)/B15,0),"0%"),"▼ " &amp; TEXT(IFERROR((I15-B15)/B15,0),"0%")),"—")</f>
        <v>▼ 0%</v>
      </c>
    </row>
    <row r="16" customFormat="false" ht="19.5" hidden="false" customHeight="true" outlineLevel="0" collapsed="false">
      <c r="A16" s="23" t="s">
        <v>641</v>
      </c>
      <c r="B16" s="44"/>
      <c r="C16" s="44"/>
      <c r="D16" s="44"/>
      <c r="E16" s="44"/>
      <c r="F16" s="44"/>
      <c r="G16" s="44"/>
      <c r="H16" s="44"/>
      <c r="I16" s="44"/>
      <c r="J16" s="35" t="str">
        <f aca="false">IFERROR(IF(I16&gt;B16,"▲ " &amp; TEXT(IFERROR((I16-B16)/B16,0),"0%"),"▼ " &amp; TEXT(IFERROR((I16-B16)/B16,0),"0%")),"—")</f>
        <v>▼ 0%</v>
      </c>
    </row>
    <row r="17" customFormat="false" ht="6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</row>
    <row r="18" customFormat="false" ht="21.75" hidden="false" customHeight="true" outlineLevel="0" collapsed="false">
      <c r="A18" s="21" t="s">
        <v>642</v>
      </c>
      <c r="B18" s="21"/>
      <c r="C18" s="21"/>
      <c r="D18" s="21"/>
      <c r="E18" s="21"/>
      <c r="F18" s="21"/>
      <c r="G18" s="21"/>
      <c r="H18" s="21"/>
      <c r="I18" s="21"/>
    </row>
    <row r="19" customFormat="false" ht="30" hidden="false" customHeight="true" outlineLevel="0" collapsed="false">
      <c r="A19" s="26" t="s">
        <v>643</v>
      </c>
      <c r="B19" s="26"/>
      <c r="C19" s="26"/>
      <c r="D19" s="26"/>
      <c r="E19" s="26"/>
      <c r="F19" s="26"/>
      <c r="G19" s="26"/>
      <c r="H19" s="26"/>
      <c r="I19" s="26"/>
    </row>
    <row r="20" customFormat="false" ht="19.5" hidden="false" customHeight="true" outlineLevel="0" collapsed="false">
      <c r="A20" s="22" t="s">
        <v>644</v>
      </c>
      <c r="B20" s="22" t="s">
        <v>645</v>
      </c>
      <c r="C20" s="22" t="s">
        <v>646</v>
      </c>
      <c r="D20" s="22" t="s">
        <v>647</v>
      </c>
    </row>
    <row r="21" customFormat="false" ht="19.5" hidden="false" customHeight="true" outlineLevel="0" collapsed="false">
      <c r="A21" s="46" t="s">
        <v>648</v>
      </c>
      <c r="B21" s="27" t="n">
        <f aca="false">IFERROR(C7/B7,0)</f>
        <v>0</v>
      </c>
      <c r="C21" s="45"/>
      <c r="D21" s="75" t="n">
        <f aca="false">IFERROR(B21-C21,0)</f>
        <v>0</v>
      </c>
    </row>
    <row r="22" customFormat="false" ht="19.5" hidden="false" customHeight="true" outlineLevel="0" collapsed="false">
      <c r="A22" s="23" t="s">
        <v>649</v>
      </c>
      <c r="B22" s="27" t="n">
        <f aca="false">IFERROR(D7/C7,0)</f>
        <v>0</v>
      </c>
      <c r="C22" s="45"/>
      <c r="D22" s="75" t="n">
        <f aca="false">IFERROR(B22-C22,0)</f>
        <v>0</v>
      </c>
    </row>
    <row r="23" customFormat="false" ht="19.5" hidden="false" customHeight="true" outlineLevel="0" collapsed="false">
      <c r="A23" s="46" t="s">
        <v>650</v>
      </c>
      <c r="B23" s="27" t="n">
        <f aca="false">IFERROR(E7/D7,0)</f>
        <v>0</v>
      </c>
      <c r="C23" s="45"/>
      <c r="D23" s="75" t="n">
        <f aca="false">IFERROR(B23-C23,0)</f>
        <v>0</v>
      </c>
    </row>
    <row r="24" customFormat="false" ht="19.5" hidden="false" customHeight="true" outlineLevel="0" collapsed="false">
      <c r="A24" s="23" t="s">
        <v>651</v>
      </c>
      <c r="B24" s="27" t="n">
        <f aca="false">IFERROR(G7/F7,0)</f>
        <v>0</v>
      </c>
      <c r="C24" s="45"/>
      <c r="D24" s="75" t="n">
        <f aca="false">IFERROR(B24-C24,0)</f>
        <v>0</v>
      </c>
    </row>
    <row r="25" customFormat="false" ht="19.5" hidden="false" customHeight="true" outlineLevel="0" collapsed="false">
      <c r="A25" s="46" t="s">
        <v>652</v>
      </c>
      <c r="B25" s="45"/>
      <c r="C25" s="45"/>
      <c r="D25" s="75" t="n">
        <f aca="false">IFERROR(B25-C25,0)</f>
        <v>0</v>
      </c>
    </row>
  </sheetData>
  <mergeCells count="8">
    <mergeCell ref="A1:I1"/>
    <mergeCell ref="A2:I2"/>
    <mergeCell ref="A3:B3"/>
    <mergeCell ref="C3:D3"/>
    <mergeCell ref="E3:F3"/>
    <mergeCell ref="A5:I5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4"/>
    <col collapsed="false" customWidth="true" hidden="false" outlineLevel="0" max="5" min="5" style="1" width="16"/>
    <col collapsed="false" customWidth="true" hidden="false" outlineLevel="0" max="7" min="6" style="1" width="20"/>
    <col collapsed="false" customWidth="true" hidden="false" outlineLevel="0" max="8" min="8" style="1" width="14"/>
  </cols>
  <sheetData>
    <row r="1" customFormat="false" ht="36" hidden="false" customHeight="true" outlineLevel="0" collapsed="false">
      <c r="A1" s="15" t="s">
        <v>653</v>
      </c>
      <c r="B1" s="15"/>
      <c r="C1" s="15"/>
      <c r="D1" s="15"/>
      <c r="E1" s="15"/>
      <c r="F1" s="15"/>
      <c r="G1" s="15"/>
      <c r="H1" s="15"/>
    </row>
    <row r="2" customFormat="false" ht="48" hidden="false" customHeight="true" outlineLevel="0" collapsed="false">
      <c r="A2" s="16" t="s">
        <v>654</v>
      </c>
      <c r="B2" s="16"/>
      <c r="C2" s="16"/>
      <c r="D2" s="16"/>
      <c r="E2" s="16"/>
      <c r="F2" s="16"/>
      <c r="G2" s="16"/>
      <c r="H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655</v>
      </c>
      <c r="B5" s="21"/>
      <c r="C5" s="21"/>
      <c r="D5" s="21"/>
      <c r="E5" s="21"/>
      <c r="F5" s="21"/>
      <c r="G5" s="21"/>
      <c r="H5" s="21"/>
    </row>
    <row r="6" customFormat="false" ht="36" hidden="false" customHeight="true" outlineLevel="0" collapsed="false">
      <c r="A6" s="22" t="s">
        <v>66</v>
      </c>
      <c r="B6" s="22" t="s">
        <v>656</v>
      </c>
      <c r="C6" s="22" t="s">
        <v>559</v>
      </c>
      <c r="D6" s="22" t="s">
        <v>657</v>
      </c>
      <c r="E6" s="22" t="s">
        <v>658</v>
      </c>
      <c r="F6" s="22" t="s">
        <v>659</v>
      </c>
      <c r="G6" s="22" t="s">
        <v>660</v>
      </c>
      <c r="H6" s="22" t="s">
        <v>479</v>
      </c>
    </row>
    <row r="7" customFormat="false" ht="30" hidden="false" customHeight="true" outlineLevel="0" collapsed="false">
      <c r="A7" s="46" t="s">
        <v>661</v>
      </c>
      <c r="B7" s="80" t="s">
        <v>662</v>
      </c>
      <c r="C7" s="24"/>
      <c r="D7" s="24"/>
      <c r="E7" s="8" t="n">
        <v>8</v>
      </c>
      <c r="F7" s="93" t="s">
        <v>663</v>
      </c>
      <c r="G7" s="54" t="s">
        <v>664</v>
      </c>
      <c r="H7" s="53" t="s">
        <v>665</v>
      </c>
    </row>
    <row r="8" customFormat="false" ht="30" hidden="false" customHeight="true" outlineLevel="0" collapsed="false">
      <c r="A8" s="23" t="s">
        <v>666</v>
      </c>
      <c r="B8" s="80" t="s">
        <v>662</v>
      </c>
      <c r="C8" s="24"/>
      <c r="D8" s="24"/>
      <c r="E8" s="8" t="n">
        <v>4</v>
      </c>
      <c r="F8" s="93" t="s">
        <v>667</v>
      </c>
      <c r="G8" s="54" t="s">
        <v>668</v>
      </c>
      <c r="H8" s="53" t="s">
        <v>665</v>
      </c>
    </row>
    <row r="9" customFormat="false" ht="30" hidden="false" customHeight="true" outlineLevel="0" collapsed="false">
      <c r="A9" s="46" t="s">
        <v>669</v>
      </c>
      <c r="B9" s="80" t="s">
        <v>662</v>
      </c>
      <c r="C9" s="24"/>
      <c r="D9" s="24"/>
      <c r="E9" s="8" t="n">
        <v>2</v>
      </c>
      <c r="F9" s="93" t="s">
        <v>670</v>
      </c>
      <c r="G9" s="54" t="s">
        <v>671</v>
      </c>
      <c r="H9" s="53" t="s">
        <v>672</v>
      </c>
    </row>
    <row r="10" customFormat="false" ht="30" hidden="false" customHeight="true" outlineLevel="0" collapsed="false">
      <c r="A10" s="23" t="s">
        <v>673</v>
      </c>
      <c r="B10" s="80" t="s">
        <v>662</v>
      </c>
      <c r="C10" s="24"/>
      <c r="D10" s="24"/>
      <c r="E10" s="8" t="n">
        <v>8</v>
      </c>
      <c r="F10" s="93" t="s">
        <v>674</v>
      </c>
      <c r="G10" s="54" t="s">
        <v>675</v>
      </c>
      <c r="H10" s="53" t="s">
        <v>676</v>
      </c>
    </row>
    <row r="11" customFormat="false" ht="30" hidden="false" customHeight="true" outlineLevel="0" collapsed="false">
      <c r="A11" s="46" t="s">
        <v>677</v>
      </c>
      <c r="B11" s="80" t="s">
        <v>662</v>
      </c>
      <c r="C11" s="24"/>
      <c r="D11" s="24"/>
      <c r="E11" s="8" t="n">
        <v>4</v>
      </c>
      <c r="F11" s="93" t="s">
        <v>678</v>
      </c>
      <c r="G11" s="54" t="s">
        <v>679</v>
      </c>
      <c r="H11" s="53" t="s">
        <v>676</v>
      </c>
    </row>
    <row r="12" customFormat="false" ht="30" hidden="false" customHeight="true" outlineLevel="0" collapsed="false">
      <c r="A12" s="23" t="s">
        <v>680</v>
      </c>
      <c r="B12" s="80" t="s">
        <v>662</v>
      </c>
      <c r="C12" s="24"/>
      <c r="D12" s="24"/>
      <c r="E12" s="8" t="n">
        <v>6</v>
      </c>
      <c r="F12" s="93" t="s">
        <v>681</v>
      </c>
      <c r="G12" s="54" t="s">
        <v>682</v>
      </c>
      <c r="H12" s="53" t="s">
        <v>672</v>
      </c>
    </row>
    <row r="13" customFormat="false" ht="30" hidden="false" customHeight="true" outlineLevel="0" collapsed="false">
      <c r="A13" s="46" t="s">
        <v>560</v>
      </c>
      <c r="B13" s="94" t="s">
        <v>683</v>
      </c>
      <c r="C13" s="24"/>
      <c r="D13" s="24"/>
      <c r="E13" s="8" t="n">
        <v>0</v>
      </c>
      <c r="F13" s="93" t="s">
        <v>684</v>
      </c>
      <c r="G13" s="54" t="s">
        <v>685</v>
      </c>
      <c r="H13" s="53" t="s">
        <v>686</v>
      </c>
    </row>
    <row r="14" customFormat="false" ht="30" hidden="false" customHeight="true" outlineLevel="0" collapsed="false">
      <c r="A14" s="23" t="s">
        <v>687</v>
      </c>
      <c r="B14" s="94" t="s">
        <v>683</v>
      </c>
      <c r="C14" s="24"/>
      <c r="D14" s="24"/>
      <c r="E14" s="8" t="n">
        <v>0</v>
      </c>
      <c r="F14" s="93" t="s">
        <v>684</v>
      </c>
      <c r="G14" s="54" t="s">
        <v>688</v>
      </c>
      <c r="H14" s="53" t="s">
        <v>686</v>
      </c>
    </row>
    <row r="15" customFormat="false" ht="30" hidden="false" customHeight="true" outlineLevel="0" collapsed="false">
      <c r="A15" s="46" t="s">
        <v>689</v>
      </c>
      <c r="B15" s="94" t="s">
        <v>683</v>
      </c>
      <c r="C15" s="24"/>
      <c r="D15" s="24"/>
      <c r="E15" s="8" t="n">
        <v>0</v>
      </c>
      <c r="F15" s="93" t="s">
        <v>684</v>
      </c>
      <c r="G15" s="54" t="s">
        <v>690</v>
      </c>
      <c r="H15" s="53" t="s">
        <v>691</v>
      </c>
    </row>
    <row r="16" customFormat="false" ht="30" hidden="false" customHeight="true" outlineLevel="0" collapsed="false">
      <c r="A16" s="23" t="s">
        <v>692</v>
      </c>
      <c r="B16" s="94" t="s">
        <v>683</v>
      </c>
      <c r="C16" s="24"/>
      <c r="D16" s="24"/>
      <c r="E16" s="8" t="n">
        <v>0</v>
      </c>
      <c r="F16" s="93" t="s">
        <v>684</v>
      </c>
      <c r="G16" s="54" t="s">
        <v>693</v>
      </c>
      <c r="H16" s="53" t="s">
        <v>694</v>
      </c>
    </row>
    <row r="17" customFormat="false" ht="30" hidden="false" customHeight="true" outlineLevel="0" collapsed="false">
      <c r="A17" s="46" t="s">
        <v>695</v>
      </c>
      <c r="B17" s="80" t="s">
        <v>662</v>
      </c>
      <c r="C17" s="24"/>
      <c r="D17" s="24"/>
      <c r="E17" s="8" t="n">
        <v>4</v>
      </c>
      <c r="F17" s="93" t="s">
        <v>696</v>
      </c>
      <c r="G17" s="54" t="s">
        <v>697</v>
      </c>
      <c r="H17" s="53" t="s">
        <v>665</v>
      </c>
    </row>
    <row r="18" customFormat="false" ht="30" hidden="false" customHeight="true" outlineLevel="0" collapsed="false">
      <c r="A18" s="23" t="s">
        <v>698</v>
      </c>
      <c r="B18" s="80" t="s">
        <v>662</v>
      </c>
      <c r="C18" s="24"/>
      <c r="D18" s="24"/>
      <c r="E18" s="8" t="n">
        <v>6</v>
      </c>
      <c r="F18" s="93" t="s">
        <v>699</v>
      </c>
      <c r="G18" s="54" t="s">
        <v>700</v>
      </c>
      <c r="H18" s="53" t="s">
        <v>665</v>
      </c>
    </row>
  </sheetData>
  <mergeCells count="6">
    <mergeCell ref="A1:H1"/>
    <mergeCell ref="A2:H2"/>
    <mergeCell ref="A3:B3"/>
    <mergeCell ref="C3:D3"/>
    <mergeCell ref="E3:F3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3" min="2" style="1" width="11"/>
  </cols>
  <sheetData>
    <row r="1" customFormat="false" ht="36" hidden="false" customHeight="true" outlineLevel="0" collapsed="false">
      <c r="A1" s="15" t="s">
        <v>701</v>
      </c>
      <c r="B1" s="15"/>
      <c r="C1" s="15"/>
      <c r="D1" s="15"/>
      <c r="E1" s="15"/>
      <c r="F1" s="15"/>
      <c r="G1" s="15"/>
      <c r="H1" s="15"/>
      <c r="I1" s="15"/>
    </row>
    <row r="2" customFormat="false" ht="48" hidden="false" customHeight="true" outlineLevel="0" collapsed="false">
      <c r="A2" s="16" t="s">
        <v>702</v>
      </c>
      <c r="B2" s="16"/>
      <c r="C2" s="16"/>
      <c r="D2" s="16"/>
      <c r="E2" s="16"/>
      <c r="F2" s="16"/>
      <c r="G2" s="16"/>
      <c r="H2" s="16"/>
      <c r="I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703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customFormat="false" ht="30" hidden="false" customHeight="true" outlineLevel="0" collapsed="false">
      <c r="A6" s="72" t="s">
        <v>704</v>
      </c>
      <c r="B6" s="95" t="s">
        <v>705</v>
      </c>
      <c r="C6" s="96" t="s">
        <v>706</v>
      </c>
      <c r="D6" s="95" t="s">
        <v>707</v>
      </c>
      <c r="E6" s="96" t="s">
        <v>708</v>
      </c>
      <c r="F6" s="95" t="s">
        <v>709</v>
      </c>
      <c r="G6" s="96" t="s">
        <v>710</v>
      </c>
      <c r="H6" s="95" t="s">
        <v>711</v>
      </c>
      <c r="I6" s="96" t="s">
        <v>712</v>
      </c>
      <c r="J6" s="95" t="s">
        <v>713</v>
      </c>
      <c r="K6" s="96" t="s">
        <v>714</v>
      </c>
      <c r="L6" s="95" t="s">
        <v>715</v>
      </c>
      <c r="M6" s="96" t="s">
        <v>716</v>
      </c>
    </row>
    <row r="7" customFormat="false" ht="19.5" hidden="false" customHeight="true" outlineLevel="0" collapsed="false">
      <c r="A7" s="72" t="s">
        <v>717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</row>
    <row r="8" customFormat="false" ht="19.5" hidden="false" customHeight="true" outlineLevel="0" collapsed="false">
      <c r="A8" s="98" t="s">
        <v>718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customFormat="false" ht="19.5" hidden="false" customHeight="true" outlineLevel="0" collapsed="false">
      <c r="A9" s="99" t="s">
        <v>719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customFormat="false" ht="19.5" hidden="false" customHeight="true" outlineLevel="0" collapsed="false">
      <c r="A10" s="100" t="s">
        <v>720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</row>
    <row r="11" customFormat="false" ht="19.5" hidden="false" customHeight="true" outlineLevel="0" collapsed="false">
      <c r="A11" s="72" t="s">
        <v>419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</row>
    <row r="12" customFormat="false" ht="19.5" hidden="false" customHeight="true" outlineLevel="0" collapsed="false">
      <c r="A12" s="98" t="s">
        <v>721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customFormat="false" ht="19.5" hidden="false" customHeight="true" outlineLevel="0" collapsed="false">
      <c r="A13" s="99" t="s">
        <v>722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customFormat="false" ht="19.5" hidden="false" customHeight="true" outlineLevel="0" collapsed="false">
      <c r="A14" s="100" t="s">
        <v>723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</row>
    <row r="15" customFormat="false" ht="19.5" hidden="false" customHeight="true" outlineLevel="0" collapsed="false">
      <c r="A15" s="101" t="s">
        <v>724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</row>
    <row r="16" customFormat="false" ht="19.5" hidden="false" customHeight="true" outlineLevel="0" collapsed="false">
      <c r="A16" s="72" t="s">
        <v>725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customFormat="false" ht="19.5" hidden="false" customHeight="true" outlineLevel="0" collapsed="false">
      <c r="A17" s="99" t="s">
        <v>726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</row>
    <row r="18" customFormat="false" ht="19.5" hidden="false" customHeight="true" outlineLevel="0" collapsed="false">
      <c r="A18" s="98" t="s">
        <v>727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customFormat="false" ht="19.5" hidden="false" customHeight="true" outlineLevel="0" collapsed="false">
      <c r="A19" s="99" t="s">
        <v>728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customFormat="false" ht="19.5" hidden="false" customHeight="true" outlineLevel="0" collapsed="false">
      <c r="A20" s="100" t="s">
        <v>729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</row>
    <row r="21" customFormat="false" ht="19.5" hidden="false" customHeight="true" outlineLevel="0" collapsed="false">
      <c r="A21" s="101" t="s">
        <v>730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customFormat="false" ht="19.5" hidden="false" customHeight="true" outlineLevel="0" collapsed="false">
      <c r="A22" s="102" t="s">
        <v>731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</row>
  </sheetData>
  <mergeCells count="6">
    <mergeCell ref="A1:I1"/>
    <mergeCell ref="A2:I2"/>
    <mergeCell ref="A3:B3"/>
    <mergeCell ref="C3:D3"/>
    <mergeCell ref="E3:F3"/>
    <mergeCell ref="A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12" min="3" style="1" width="12"/>
    <col collapsed="false" customWidth="true" hidden="false" outlineLevel="0" max="13" min="13" style="1" width="14"/>
  </cols>
  <sheetData>
    <row r="1" customFormat="false" ht="36" hidden="false" customHeight="true" outlineLevel="0" collapsed="false">
      <c r="A1" s="15" t="s">
        <v>732</v>
      </c>
      <c r="B1" s="15"/>
      <c r="C1" s="15"/>
      <c r="D1" s="15"/>
      <c r="E1" s="15"/>
      <c r="F1" s="15"/>
      <c r="G1" s="15"/>
      <c r="H1" s="15"/>
      <c r="I1" s="15"/>
    </row>
    <row r="2" customFormat="false" ht="48" hidden="false" customHeight="true" outlineLevel="0" collapsed="false">
      <c r="A2" s="16" t="s">
        <v>733</v>
      </c>
      <c r="B2" s="16"/>
      <c r="C2" s="16"/>
      <c r="D2" s="16"/>
      <c r="E2" s="16"/>
      <c r="F2" s="16"/>
      <c r="G2" s="16"/>
      <c r="H2" s="16"/>
      <c r="I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734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customFormat="false" ht="19.5" hidden="false" customHeight="true" outlineLevel="0" collapsed="false">
      <c r="A6" s="22" t="s">
        <v>735</v>
      </c>
      <c r="B6" s="22" t="s">
        <v>736</v>
      </c>
      <c r="C6" s="22" t="s">
        <v>100</v>
      </c>
      <c r="D6" s="22" t="s">
        <v>101</v>
      </c>
      <c r="E6" s="22" t="s">
        <v>102</v>
      </c>
      <c r="F6" s="22" t="s">
        <v>103</v>
      </c>
      <c r="G6" s="22" t="s">
        <v>104</v>
      </c>
      <c r="H6" s="22" t="s">
        <v>105</v>
      </c>
      <c r="I6" s="22" t="s">
        <v>106</v>
      </c>
      <c r="J6" s="22" t="s">
        <v>107</v>
      </c>
      <c r="K6" s="22" t="s">
        <v>108</v>
      </c>
      <c r="L6" s="22" t="s">
        <v>109</v>
      </c>
      <c r="M6" s="22" t="s">
        <v>737</v>
      </c>
    </row>
    <row r="7" customFormat="false" ht="19.5" hidden="false" customHeight="true" outlineLevel="0" collapsed="false">
      <c r="A7" s="24" t="s">
        <v>738</v>
      </c>
      <c r="B7" s="24" t="s">
        <v>739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32" t="n">
        <f aca="false">SUM(C7:L7)</f>
        <v>0</v>
      </c>
    </row>
    <row r="8" customFormat="false" ht="19.5" hidden="false" customHeight="true" outlineLevel="0" collapsed="false">
      <c r="A8" s="24" t="s">
        <v>740</v>
      </c>
      <c r="B8" s="24" t="s">
        <v>741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32" t="n">
        <f aca="false">SUM(C8:L8)</f>
        <v>0</v>
      </c>
    </row>
    <row r="9" customFormat="false" ht="19.5" hidden="false" customHeight="true" outlineLevel="0" collapsed="false">
      <c r="A9" s="24" t="s">
        <v>742</v>
      </c>
      <c r="B9" s="24" t="s">
        <v>743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32" t="n">
        <f aca="false">SUM(C9:L9)</f>
        <v>0</v>
      </c>
    </row>
    <row r="10" customFormat="false" ht="19.5" hidden="false" customHeight="true" outlineLevel="0" collapsed="false">
      <c r="A10" s="24" t="s">
        <v>744</v>
      </c>
      <c r="B10" s="24" t="s">
        <v>745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32" t="n">
        <f aca="false">SUM(C10:L10)</f>
        <v>0</v>
      </c>
    </row>
    <row r="11" customFormat="false" ht="19.5" hidden="false" customHeight="true" outlineLevel="0" collapsed="false">
      <c r="A11" s="24" t="s">
        <v>746</v>
      </c>
      <c r="B11" s="24" t="s">
        <v>747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32" t="n">
        <f aca="false">SUM(C11:L11)</f>
        <v>0</v>
      </c>
    </row>
    <row r="12" customFormat="false" ht="19.5" hidden="false" customHeight="true" outlineLevel="0" collapsed="false">
      <c r="A12" s="24" t="s">
        <v>748</v>
      </c>
      <c r="B12" s="24" t="s">
        <v>749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32" t="n">
        <f aca="false">SUM(C12:L12)</f>
        <v>0</v>
      </c>
    </row>
    <row r="13" customFormat="false" ht="19.5" hidden="false" customHeight="true" outlineLevel="0" collapsed="false">
      <c r="A13" s="24" t="s">
        <v>750</v>
      </c>
      <c r="B13" s="24" t="s">
        <v>749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32" t="n">
        <f aca="false">SUM(C13:L13)</f>
        <v>0</v>
      </c>
    </row>
    <row r="14" customFormat="false" ht="19.5" hidden="false" customHeight="true" outlineLevel="0" collapsed="false">
      <c r="A14" s="24" t="s">
        <v>751</v>
      </c>
      <c r="B14" s="24" t="s">
        <v>739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32" t="n">
        <f aca="false">SUM(C14:L14)</f>
        <v>0</v>
      </c>
    </row>
    <row r="15" customFormat="false" ht="19.5" hidden="false" customHeight="true" outlineLevel="0" collapsed="false">
      <c r="A15" s="24" t="s">
        <v>752</v>
      </c>
      <c r="B15" s="24" t="s">
        <v>741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32" t="n">
        <f aca="false">SUM(C15:L15)</f>
        <v>0</v>
      </c>
    </row>
    <row r="16" customFormat="false" ht="19.5" hidden="false" customHeight="true" outlineLevel="0" collapsed="false">
      <c r="A16" s="24" t="s">
        <v>753</v>
      </c>
      <c r="B16" s="24" t="s">
        <v>743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32" t="n">
        <f aca="false">SUM(C16:L16)</f>
        <v>0</v>
      </c>
    </row>
    <row r="17" customFormat="false" ht="19.5" hidden="false" customHeight="true" outlineLevel="0" collapsed="false">
      <c r="A17" s="24" t="s">
        <v>754</v>
      </c>
      <c r="B17" s="24" t="s">
        <v>745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32" t="n">
        <f aca="false">SUM(C17:L17)</f>
        <v>0</v>
      </c>
    </row>
    <row r="18" customFormat="false" ht="19.5" hidden="false" customHeight="true" outlineLevel="0" collapsed="false">
      <c r="A18" s="24" t="s">
        <v>755</v>
      </c>
      <c r="B18" s="24" t="s">
        <v>747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32" t="n">
        <f aca="false">SUM(C18:L18)</f>
        <v>0</v>
      </c>
    </row>
    <row r="19" customFormat="false" ht="19.5" hidden="false" customHeight="true" outlineLevel="0" collapsed="false">
      <c r="A19" s="24" t="s">
        <v>756</v>
      </c>
      <c r="B19" s="24" t="s">
        <v>749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32" t="n">
        <f aca="false">SUM(C19:L19)</f>
        <v>0</v>
      </c>
    </row>
    <row r="20" customFormat="false" ht="19.5" hidden="false" customHeight="true" outlineLevel="0" collapsed="false">
      <c r="A20" s="24" t="s">
        <v>757</v>
      </c>
      <c r="B20" s="24" t="s">
        <v>739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32" t="n">
        <f aca="false">SUM(C20:L20)</f>
        <v>0</v>
      </c>
    </row>
    <row r="21" customFormat="false" ht="21.75" hidden="false" customHeight="true" outlineLevel="0" collapsed="false">
      <c r="A21" s="72" t="s">
        <v>758</v>
      </c>
      <c r="B21" s="72"/>
      <c r="C21" s="32" t="n">
        <f aca="false">SUM(C7:C20)</f>
        <v>0</v>
      </c>
      <c r="D21" s="32" t="n">
        <f aca="false">SUM(D7:D20)</f>
        <v>0</v>
      </c>
      <c r="E21" s="32" t="n">
        <f aca="false">SUM(E7:E20)</f>
        <v>0</v>
      </c>
      <c r="F21" s="32" t="n">
        <f aca="false">SUM(F7:F20)</f>
        <v>0</v>
      </c>
      <c r="G21" s="32" t="n">
        <f aca="false">SUM(G7:G20)</f>
        <v>0</v>
      </c>
      <c r="H21" s="32" t="n">
        <f aca="false">SUM(H7:H20)</f>
        <v>0</v>
      </c>
      <c r="I21" s="32" t="n">
        <f aca="false">SUM(I7:I20)</f>
        <v>0</v>
      </c>
      <c r="J21" s="32" t="n">
        <f aca="false">SUM(J7:J20)</f>
        <v>0</v>
      </c>
      <c r="K21" s="32" t="n">
        <f aca="false">SUM(K7:K20)</f>
        <v>0</v>
      </c>
      <c r="L21" s="32" t="n">
        <f aca="false">SUM(L7:L20)</f>
        <v>0</v>
      </c>
      <c r="M21" s="32" t="n">
        <f aca="false">SUM(M7:M20)</f>
        <v>0</v>
      </c>
    </row>
    <row r="22" customFormat="false" ht="6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</row>
    <row r="23" customFormat="false" ht="21.75" hidden="false" customHeight="true" outlineLevel="0" collapsed="false">
      <c r="A23" s="21" t="s">
        <v>759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customFormat="false" ht="19.5" hidden="false" customHeight="true" outlineLevel="0" collapsed="false">
      <c r="A24" s="22" t="s">
        <v>760</v>
      </c>
      <c r="B24" s="22" t="s">
        <v>736</v>
      </c>
      <c r="C24" s="22" t="s">
        <v>100</v>
      </c>
      <c r="D24" s="22" t="s">
        <v>101</v>
      </c>
      <c r="E24" s="22" t="s">
        <v>102</v>
      </c>
      <c r="F24" s="22" t="s">
        <v>103</v>
      </c>
      <c r="G24" s="22" t="s">
        <v>104</v>
      </c>
      <c r="H24" s="22" t="s">
        <v>105</v>
      </c>
      <c r="I24" s="22" t="s">
        <v>761</v>
      </c>
      <c r="J24" s="22" t="s">
        <v>762</v>
      </c>
    </row>
    <row r="25" customFormat="false" ht="19.5" hidden="false" customHeight="true" outlineLevel="0" collapsed="false">
      <c r="A25" s="103" t="s">
        <v>763</v>
      </c>
      <c r="B25" s="104" t="s">
        <v>739</v>
      </c>
      <c r="C25" s="25"/>
      <c r="D25" s="25"/>
      <c r="E25" s="25"/>
      <c r="F25" s="25"/>
      <c r="G25" s="25"/>
      <c r="H25" s="25"/>
      <c r="I25" s="105" t="n">
        <f aca="false">0</f>
        <v>0</v>
      </c>
      <c r="J25" s="32" t="n">
        <f aca="false">SUM(C25:H25)</f>
        <v>0</v>
      </c>
    </row>
    <row r="26" customFormat="false" ht="19.5" hidden="false" customHeight="true" outlineLevel="0" collapsed="false">
      <c r="A26" s="67" t="s">
        <v>764</v>
      </c>
      <c r="B26" s="106" t="s">
        <v>743</v>
      </c>
      <c r="C26" s="25"/>
      <c r="D26" s="25"/>
      <c r="E26" s="25"/>
      <c r="F26" s="25"/>
      <c r="G26" s="25"/>
      <c r="H26" s="25"/>
      <c r="I26" s="105" t="n">
        <f aca="false">0</f>
        <v>0</v>
      </c>
      <c r="J26" s="32" t="n">
        <f aca="false">SUM(C26:H26)</f>
        <v>0</v>
      </c>
    </row>
    <row r="27" customFormat="false" ht="19.5" hidden="false" customHeight="true" outlineLevel="0" collapsed="false">
      <c r="A27" s="103" t="s">
        <v>765</v>
      </c>
      <c r="B27" s="104" t="s">
        <v>745</v>
      </c>
      <c r="C27" s="25"/>
      <c r="D27" s="25"/>
      <c r="E27" s="25"/>
      <c r="F27" s="25"/>
      <c r="G27" s="25"/>
      <c r="H27" s="25"/>
      <c r="I27" s="105" t="n">
        <f aca="false">0</f>
        <v>0</v>
      </c>
      <c r="J27" s="32" t="n">
        <f aca="false">SUM(C27:H27)</f>
        <v>0</v>
      </c>
    </row>
    <row r="28" customFormat="false" ht="19.5" hidden="false" customHeight="true" outlineLevel="0" collapsed="false">
      <c r="A28" s="67" t="s">
        <v>766</v>
      </c>
      <c r="B28" s="106" t="s">
        <v>749</v>
      </c>
      <c r="C28" s="25"/>
      <c r="D28" s="25"/>
      <c r="E28" s="25"/>
      <c r="F28" s="25"/>
      <c r="G28" s="25"/>
      <c r="H28" s="25"/>
      <c r="I28" s="105" t="n">
        <f aca="false">0</f>
        <v>0</v>
      </c>
      <c r="J28" s="32" t="n">
        <f aca="false">SUM(C28:H28)</f>
        <v>0</v>
      </c>
    </row>
    <row r="29" customFormat="false" ht="19.5" hidden="false" customHeight="true" outlineLevel="0" collapsed="false">
      <c r="A29" s="103" t="s">
        <v>767</v>
      </c>
      <c r="B29" s="104" t="s">
        <v>749</v>
      </c>
      <c r="C29" s="25"/>
      <c r="D29" s="25"/>
      <c r="E29" s="25"/>
      <c r="F29" s="25"/>
      <c r="G29" s="25"/>
      <c r="H29" s="25"/>
      <c r="I29" s="105" t="n">
        <f aca="false">0</f>
        <v>0</v>
      </c>
      <c r="J29" s="32" t="n">
        <f aca="false">SUM(C29:H29)</f>
        <v>0</v>
      </c>
    </row>
    <row r="30" customFormat="false" ht="19.5" hidden="false" customHeight="true" outlineLevel="0" collapsed="false">
      <c r="A30" s="67" t="s">
        <v>768</v>
      </c>
      <c r="B30" s="106" t="s">
        <v>749</v>
      </c>
      <c r="C30" s="25"/>
      <c r="D30" s="25"/>
      <c r="E30" s="25"/>
      <c r="F30" s="25"/>
      <c r="G30" s="25"/>
      <c r="H30" s="25"/>
      <c r="I30" s="105" t="n">
        <f aca="false">0</f>
        <v>0</v>
      </c>
      <c r="J30" s="32" t="n">
        <f aca="false">SUM(C30:H30)</f>
        <v>0</v>
      </c>
    </row>
  </sheetData>
  <mergeCells count="8">
    <mergeCell ref="A1:I1"/>
    <mergeCell ref="A2:I2"/>
    <mergeCell ref="A3:B3"/>
    <mergeCell ref="C3:D3"/>
    <mergeCell ref="E3:F3"/>
    <mergeCell ref="A5:M5"/>
    <mergeCell ref="A21:B21"/>
    <mergeCell ref="A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5" min="4" style="1" width="14"/>
    <col collapsed="false" customWidth="true" hidden="false" outlineLevel="0" max="6" min="6" style="1" width="20"/>
    <col collapsed="false" customWidth="true" hidden="false" outlineLevel="0" max="8" min="7" style="1" width="14"/>
  </cols>
  <sheetData>
    <row r="1" customFormat="false" ht="36" hidden="false" customHeight="true" outlineLevel="0" collapsed="false">
      <c r="A1" s="15" t="s">
        <v>769</v>
      </c>
      <c r="B1" s="15"/>
      <c r="C1" s="15"/>
      <c r="D1" s="15"/>
      <c r="E1" s="15"/>
      <c r="F1" s="15"/>
      <c r="G1" s="15"/>
      <c r="H1" s="15"/>
    </row>
    <row r="2" customFormat="false" ht="48" hidden="false" customHeight="true" outlineLevel="0" collapsed="false">
      <c r="A2" s="16" t="s">
        <v>770</v>
      </c>
      <c r="B2" s="16"/>
      <c r="C2" s="16"/>
      <c r="D2" s="16"/>
      <c r="E2" s="16"/>
      <c r="F2" s="16"/>
      <c r="G2" s="16"/>
      <c r="H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771</v>
      </c>
      <c r="B5" s="21"/>
      <c r="C5" s="21"/>
      <c r="D5" s="21"/>
      <c r="E5" s="21"/>
      <c r="F5" s="21"/>
      <c r="G5" s="21"/>
      <c r="H5" s="21"/>
    </row>
    <row r="6" customFormat="false" ht="19.5" hidden="false" customHeight="true" outlineLevel="0" collapsed="false">
      <c r="A6" s="22" t="s">
        <v>66</v>
      </c>
      <c r="B6" s="22" t="s">
        <v>616</v>
      </c>
      <c r="C6" s="22" t="s">
        <v>615</v>
      </c>
      <c r="D6" s="22" t="s">
        <v>772</v>
      </c>
      <c r="E6" s="22" t="s">
        <v>618</v>
      </c>
      <c r="F6" s="22" t="s">
        <v>5</v>
      </c>
      <c r="G6" s="22" t="s">
        <v>286</v>
      </c>
    </row>
    <row r="7" customFormat="false" ht="19.5" hidden="false" customHeight="true" outlineLevel="0" collapsed="false">
      <c r="A7" s="46" t="s">
        <v>607</v>
      </c>
      <c r="B7" s="24"/>
      <c r="C7" s="24"/>
      <c r="D7" s="5" t="n">
        <f aca="false">IFERROR(B7-C7,0)</f>
        <v>0</v>
      </c>
      <c r="E7" s="92" t="n">
        <f aca="false">IFERROR((B7-C7)/ABS(C7),0)</f>
        <v>0</v>
      </c>
      <c r="F7" s="107" t="str">
        <f aca="false">IF(ABS(E7)&lt;0.05,"On Track",IF(ABS(E7)&lt;0.15,"Watch","Off Track"))</f>
        <v>On Track</v>
      </c>
      <c r="G7" s="24"/>
      <c r="H7" s="24"/>
    </row>
    <row r="8" customFormat="false" ht="19.5" hidden="false" customHeight="true" outlineLevel="0" collapsed="false">
      <c r="A8" s="23" t="s">
        <v>463</v>
      </c>
      <c r="B8" s="24"/>
      <c r="C8" s="24"/>
      <c r="D8" s="5" t="n">
        <f aca="false">IFERROR(B8-C8,0)</f>
        <v>0</v>
      </c>
      <c r="E8" s="92" t="n">
        <f aca="false">IFERROR((B8-C8)/ABS(C8),0)</f>
        <v>0</v>
      </c>
      <c r="F8" s="107" t="str">
        <f aca="false">IF(ABS(E8)&lt;0.05,"On Track",IF(ABS(E8)&lt;0.15,"Watch","Off Track"))</f>
        <v>On Track</v>
      </c>
      <c r="G8" s="24"/>
      <c r="H8" s="24"/>
    </row>
    <row r="9" customFormat="false" ht="19.5" hidden="false" customHeight="true" outlineLevel="0" collapsed="false">
      <c r="A9" s="46" t="s">
        <v>773</v>
      </c>
      <c r="B9" s="24"/>
      <c r="C9" s="24"/>
      <c r="D9" s="5" t="n">
        <f aca="false">IFERROR(B9-C9,0)</f>
        <v>0</v>
      </c>
      <c r="E9" s="92" t="n">
        <f aca="false">IFERROR((B9-C9)/ABS(C9),0)</f>
        <v>0</v>
      </c>
      <c r="F9" s="107" t="str">
        <f aca="false">IF(ABS(E9)&lt;0.05,"On Track",IF(ABS(E9)&lt;0.15,"Watch","Off Track"))</f>
        <v>On Track</v>
      </c>
      <c r="G9" s="24"/>
      <c r="H9" s="24"/>
    </row>
    <row r="10" customFormat="false" ht="19.5" hidden="false" customHeight="true" outlineLevel="0" collapsed="false">
      <c r="A10" s="23" t="s">
        <v>194</v>
      </c>
      <c r="B10" s="24"/>
      <c r="C10" s="24"/>
      <c r="D10" s="5" t="n">
        <f aca="false">IFERROR(B10-C10,0)</f>
        <v>0</v>
      </c>
      <c r="E10" s="92" t="n">
        <f aca="false">IFERROR((B10-C10)/ABS(C10),0)</f>
        <v>0</v>
      </c>
      <c r="F10" s="107" t="str">
        <f aca="false">IF(ABS(E10)&lt;0.05,"On Track",IF(ABS(E10)&lt;0.15,"Watch","Off Track"))</f>
        <v>On Track</v>
      </c>
      <c r="G10" s="24"/>
      <c r="H10" s="24"/>
    </row>
    <row r="11" customFormat="false" ht="19.5" hidden="false" customHeight="true" outlineLevel="0" collapsed="false">
      <c r="A11" s="46" t="s">
        <v>609</v>
      </c>
      <c r="B11" s="24"/>
      <c r="C11" s="24"/>
      <c r="D11" s="5" t="n">
        <f aca="false">IFERROR(B11-C11,0)</f>
        <v>0</v>
      </c>
      <c r="E11" s="92" t="n">
        <f aca="false">IFERROR((B11-C11)/ABS(C11),0)</f>
        <v>0</v>
      </c>
      <c r="F11" s="107" t="str">
        <f aca="false">IF(ABS(E11)&lt;0.05,"On Track",IF(ABS(E11)&lt;0.15,"Watch","Off Track"))</f>
        <v>On Track</v>
      </c>
      <c r="G11" s="24"/>
      <c r="H11" s="24"/>
    </row>
    <row r="12" customFormat="false" ht="19.5" hidden="false" customHeight="true" outlineLevel="0" collapsed="false">
      <c r="A12" s="23" t="s">
        <v>774</v>
      </c>
      <c r="B12" s="24"/>
      <c r="C12" s="24"/>
      <c r="D12" s="5" t="n">
        <f aca="false">IFERROR(B12-C12,0)</f>
        <v>0</v>
      </c>
      <c r="E12" s="92" t="n">
        <f aca="false">IFERROR((B12-C12)/ABS(C12),0)</f>
        <v>0</v>
      </c>
      <c r="F12" s="107" t="str">
        <f aca="false">IF(ABS(E12)&lt;0.05,"On Track",IF(ABS(E12)&lt;0.15,"Watch","Off Track"))</f>
        <v>On Track</v>
      </c>
      <c r="G12" s="24"/>
      <c r="H12" s="24"/>
    </row>
    <row r="13" customFormat="false" ht="19.5" hidden="false" customHeight="true" outlineLevel="0" collapsed="false">
      <c r="A13" s="46" t="s">
        <v>612</v>
      </c>
      <c r="B13" s="24"/>
      <c r="C13" s="24"/>
      <c r="D13" s="5" t="n">
        <f aca="false">IFERROR(B13-C13,0)</f>
        <v>0</v>
      </c>
      <c r="E13" s="92" t="n">
        <f aca="false">IFERROR((B13-C13)/ABS(C13),0)</f>
        <v>0</v>
      </c>
      <c r="F13" s="107" t="str">
        <f aca="false">IF(ABS(E13)&lt;0.05,"On Track",IF(ABS(E13)&lt;0.15,"Watch","Off Track"))</f>
        <v>On Track</v>
      </c>
      <c r="G13" s="24"/>
      <c r="H13" s="24"/>
    </row>
    <row r="14" customFormat="false" ht="19.5" hidden="false" customHeight="true" outlineLevel="0" collapsed="false">
      <c r="A14" s="23" t="s">
        <v>613</v>
      </c>
      <c r="B14" s="24"/>
      <c r="C14" s="24"/>
      <c r="D14" s="5" t="n">
        <f aca="false">IFERROR(B14-C14,0)</f>
        <v>0</v>
      </c>
      <c r="E14" s="92" t="n">
        <f aca="false">IFERROR((B14-C14)/ABS(C14),0)</f>
        <v>0</v>
      </c>
      <c r="F14" s="107" t="str">
        <f aca="false">IF(ABS(E14)&lt;0.05,"On Track",IF(ABS(E14)&lt;0.15,"Watch","Off Track"))</f>
        <v>On Track</v>
      </c>
      <c r="G14" s="24"/>
      <c r="H14" s="24"/>
    </row>
    <row r="15" customFormat="false" ht="6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</row>
    <row r="79" customFormat="false" ht="21.75" hidden="false" customHeight="true" outlineLevel="0" collapsed="false">
      <c r="A79" s="21" t="s">
        <v>775</v>
      </c>
      <c r="B79" s="21"/>
      <c r="C79" s="21"/>
      <c r="D79" s="21"/>
      <c r="E79" s="21"/>
      <c r="F79" s="21"/>
      <c r="G79" s="21"/>
      <c r="H79" s="21"/>
    </row>
    <row r="80" customFormat="false" ht="79.5" hidden="false" customHeight="true" outlineLevel="0" collapsed="false">
      <c r="A80" s="29" t="s">
        <v>776</v>
      </c>
      <c r="B80" s="29"/>
      <c r="C80" s="29"/>
      <c r="D80" s="29"/>
      <c r="E80" s="29"/>
      <c r="F80" s="29"/>
      <c r="G80" s="29"/>
      <c r="H80" s="29"/>
    </row>
    <row r="81" customFormat="false" ht="15" hidden="false" customHeight="true" outlineLevel="0" collapsed="false">
      <c r="A81" s="29"/>
      <c r="B81" s="29"/>
      <c r="C81" s="29"/>
      <c r="D81" s="29"/>
      <c r="E81" s="29"/>
      <c r="F81" s="29"/>
      <c r="G81" s="29"/>
      <c r="H81" s="29"/>
    </row>
    <row r="83" customFormat="false" ht="21.75" hidden="false" customHeight="true" outlineLevel="0" collapsed="false">
      <c r="A83" s="21" t="s">
        <v>777</v>
      </c>
      <c r="B83" s="21"/>
      <c r="C83" s="21"/>
      <c r="D83" s="21"/>
      <c r="E83" s="21"/>
      <c r="F83" s="21"/>
      <c r="G83" s="21"/>
      <c r="H83" s="21"/>
    </row>
    <row r="84" customFormat="false" ht="79.5" hidden="false" customHeight="true" outlineLevel="0" collapsed="false">
      <c r="A84" s="29" t="s">
        <v>778</v>
      </c>
      <c r="B84" s="29"/>
      <c r="C84" s="29"/>
      <c r="D84" s="29"/>
      <c r="E84" s="29"/>
      <c r="F84" s="29"/>
      <c r="G84" s="29"/>
      <c r="H84" s="29"/>
    </row>
    <row r="85" customFormat="false" ht="15" hidden="false" customHeight="true" outlineLevel="0" collapsed="false">
      <c r="A85" s="29"/>
      <c r="B85" s="29"/>
      <c r="C85" s="29"/>
      <c r="D85" s="29"/>
      <c r="E85" s="29"/>
      <c r="F85" s="29"/>
      <c r="G85" s="29"/>
      <c r="H85" s="29"/>
    </row>
    <row r="87" customFormat="false" ht="21.75" hidden="false" customHeight="true" outlineLevel="0" collapsed="false">
      <c r="A87" s="21" t="s">
        <v>779</v>
      </c>
      <c r="B87" s="21"/>
      <c r="C87" s="21"/>
      <c r="D87" s="21"/>
      <c r="E87" s="21"/>
      <c r="F87" s="21"/>
      <c r="G87" s="21"/>
      <c r="H87" s="21"/>
    </row>
    <row r="88" customFormat="false" ht="79.5" hidden="false" customHeight="true" outlineLevel="0" collapsed="false">
      <c r="A88" s="29" t="s">
        <v>780</v>
      </c>
      <c r="B88" s="29"/>
      <c r="C88" s="29"/>
      <c r="D88" s="29"/>
      <c r="E88" s="29"/>
      <c r="F88" s="29"/>
      <c r="G88" s="29"/>
      <c r="H88" s="29"/>
    </row>
    <row r="89" customFormat="false" ht="15" hidden="false" customHeight="true" outlineLevel="0" collapsed="false">
      <c r="A89" s="29"/>
      <c r="B89" s="29"/>
      <c r="C89" s="29"/>
      <c r="D89" s="29"/>
      <c r="E89" s="29"/>
      <c r="F89" s="29"/>
      <c r="G89" s="29"/>
      <c r="H89" s="29"/>
    </row>
    <row r="91" customFormat="false" ht="21.75" hidden="false" customHeight="true" outlineLevel="0" collapsed="false">
      <c r="A91" s="21" t="s">
        <v>781</v>
      </c>
      <c r="B91" s="21"/>
      <c r="C91" s="21"/>
      <c r="D91" s="21"/>
      <c r="E91" s="21"/>
      <c r="F91" s="21"/>
      <c r="G91" s="21"/>
      <c r="H91" s="21"/>
    </row>
    <row r="92" customFormat="false" ht="79.5" hidden="false" customHeight="true" outlineLevel="0" collapsed="false">
      <c r="A92" s="29" t="s">
        <v>782</v>
      </c>
      <c r="B92" s="29"/>
      <c r="C92" s="29"/>
      <c r="D92" s="29"/>
      <c r="E92" s="29"/>
      <c r="F92" s="29"/>
      <c r="G92" s="29"/>
      <c r="H92" s="29"/>
    </row>
    <row r="93" customFormat="false" ht="15" hidden="false" customHeight="true" outlineLevel="0" collapsed="false">
      <c r="A93" s="29"/>
      <c r="B93" s="29"/>
      <c r="C93" s="29"/>
      <c r="D93" s="29"/>
      <c r="E93" s="29"/>
      <c r="F93" s="29"/>
      <c r="G93" s="29"/>
      <c r="H93" s="29"/>
    </row>
  </sheetData>
  <mergeCells count="22">
    <mergeCell ref="A1:H1"/>
    <mergeCell ref="A2:H2"/>
    <mergeCell ref="A3:B3"/>
    <mergeCell ref="C3:D3"/>
    <mergeCell ref="E3:F3"/>
    <mergeCell ref="A5:H5"/>
    <mergeCell ref="G7:H7"/>
    <mergeCell ref="G8:H8"/>
    <mergeCell ref="G9:H9"/>
    <mergeCell ref="G10:H10"/>
    <mergeCell ref="G11:H11"/>
    <mergeCell ref="G12:H12"/>
    <mergeCell ref="G13:H13"/>
    <mergeCell ref="G14:H14"/>
    <mergeCell ref="A79:H79"/>
    <mergeCell ref="A80:H81"/>
    <mergeCell ref="A83:H83"/>
    <mergeCell ref="A84:H85"/>
    <mergeCell ref="A87:H87"/>
    <mergeCell ref="A88:H89"/>
    <mergeCell ref="A91:H91"/>
    <mergeCell ref="A92:H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2"/>
  </cols>
  <sheetData>
    <row r="1" customFormat="false" ht="36" hidden="false" customHeight="true" outlineLevel="0" collapsed="false">
      <c r="A1" s="15" t="s">
        <v>783</v>
      </c>
      <c r="B1" s="15"/>
      <c r="C1" s="15"/>
      <c r="D1" s="15"/>
      <c r="E1" s="15"/>
      <c r="F1" s="15"/>
      <c r="G1" s="15"/>
    </row>
    <row r="2" customFormat="false" ht="48" hidden="false" customHeight="true" outlineLevel="0" collapsed="false">
      <c r="A2" s="16" t="s">
        <v>784</v>
      </c>
      <c r="B2" s="16"/>
      <c r="C2" s="16"/>
      <c r="D2" s="16"/>
      <c r="E2" s="16"/>
      <c r="F2" s="16"/>
      <c r="G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785</v>
      </c>
      <c r="B5" s="21"/>
      <c r="C5" s="21"/>
      <c r="D5" s="21"/>
      <c r="E5" s="21"/>
      <c r="F5" s="21"/>
      <c r="G5" s="21"/>
      <c r="H5" s="21"/>
    </row>
    <row r="6" customFormat="false" ht="36" hidden="false" customHeight="true" outlineLevel="0" collapsed="false">
      <c r="A6" s="22" t="s">
        <v>786</v>
      </c>
      <c r="B6" s="22" t="s">
        <v>787</v>
      </c>
      <c r="C6" s="22" t="s">
        <v>479</v>
      </c>
      <c r="D6" s="22" t="s">
        <v>5</v>
      </c>
      <c r="E6" s="22" t="s">
        <v>389</v>
      </c>
      <c r="F6" s="22" t="s">
        <v>788</v>
      </c>
      <c r="G6" s="22" t="s">
        <v>233</v>
      </c>
    </row>
    <row r="7" customFormat="false" ht="21.75" hidden="false" customHeight="true" outlineLevel="0" collapsed="false">
      <c r="A7" s="21" t="s">
        <v>789</v>
      </c>
      <c r="B7" s="21"/>
      <c r="C7" s="21"/>
      <c r="D7" s="21"/>
      <c r="E7" s="21"/>
      <c r="F7" s="21"/>
      <c r="G7" s="21"/>
    </row>
    <row r="8" customFormat="false" ht="19.5" hidden="false" customHeight="true" outlineLevel="0" collapsed="false">
      <c r="A8" s="76" t="s">
        <v>790</v>
      </c>
      <c r="B8" s="8" t="n">
        <v>3</v>
      </c>
      <c r="C8" s="108" t="s">
        <v>791</v>
      </c>
      <c r="D8" s="24" t="s">
        <v>9</v>
      </c>
      <c r="E8" s="24"/>
      <c r="F8" s="109" t="s">
        <v>792</v>
      </c>
      <c r="G8" s="110" t="s">
        <v>484</v>
      </c>
    </row>
    <row r="9" customFormat="false" ht="19.5" hidden="false" customHeight="true" outlineLevel="0" collapsed="false">
      <c r="A9" s="74" t="s">
        <v>793</v>
      </c>
      <c r="B9" s="8" t="n">
        <v>3</v>
      </c>
      <c r="C9" s="108" t="s">
        <v>791</v>
      </c>
      <c r="D9" s="24" t="s">
        <v>9</v>
      </c>
      <c r="E9" s="24"/>
      <c r="F9" s="109" t="s">
        <v>794</v>
      </c>
      <c r="G9" s="110" t="s">
        <v>484</v>
      </c>
    </row>
    <row r="10" customFormat="false" ht="19.5" hidden="false" customHeight="true" outlineLevel="0" collapsed="false">
      <c r="A10" s="76" t="s">
        <v>795</v>
      </c>
      <c r="B10" s="8" t="n">
        <v>3</v>
      </c>
      <c r="C10" s="108" t="s">
        <v>791</v>
      </c>
      <c r="D10" s="24" t="s">
        <v>9</v>
      </c>
      <c r="E10" s="24"/>
      <c r="F10" s="109" t="s">
        <v>794</v>
      </c>
      <c r="G10" s="110" t="s">
        <v>484</v>
      </c>
    </row>
    <row r="11" customFormat="false" ht="19.5" hidden="false" customHeight="true" outlineLevel="0" collapsed="false">
      <c r="A11" s="74" t="s">
        <v>796</v>
      </c>
      <c r="B11" s="8" t="n">
        <v>4</v>
      </c>
      <c r="C11" s="108" t="s">
        <v>791</v>
      </c>
      <c r="D11" s="24" t="s">
        <v>9</v>
      </c>
      <c r="E11" s="24"/>
      <c r="F11" s="109" t="s">
        <v>797</v>
      </c>
      <c r="G11" s="110" t="s">
        <v>484</v>
      </c>
    </row>
    <row r="12" customFormat="false" ht="19.5" hidden="false" customHeight="true" outlineLevel="0" collapsed="false">
      <c r="A12" s="76" t="s">
        <v>798</v>
      </c>
      <c r="B12" s="8" t="n">
        <v>4</v>
      </c>
      <c r="C12" s="108" t="s">
        <v>791</v>
      </c>
      <c r="D12" s="24" t="s">
        <v>9</v>
      </c>
      <c r="E12" s="24"/>
      <c r="F12" s="109" t="s">
        <v>797</v>
      </c>
      <c r="G12" s="110" t="s">
        <v>484</v>
      </c>
    </row>
    <row r="13" customFormat="false" ht="19.5" hidden="false" customHeight="true" outlineLevel="0" collapsed="false">
      <c r="A13" s="74" t="s">
        <v>799</v>
      </c>
      <c r="B13" s="8" t="n">
        <v>5</v>
      </c>
      <c r="C13" s="108" t="s">
        <v>791</v>
      </c>
      <c r="D13" s="24" t="s">
        <v>9</v>
      </c>
      <c r="E13" s="24"/>
      <c r="F13" s="109" t="s">
        <v>792</v>
      </c>
      <c r="G13" s="110" t="s">
        <v>484</v>
      </c>
    </row>
    <row r="14" customFormat="false" ht="21.75" hidden="false" customHeight="true" outlineLevel="0" collapsed="false">
      <c r="A14" s="21" t="s">
        <v>800</v>
      </c>
      <c r="B14" s="21"/>
      <c r="C14" s="21"/>
      <c r="D14" s="21"/>
      <c r="E14" s="21"/>
      <c r="F14" s="21"/>
      <c r="G14" s="21"/>
    </row>
    <row r="15" customFormat="false" ht="19.5" hidden="false" customHeight="true" outlineLevel="0" collapsed="false">
      <c r="A15" s="74" t="s">
        <v>801</v>
      </c>
      <c r="B15" s="8" t="n">
        <v>7</v>
      </c>
      <c r="C15" s="108" t="s">
        <v>802</v>
      </c>
      <c r="D15" s="24" t="s">
        <v>9</v>
      </c>
      <c r="E15" s="24"/>
      <c r="F15" s="109" t="s">
        <v>792</v>
      </c>
      <c r="G15" s="110" t="s">
        <v>484</v>
      </c>
    </row>
    <row r="16" customFormat="false" ht="19.5" hidden="false" customHeight="true" outlineLevel="0" collapsed="false">
      <c r="A16" s="76" t="s">
        <v>803</v>
      </c>
      <c r="B16" s="8" t="n">
        <v>8</v>
      </c>
      <c r="C16" s="108" t="s">
        <v>804</v>
      </c>
      <c r="D16" s="24" t="s">
        <v>9</v>
      </c>
      <c r="E16" s="24"/>
      <c r="F16" s="109" t="s">
        <v>797</v>
      </c>
      <c r="G16" s="110" t="s">
        <v>484</v>
      </c>
    </row>
    <row r="17" customFormat="false" ht="19.5" hidden="false" customHeight="true" outlineLevel="0" collapsed="false">
      <c r="A17" s="74" t="s">
        <v>805</v>
      </c>
      <c r="B17" s="8" t="n">
        <v>8</v>
      </c>
      <c r="C17" s="108" t="s">
        <v>802</v>
      </c>
      <c r="D17" s="24" t="s">
        <v>9</v>
      </c>
      <c r="E17" s="24"/>
      <c r="F17" s="109" t="s">
        <v>797</v>
      </c>
      <c r="G17" s="110" t="s">
        <v>484</v>
      </c>
    </row>
    <row r="18" customFormat="false" ht="19.5" hidden="false" customHeight="true" outlineLevel="0" collapsed="false">
      <c r="A18" s="76" t="s">
        <v>806</v>
      </c>
      <c r="B18" s="8" t="n">
        <v>9</v>
      </c>
      <c r="C18" s="108" t="s">
        <v>791</v>
      </c>
      <c r="D18" s="24" t="s">
        <v>9</v>
      </c>
      <c r="E18" s="24"/>
      <c r="F18" s="109" t="s">
        <v>794</v>
      </c>
      <c r="G18" s="110" t="s">
        <v>484</v>
      </c>
    </row>
    <row r="19" customFormat="false" ht="19.5" hidden="false" customHeight="true" outlineLevel="0" collapsed="false">
      <c r="A19" s="74" t="s">
        <v>807</v>
      </c>
      <c r="B19" s="8" t="n">
        <v>9</v>
      </c>
      <c r="C19" s="108" t="s">
        <v>808</v>
      </c>
      <c r="D19" s="24" t="s">
        <v>9</v>
      </c>
      <c r="E19" s="24"/>
      <c r="F19" s="109" t="s">
        <v>797</v>
      </c>
      <c r="G19" s="110" t="s">
        <v>484</v>
      </c>
    </row>
    <row r="20" customFormat="false" ht="21.75" hidden="false" customHeight="true" outlineLevel="0" collapsed="false">
      <c r="A20" s="21" t="s">
        <v>809</v>
      </c>
      <c r="B20" s="21"/>
      <c r="C20" s="21"/>
      <c r="D20" s="21"/>
      <c r="E20" s="21"/>
      <c r="F20" s="21"/>
      <c r="G20" s="21"/>
    </row>
    <row r="21" customFormat="false" ht="19.5" hidden="false" customHeight="true" outlineLevel="0" collapsed="false">
      <c r="A21" s="74" t="s">
        <v>810</v>
      </c>
      <c r="B21" s="8" t="n">
        <v>12</v>
      </c>
      <c r="C21" s="108" t="s">
        <v>808</v>
      </c>
      <c r="D21" s="24" t="s">
        <v>9</v>
      </c>
      <c r="E21" s="24"/>
      <c r="F21" s="109" t="s">
        <v>811</v>
      </c>
      <c r="G21" s="110" t="s">
        <v>484</v>
      </c>
    </row>
    <row r="22" customFormat="false" ht="19.5" hidden="false" customHeight="true" outlineLevel="0" collapsed="false">
      <c r="A22" s="76" t="s">
        <v>812</v>
      </c>
      <c r="B22" s="8" t="n">
        <v>13</v>
      </c>
      <c r="C22" s="108" t="s">
        <v>813</v>
      </c>
      <c r="D22" s="24" t="s">
        <v>9</v>
      </c>
      <c r="E22" s="24"/>
      <c r="F22" s="109" t="s">
        <v>797</v>
      </c>
      <c r="G22" s="110" t="s">
        <v>484</v>
      </c>
    </row>
    <row r="23" customFormat="false" ht="19.5" hidden="false" customHeight="true" outlineLevel="0" collapsed="false">
      <c r="A23" s="74" t="s">
        <v>814</v>
      </c>
      <c r="B23" s="8" t="n">
        <v>14</v>
      </c>
      <c r="C23" s="108" t="s">
        <v>808</v>
      </c>
      <c r="D23" s="24" t="s">
        <v>9</v>
      </c>
      <c r="E23" s="24"/>
      <c r="F23" s="109" t="s">
        <v>794</v>
      </c>
      <c r="G23" s="110" t="s">
        <v>484</v>
      </c>
    </row>
    <row r="24" customFormat="false" ht="19.5" hidden="false" customHeight="true" outlineLevel="0" collapsed="false">
      <c r="A24" s="76" t="s">
        <v>815</v>
      </c>
      <c r="B24" s="8" t="n">
        <v>14</v>
      </c>
      <c r="C24" s="108" t="s">
        <v>808</v>
      </c>
      <c r="D24" s="24" t="s">
        <v>9</v>
      </c>
      <c r="E24" s="24"/>
      <c r="F24" s="109" t="s">
        <v>797</v>
      </c>
      <c r="G24" s="110" t="s">
        <v>484</v>
      </c>
    </row>
    <row r="25" customFormat="false" ht="21.75" hidden="false" customHeight="true" outlineLevel="0" collapsed="false">
      <c r="A25" s="21" t="s">
        <v>816</v>
      </c>
      <c r="B25" s="21"/>
      <c r="C25" s="21"/>
      <c r="D25" s="21"/>
      <c r="E25" s="21"/>
      <c r="F25" s="21"/>
      <c r="G25" s="21"/>
    </row>
    <row r="26" customFormat="false" ht="19.5" hidden="false" customHeight="true" outlineLevel="0" collapsed="false">
      <c r="A26" s="76" t="s">
        <v>817</v>
      </c>
      <c r="B26" s="8" t="n">
        <v>17</v>
      </c>
      <c r="C26" s="108" t="s">
        <v>808</v>
      </c>
      <c r="D26" s="24" t="s">
        <v>9</v>
      </c>
      <c r="E26" s="24"/>
      <c r="F26" s="109" t="s">
        <v>792</v>
      </c>
      <c r="G26" s="110" t="s">
        <v>484</v>
      </c>
    </row>
    <row r="27" customFormat="false" ht="19.5" hidden="false" customHeight="true" outlineLevel="0" collapsed="false">
      <c r="A27" s="74" t="s">
        <v>818</v>
      </c>
      <c r="B27" s="8" t="n">
        <v>18</v>
      </c>
      <c r="C27" s="108" t="s">
        <v>819</v>
      </c>
      <c r="D27" s="24" t="s">
        <v>9</v>
      </c>
      <c r="E27" s="24"/>
      <c r="F27" s="109" t="s">
        <v>794</v>
      </c>
      <c r="G27" s="110" t="s">
        <v>484</v>
      </c>
    </row>
    <row r="28" customFormat="false" ht="19.5" hidden="false" customHeight="true" outlineLevel="0" collapsed="false">
      <c r="A28" s="76" t="s">
        <v>820</v>
      </c>
      <c r="B28" s="8" t="n">
        <v>20</v>
      </c>
      <c r="C28" s="108" t="s">
        <v>791</v>
      </c>
      <c r="D28" s="24" t="s">
        <v>9</v>
      </c>
      <c r="E28" s="24"/>
      <c r="F28" s="109" t="s">
        <v>797</v>
      </c>
      <c r="G28" s="110" t="s">
        <v>484</v>
      </c>
    </row>
    <row r="29" customFormat="false" ht="19.5" hidden="false" customHeight="true" outlineLevel="0" collapsed="false">
      <c r="A29" s="74" t="s">
        <v>821</v>
      </c>
      <c r="B29" s="8" t="n">
        <v>20</v>
      </c>
      <c r="C29" s="108" t="s">
        <v>822</v>
      </c>
      <c r="D29" s="24" t="s">
        <v>9</v>
      </c>
      <c r="E29" s="24"/>
      <c r="F29" s="109" t="s">
        <v>794</v>
      </c>
      <c r="G29" s="110" t="s">
        <v>484</v>
      </c>
    </row>
  </sheetData>
  <mergeCells count="10">
    <mergeCell ref="A1:G1"/>
    <mergeCell ref="A2:G2"/>
    <mergeCell ref="A3:B3"/>
    <mergeCell ref="C3:D3"/>
    <mergeCell ref="E3:F3"/>
    <mergeCell ref="A5:H5"/>
    <mergeCell ref="A7:G7"/>
    <mergeCell ref="A14:G14"/>
    <mergeCell ref="A20:G20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5" min="2" style="1" width="10"/>
  </cols>
  <sheetData>
    <row r="1" customFormat="false" ht="36" hidden="false" customHeight="true" outlineLevel="0" collapsed="false">
      <c r="A1" s="15" t="s">
        <v>823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customFormat="false" ht="48" hidden="false" customHeight="true" outlineLevel="0" collapsed="false">
      <c r="A2" s="16" t="s">
        <v>824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21" t="s">
        <v>825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customFormat="false" ht="19.5" hidden="false" customHeight="true" outlineLevel="0" collapsed="false">
      <c r="A6" s="22" t="s">
        <v>760</v>
      </c>
      <c r="B6" s="22" t="s">
        <v>623</v>
      </c>
      <c r="C6" s="22" t="s">
        <v>624</v>
      </c>
      <c r="D6" s="22" t="s">
        <v>625</v>
      </c>
      <c r="E6" s="22" t="s">
        <v>626</v>
      </c>
      <c r="F6" s="22" t="s">
        <v>627</v>
      </c>
      <c r="G6" s="22" t="s">
        <v>628</v>
      </c>
      <c r="H6" s="22" t="s">
        <v>629</v>
      </c>
      <c r="I6" s="22" t="s">
        <v>630</v>
      </c>
      <c r="J6" s="22" t="s">
        <v>826</v>
      </c>
      <c r="K6" s="22" t="s">
        <v>827</v>
      </c>
      <c r="L6" s="22" t="s">
        <v>828</v>
      </c>
      <c r="M6" s="22" t="s">
        <v>829</v>
      </c>
      <c r="N6" s="22" t="s">
        <v>830</v>
      </c>
      <c r="O6" s="22" t="s">
        <v>831</v>
      </c>
    </row>
    <row r="7" customFormat="false" ht="19.5" hidden="false" customHeight="true" outlineLevel="0" collapsed="false">
      <c r="A7" s="101" t="s">
        <v>832</v>
      </c>
      <c r="B7" s="25"/>
      <c r="C7" s="32" t="n">
        <f aca="false">IFERROR(B19,0)</f>
        <v>0</v>
      </c>
      <c r="D7" s="32" t="n">
        <f aca="false">IFERROR(C19,0)</f>
        <v>0</v>
      </c>
      <c r="E7" s="32" t="n">
        <f aca="false">IFERROR(D19,0)</f>
        <v>0</v>
      </c>
      <c r="F7" s="32" t="n">
        <f aca="false">IFERROR(E19,0)</f>
        <v>0</v>
      </c>
      <c r="G7" s="32" t="n">
        <f aca="false">IFERROR(F19,0)</f>
        <v>0</v>
      </c>
      <c r="H7" s="32" t="n">
        <f aca="false">IFERROR(G19,0)</f>
        <v>0</v>
      </c>
      <c r="I7" s="32" t="n">
        <f aca="false">IFERROR(H19,0)</f>
        <v>0</v>
      </c>
      <c r="J7" s="32" t="n">
        <f aca="false">IFERROR(I19,0)</f>
        <v>0</v>
      </c>
      <c r="K7" s="32" t="n">
        <f aca="false">IFERROR(J19,0)</f>
        <v>0</v>
      </c>
      <c r="L7" s="32" t="n">
        <f aca="false">IFERROR(K19,0)</f>
        <v>0</v>
      </c>
      <c r="M7" s="32" t="n">
        <f aca="false">IFERROR(L19,0)</f>
        <v>0</v>
      </c>
      <c r="N7" s="32" t="n">
        <f aca="false">IFERROR(M19,0)</f>
        <v>0</v>
      </c>
      <c r="O7" s="32" t="n">
        <f aca="false">B7</f>
        <v>0</v>
      </c>
    </row>
    <row r="8" customFormat="false" ht="19.5" hidden="false" customHeight="true" outlineLevel="0" collapsed="false">
      <c r="A8" s="100" t="s">
        <v>833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32"/>
    </row>
    <row r="9" customFormat="false" ht="19.5" hidden="false" customHeight="true" outlineLevel="0" collapsed="false">
      <c r="A9" s="99" t="s">
        <v>834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32" t="n">
        <f aca="false">SUM(B9:N9)</f>
        <v>0</v>
      </c>
    </row>
    <row r="10" customFormat="false" ht="19.5" hidden="false" customHeight="true" outlineLevel="0" collapsed="false">
      <c r="A10" s="98" t="s">
        <v>835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32" t="n">
        <f aca="false">SUM(B10:N10)</f>
        <v>0</v>
      </c>
    </row>
    <row r="11" customFormat="false" ht="19.5" hidden="false" customHeight="true" outlineLevel="0" collapsed="false">
      <c r="A11" s="99" t="s">
        <v>836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32" t="n">
        <f aca="false">SUM(B11:N11)</f>
        <v>0</v>
      </c>
    </row>
    <row r="12" customFormat="false" ht="19.5" hidden="false" customHeight="true" outlineLevel="0" collapsed="false">
      <c r="A12" s="98" t="s">
        <v>837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32" t="n">
        <f aca="false">SUM(B12:N12)</f>
        <v>0</v>
      </c>
    </row>
    <row r="13" customFormat="false" ht="19.5" hidden="false" customHeight="true" outlineLevel="0" collapsed="false">
      <c r="A13" s="100" t="s">
        <v>838</v>
      </c>
      <c r="B13" s="32" t="n">
        <f aca="false">IFERROR(SUM(B9:B12),0)</f>
        <v>0</v>
      </c>
      <c r="C13" s="32" t="n">
        <f aca="false">IFERROR(SUM(C9:C12),0)</f>
        <v>0</v>
      </c>
      <c r="D13" s="32" t="n">
        <f aca="false">IFERROR(SUM(D9:D12),0)</f>
        <v>0</v>
      </c>
      <c r="E13" s="32" t="n">
        <f aca="false">IFERROR(SUM(E9:E12),0)</f>
        <v>0</v>
      </c>
      <c r="F13" s="32" t="n">
        <f aca="false">IFERROR(SUM(F9:F12),0)</f>
        <v>0</v>
      </c>
      <c r="G13" s="32" t="n">
        <f aca="false">IFERROR(SUM(G9:G12),0)</f>
        <v>0</v>
      </c>
      <c r="H13" s="32" t="n">
        <f aca="false">IFERROR(SUM(H9:H12),0)</f>
        <v>0</v>
      </c>
      <c r="I13" s="32" t="n">
        <f aca="false">IFERROR(SUM(I9:I12),0)</f>
        <v>0</v>
      </c>
      <c r="J13" s="32" t="n">
        <f aca="false">IFERROR(SUM(J9:J12),0)</f>
        <v>0</v>
      </c>
      <c r="K13" s="32" t="n">
        <f aca="false">IFERROR(SUM(K9:K12),0)</f>
        <v>0</v>
      </c>
      <c r="L13" s="32" t="n">
        <f aca="false">IFERROR(SUM(L9:L12),0)</f>
        <v>0</v>
      </c>
      <c r="M13" s="32" t="n">
        <f aca="false">IFERROR(SUM(M9:M12),0)</f>
        <v>0</v>
      </c>
      <c r="N13" s="32" t="n">
        <f aca="false">IFERROR(SUM(N9:N12),0)</f>
        <v>0</v>
      </c>
      <c r="O13" s="32"/>
    </row>
    <row r="14" customFormat="false" ht="19.5" hidden="false" customHeight="true" outlineLevel="0" collapsed="false">
      <c r="A14" s="102" t="s">
        <v>839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32"/>
    </row>
    <row r="15" customFormat="false" ht="19.5" hidden="false" customHeight="true" outlineLevel="0" collapsed="false">
      <c r="A15" s="99" t="s">
        <v>840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32" t="n">
        <f aca="false">SUM(B15:N15)</f>
        <v>0</v>
      </c>
    </row>
    <row r="16" customFormat="false" ht="19.5" hidden="false" customHeight="true" outlineLevel="0" collapsed="false">
      <c r="A16" s="98" t="s">
        <v>841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32" t="n">
        <f aca="false">SUM(B16:N16)</f>
        <v>0</v>
      </c>
    </row>
    <row r="17" customFormat="false" ht="19.5" hidden="false" customHeight="true" outlineLevel="0" collapsed="false">
      <c r="A17" s="99" t="s">
        <v>842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32" t="n">
        <f aca="false">SUM(B17:N17)</f>
        <v>0</v>
      </c>
    </row>
    <row r="18" customFormat="false" ht="19.5" hidden="false" customHeight="true" outlineLevel="0" collapsed="false">
      <c r="A18" s="98" t="s">
        <v>843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32" t="n">
        <f aca="false">SUM(B18:N18)</f>
        <v>0</v>
      </c>
    </row>
    <row r="19" customFormat="false" ht="19.5" hidden="false" customHeight="true" outlineLevel="0" collapsed="false">
      <c r="A19" s="99" t="s">
        <v>844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32" t="n">
        <f aca="false">SUM(B19:N19)</f>
        <v>0</v>
      </c>
    </row>
    <row r="20" customFormat="false" ht="19.5" hidden="false" customHeight="true" outlineLevel="0" collapsed="false">
      <c r="A20" s="98" t="s">
        <v>845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32" t="n">
        <f aca="false">SUM(B20:N20)</f>
        <v>0</v>
      </c>
    </row>
    <row r="21" customFormat="false" ht="19.5" hidden="false" customHeight="true" outlineLevel="0" collapsed="false">
      <c r="A21" s="99" t="s">
        <v>846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32" t="n">
        <f aca="false">SUM(B21:N21)</f>
        <v>0</v>
      </c>
    </row>
    <row r="22" customFormat="false" ht="19.5" hidden="false" customHeight="true" outlineLevel="0" collapsed="false">
      <c r="A22" s="98" t="s">
        <v>847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32" t="n">
        <f aca="false">SUM(B22:N22)</f>
        <v>0</v>
      </c>
    </row>
    <row r="23" customFormat="false" ht="19.5" hidden="false" customHeight="true" outlineLevel="0" collapsed="false">
      <c r="A23" s="102" t="s">
        <v>848</v>
      </c>
      <c r="B23" s="112" t="n">
        <f aca="false">IFERROR(SUM(B15:B22),0)</f>
        <v>0</v>
      </c>
      <c r="C23" s="112" t="n">
        <f aca="false">IFERROR(SUM(C15:C22),0)</f>
        <v>0</v>
      </c>
      <c r="D23" s="112" t="n">
        <f aca="false">IFERROR(SUM(D15:D22),0)</f>
        <v>0</v>
      </c>
      <c r="E23" s="112" t="n">
        <f aca="false">IFERROR(SUM(E15:E22),0)</f>
        <v>0</v>
      </c>
      <c r="F23" s="112" t="n">
        <f aca="false">IFERROR(SUM(F15:F22),0)</f>
        <v>0</v>
      </c>
      <c r="G23" s="112" t="n">
        <f aca="false">IFERROR(SUM(G15:G22),0)</f>
        <v>0</v>
      </c>
      <c r="H23" s="112" t="n">
        <f aca="false">IFERROR(SUM(H15:H22),0)</f>
        <v>0</v>
      </c>
      <c r="I23" s="112" t="n">
        <f aca="false">IFERROR(SUM(I15:I22),0)</f>
        <v>0</v>
      </c>
      <c r="J23" s="112" t="n">
        <f aca="false">IFERROR(SUM(J15:J22),0)</f>
        <v>0</v>
      </c>
      <c r="K23" s="112" t="n">
        <f aca="false">IFERROR(SUM(K15:K22),0)</f>
        <v>0</v>
      </c>
      <c r="L23" s="112" t="n">
        <f aca="false">IFERROR(SUM(L15:L22),0)</f>
        <v>0</v>
      </c>
      <c r="M23" s="112" t="n">
        <f aca="false">IFERROR(SUM(M15:M22),0)</f>
        <v>0</v>
      </c>
      <c r="N23" s="112" t="n">
        <f aca="false">IFERROR(SUM(N15:N22),0)</f>
        <v>0</v>
      </c>
      <c r="O23" s="32"/>
    </row>
    <row r="24" customFormat="false" ht="19.5" hidden="false" customHeight="true" outlineLevel="0" collapsed="false">
      <c r="A24" s="113" t="s">
        <v>849</v>
      </c>
      <c r="B24" s="111" t="n">
        <f aca="false">IFERROR(B13-B23,0)</f>
        <v>0</v>
      </c>
      <c r="C24" s="111" t="n">
        <f aca="false">IFERROR(C13-C23,0)</f>
        <v>0</v>
      </c>
      <c r="D24" s="111" t="n">
        <f aca="false">IFERROR(D13-D23,0)</f>
        <v>0</v>
      </c>
      <c r="E24" s="111" t="n">
        <f aca="false">IFERROR(E13-E23,0)</f>
        <v>0</v>
      </c>
      <c r="F24" s="111" t="n">
        <f aca="false">IFERROR(F13-F23,0)</f>
        <v>0</v>
      </c>
      <c r="G24" s="111" t="n">
        <f aca="false">IFERROR(G13-G23,0)</f>
        <v>0</v>
      </c>
      <c r="H24" s="111" t="n">
        <f aca="false">IFERROR(H13-H23,0)</f>
        <v>0</v>
      </c>
      <c r="I24" s="111" t="n">
        <f aca="false">IFERROR(I13-I23,0)</f>
        <v>0</v>
      </c>
      <c r="J24" s="111" t="n">
        <f aca="false">IFERROR(J13-J23,0)</f>
        <v>0</v>
      </c>
      <c r="K24" s="111" t="n">
        <f aca="false">IFERROR(K13-K23,0)</f>
        <v>0</v>
      </c>
      <c r="L24" s="111" t="n">
        <f aca="false">IFERROR(L13-L23,0)</f>
        <v>0</v>
      </c>
      <c r="M24" s="111" t="n">
        <f aca="false">IFERROR(M13-M23,0)</f>
        <v>0</v>
      </c>
      <c r="N24" s="111" t="n">
        <f aca="false">IFERROR(N13-N23,0)</f>
        <v>0</v>
      </c>
      <c r="O24" s="32"/>
    </row>
    <row r="25" customFormat="false" ht="19.5" hidden="false" customHeight="true" outlineLevel="0" collapsed="false">
      <c r="A25" s="101" t="s">
        <v>850</v>
      </c>
      <c r="B25" s="32" t="n">
        <f aca="false">IFERROR(B7+B24,0)</f>
        <v>0</v>
      </c>
      <c r="C25" s="32" t="n">
        <f aca="false">IFERROR(C7+C24,0)</f>
        <v>0</v>
      </c>
      <c r="D25" s="32" t="n">
        <f aca="false">IFERROR(D7+D24,0)</f>
        <v>0</v>
      </c>
      <c r="E25" s="32" t="n">
        <f aca="false">IFERROR(E7+E24,0)</f>
        <v>0</v>
      </c>
      <c r="F25" s="32" t="n">
        <f aca="false">IFERROR(F7+F24,0)</f>
        <v>0</v>
      </c>
      <c r="G25" s="32" t="n">
        <f aca="false">IFERROR(G7+G24,0)</f>
        <v>0</v>
      </c>
      <c r="H25" s="32" t="n">
        <f aca="false">IFERROR(H7+H24,0)</f>
        <v>0</v>
      </c>
      <c r="I25" s="32" t="n">
        <f aca="false">IFERROR(I7+I24,0)</f>
        <v>0</v>
      </c>
      <c r="J25" s="32" t="n">
        <f aca="false">IFERROR(J7+J24,0)</f>
        <v>0</v>
      </c>
      <c r="K25" s="32" t="n">
        <f aca="false">IFERROR(K7+K24,0)</f>
        <v>0</v>
      </c>
      <c r="L25" s="32" t="n">
        <f aca="false">IFERROR(L7+L24,0)</f>
        <v>0</v>
      </c>
      <c r="M25" s="32" t="n">
        <f aca="false">IFERROR(M7+M24,0)</f>
        <v>0</v>
      </c>
      <c r="N25" s="32" t="n">
        <f aca="false">IFERROR(N7+N24,0)</f>
        <v>0</v>
      </c>
      <c r="O25" s="32"/>
    </row>
    <row r="26" customFormat="false" ht="19.5" hidden="false" customHeight="true" outlineLevel="0" collapsed="false">
      <c r="A26" s="113" t="s">
        <v>851</v>
      </c>
      <c r="B26" s="111" t="str">
        <f aca="false">IF(B25&lt;B23*8,"WARNING","OK")</f>
        <v>OK</v>
      </c>
      <c r="C26" s="111" t="str">
        <f aca="false">IF(C25&lt;C23*8,"WARNING","OK")</f>
        <v>OK</v>
      </c>
      <c r="D26" s="111" t="str">
        <f aca="false">IF(D25&lt;D23*8,"WARNING","OK")</f>
        <v>OK</v>
      </c>
      <c r="E26" s="111" t="str">
        <f aca="false">IF(E25&lt;E23*8,"WARNING","OK")</f>
        <v>OK</v>
      </c>
      <c r="F26" s="111" t="str">
        <f aca="false">IF(F25&lt;F23*8,"WARNING","OK")</f>
        <v>OK</v>
      </c>
      <c r="G26" s="111" t="str">
        <f aca="false">IF(G25&lt;G23*8,"WARNING","OK")</f>
        <v>OK</v>
      </c>
      <c r="H26" s="111" t="str">
        <f aca="false">IF(H25&lt;H23*8,"WARNING","OK")</f>
        <v>OK</v>
      </c>
      <c r="I26" s="111" t="str">
        <f aca="false">IF(I25&lt;I23*8,"WARNING","OK")</f>
        <v>OK</v>
      </c>
      <c r="J26" s="111" t="str">
        <f aca="false">IF(J25&lt;J23*8,"WARNING","OK")</f>
        <v>OK</v>
      </c>
      <c r="K26" s="111" t="str">
        <f aca="false">IF(K25&lt;K23*8,"WARNING","OK")</f>
        <v>OK</v>
      </c>
      <c r="L26" s="111" t="str">
        <f aca="false">IF(L25&lt;L23*8,"WARNING","OK")</f>
        <v>OK</v>
      </c>
      <c r="M26" s="111" t="str">
        <f aca="false">IF(M25&lt;M23*8,"WARNING","OK")</f>
        <v>OK</v>
      </c>
      <c r="N26" s="111" t="str">
        <f aca="false">IF(N25&lt;N23*8,"WARNING","OK")</f>
        <v>OK</v>
      </c>
      <c r="O26" s="32"/>
    </row>
  </sheetData>
  <mergeCells count="6">
    <mergeCell ref="A1:O1"/>
    <mergeCell ref="A2:O2"/>
    <mergeCell ref="A3:B3"/>
    <mergeCell ref="C3:D3"/>
    <mergeCell ref="E3:F3"/>
    <mergeCell ref="A5:O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2"/>
  </cols>
  <sheetData>
    <row r="1" customFormat="false" ht="36" hidden="false" customHeight="true" outlineLevel="0" collapsed="false">
      <c r="A1" s="15" t="s">
        <v>852</v>
      </c>
      <c r="B1" s="15"/>
      <c r="C1" s="15"/>
      <c r="D1" s="15"/>
      <c r="E1" s="15"/>
      <c r="F1" s="15"/>
      <c r="G1" s="15"/>
    </row>
    <row r="2" customFormat="false" ht="48" hidden="false" customHeight="true" outlineLevel="0" collapsed="false">
      <c r="A2" s="16" t="s">
        <v>853</v>
      </c>
      <c r="B2" s="16"/>
      <c r="C2" s="16"/>
      <c r="D2" s="16"/>
      <c r="E2" s="16"/>
      <c r="F2" s="16"/>
      <c r="G2" s="16"/>
    </row>
    <row r="3" customFormat="false" ht="15.75" hidden="false" customHeight="true" outlineLevel="0" collapsed="false">
      <c r="A3" s="17" t="s">
        <v>62</v>
      </c>
      <c r="B3" s="17"/>
      <c r="C3" s="18" t="s">
        <v>63</v>
      </c>
      <c r="D3" s="18"/>
      <c r="E3" s="19" t="s">
        <v>64</v>
      </c>
      <c r="F3" s="19"/>
    </row>
    <row r="4" customFormat="false" ht="6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36" hidden="false" customHeight="true" outlineLevel="0" collapsed="false">
      <c r="A5" s="22" t="s">
        <v>854</v>
      </c>
      <c r="B5" s="22" t="s">
        <v>855</v>
      </c>
      <c r="C5" s="22" t="s">
        <v>479</v>
      </c>
      <c r="D5" s="22" t="s">
        <v>856</v>
      </c>
      <c r="E5" s="22" t="s">
        <v>857</v>
      </c>
      <c r="F5" s="22" t="s">
        <v>858</v>
      </c>
      <c r="G5" s="22" t="s">
        <v>233</v>
      </c>
    </row>
    <row r="6" customFormat="false" ht="21.75" hidden="false" customHeight="true" outlineLevel="0" collapsed="false">
      <c r="A6" s="21" t="s">
        <v>859</v>
      </c>
      <c r="B6" s="21"/>
      <c r="C6" s="21"/>
      <c r="D6" s="21"/>
      <c r="E6" s="21"/>
      <c r="F6" s="21"/>
      <c r="G6" s="21"/>
    </row>
    <row r="7" customFormat="false" ht="21.75" hidden="false" customHeight="true" outlineLevel="0" collapsed="false">
      <c r="A7" s="114" t="s">
        <v>860</v>
      </c>
      <c r="B7" s="24"/>
      <c r="C7" s="24"/>
      <c r="D7" s="24"/>
      <c r="E7" s="54"/>
      <c r="F7" s="54"/>
      <c r="G7" s="55" t="s">
        <v>484</v>
      </c>
    </row>
    <row r="8" customFormat="false" ht="21.75" hidden="false" customHeight="true" outlineLevel="0" collapsed="false">
      <c r="A8" s="115" t="s">
        <v>861</v>
      </c>
      <c r="B8" s="24"/>
      <c r="C8" s="24"/>
      <c r="D8" s="24"/>
      <c r="E8" s="54"/>
      <c r="F8" s="54"/>
      <c r="G8" s="55" t="s">
        <v>484</v>
      </c>
    </row>
    <row r="9" customFormat="false" ht="21.75" hidden="false" customHeight="true" outlineLevel="0" collapsed="false">
      <c r="A9" s="114" t="s">
        <v>862</v>
      </c>
      <c r="B9" s="24"/>
      <c r="C9" s="24"/>
      <c r="D9" s="24"/>
      <c r="E9" s="54"/>
      <c r="F9" s="54"/>
      <c r="G9" s="55" t="s">
        <v>484</v>
      </c>
    </row>
    <row r="10" customFormat="false" ht="21.75" hidden="false" customHeight="true" outlineLevel="0" collapsed="false">
      <c r="A10" s="115" t="s">
        <v>863</v>
      </c>
      <c r="B10" s="24"/>
      <c r="C10" s="24"/>
      <c r="D10" s="24"/>
      <c r="E10" s="54"/>
      <c r="F10" s="54"/>
      <c r="G10" s="55" t="s">
        <v>484</v>
      </c>
    </row>
    <row r="11" customFormat="false" ht="21.75" hidden="false" customHeight="true" outlineLevel="0" collapsed="false">
      <c r="A11" s="114" t="s">
        <v>864</v>
      </c>
      <c r="B11" s="24"/>
      <c r="C11" s="24"/>
      <c r="D11" s="24"/>
      <c r="E11" s="54"/>
      <c r="F11" s="54"/>
      <c r="G11" s="55" t="s">
        <v>484</v>
      </c>
    </row>
    <row r="12" customFormat="false" ht="21.75" hidden="false" customHeight="true" outlineLevel="0" collapsed="false">
      <c r="A12" s="21" t="s">
        <v>865</v>
      </c>
      <c r="B12" s="21"/>
      <c r="C12" s="21"/>
      <c r="D12" s="21"/>
      <c r="E12" s="21"/>
      <c r="F12" s="21"/>
      <c r="G12" s="21"/>
    </row>
    <row r="13" customFormat="false" ht="21.75" hidden="false" customHeight="true" outlineLevel="0" collapsed="false">
      <c r="A13" s="114" t="s">
        <v>866</v>
      </c>
      <c r="B13" s="24"/>
      <c r="C13" s="24"/>
      <c r="D13" s="24"/>
      <c r="E13" s="54"/>
      <c r="F13" s="54"/>
      <c r="G13" s="55" t="s">
        <v>484</v>
      </c>
    </row>
    <row r="14" customFormat="false" ht="21.75" hidden="false" customHeight="true" outlineLevel="0" collapsed="false">
      <c r="A14" s="115" t="s">
        <v>867</v>
      </c>
      <c r="B14" s="24"/>
      <c r="C14" s="24"/>
      <c r="D14" s="24"/>
      <c r="E14" s="54"/>
      <c r="F14" s="54"/>
      <c r="G14" s="55" t="s">
        <v>484</v>
      </c>
    </row>
    <row r="15" customFormat="false" ht="21.75" hidden="false" customHeight="true" outlineLevel="0" collapsed="false">
      <c r="A15" s="114" t="s">
        <v>868</v>
      </c>
      <c r="B15" s="24"/>
      <c r="C15" s="24"/>
      <c r="D15" s="24"/>
      <c r="E15" s="54"/>
      <c r="F15" s="54"/>
      <c r="G15" s="55" t="s">
        <v>484</v>
      </c>
    </row>
    <row r="16" customFormat="false" ht="21.75" hidden="false" customHeight="true" outlineLevel="0" collapsed="false">
      <c r="A16" s="115" t="s">
        <v>869</v>
      </c>
      <c r="B16" s="24"/>
      <c r="C16" s="24"/>
      <c r="D16" s="24"/>
      <c r="E16" s="54"/>
      <c r="F16" s="54"/>
      <c r="G16" s="55" t="s">
        <v>484</v>
      </c>
    </row>
    <row r="17" customFormat="false" ht="21.75" hidden="false" customHeight="true" outlineLevel="0" collapsed="false">
      <c r="A17" s="114" t="s">
        <v>870</v>
      </c>
      <c r="B17" s="24"/>
      <c r="C17" s="24"/>
      <c r="D17" s="24"/>
      <c r="E17" s="54"/>
      <c r="F17" s="54"/>
      <c r="G17" s="55" t="s">
        <v>484</v>
      </c>
    </row>
    <row r="18" customFormat="false" ht="21.75" hidden="false" customHeight="true" outlineLevel="0" collapsed="false">
      <c r="A18" s="21" t="s">
        <v>871</v>
      </c>
      <c r="B18" s="21"/>
      <c r="C18" s="21"/>
      <c r="D18" s="21"/>
      <c r="E18" s="21"/>
      <c r="F18" s="21"/>
      <c r="G18" s="21"/>
    </row>
    <row r="19" customFormat="false" ht="21.75" hidden="false" customHeight="true" outlineLevel="0" collapsed="false">
      <c r="A19" s="114" t="s">
        <v>872</v>
      </c>
      <c r="B19" s="24"/>
      <c r="C19" s="24"/>
      <c r="D19" s="24"/>
      <c r="E19" s="54"/>
      <c r="F19" s="54"/>
      <c r="G19" s="55" t="s">
        <v>484</v>
      </c>
    </row>
    <row r="20" customFormat="false" ht="21.75" hidden="false" customHeight="true" outlineLevel="0" collapsed="false">
      <c r="A20" s="115" t="s">
        <v>873</v>
      </c>
      <c r="B20" s="24"/>
      <c r="C20" s="24"/>
      <c r="D20" s="24"/>
      <c r="E20" s="54"/>
      <c r="F20" s="54"/>
      <c r="G20" s="55" t="s">
        <v>484</v>
      </c>
    </row>
    <row r="21" customFormat="false" ht="21.75" hidden="false" customHeight="true" outlineLevel="0" collapsed="false">
      <c r="A21" s="114" t="s">
        <v>874</v>
      </c>
      <c r="B21" s="24"/>
      <c r="C21" s="24"/>
      <c r="D21" s="24"/>
      <c r="E21" s="54"/>
      <c r="F21" s="54"/>
      <c r="G21" s="55" t="s">
        <v>484</v>
      </c>
    </row>
    <row r="22" customFormat="false" ht="21.75" hidden="false" customHeight="true" outlineLevel="0" collapsed="false">
      <c r="A22" s="115" t="s">
        <v>875</v>
      </c>
      <c r="B22" s="24"/>
      <c r="C22" s="24"/>
      <c r="D22" s="24"/>
      <c r="E22" s="54"/>
      <c r="F22" s="54"/>
      <c r="G22" s="55" t="s">
        <v>484</v>
      </c>
    </row>
    <row r="23" customFormat="false" ht="21.75" hidden="false" customHeight="true" outlineLevel="0" collapsed="false">
      <c r="A23" s="21" t="s">
        <v>876</v>
      </c>
      <c r="B23" s="21"/>
      <c r="C23" s="21"/>
      <c r="D23" s="21"/>
      <c r="E23" s="21"/>
      <c r="F23" s="21"/>
      <c r="G23" s="21"/>
    </row>
    <row r="24" customFormat="false" ht="21.75" hidden="false" customHeight="true" outlineLevel="0" collapsed="false">
      <c r="A24" s="115" t="s">
        <v>877</v>
      </c>
      <c r="B24" s="24"/>
      <c r="C24" s="24"/>
      <c r="D24" s="24"/>
      <c r="E24" s="54"/>
      <c r="F24" s="54"/>
      <c r="G24" s="55" t="s">
        <v>484</v>
      </c>
    </row>
    <row r="25" customFormat="false" ht="21.75" hidden="false" customHeight="true" outlineLevel="0" collapsed="false">
      <c r="A25" s="114" t="s">
        <v>878</v>
      </c>
      <c r="B25" s="24"/>
      <c r="C25" s="24"/>
      <c r="D25" s="24"/>
      <c r="E25" s="54"/>
      <c r="F25" s="54"/>
      <c r="G25" s="55" t="s">
        <v>484</v>
      </c>
    </row>
    <row r="26" customFormat="false" ht="21.75" hidden="false" customHeight="true" outlineLevel="0" collapsed="false">
      <c r="A26" s="115" t="s">
        <v>879</v>
      </c>
      <c r="B26" s="24"/>
      <c r="C26" s="24"/>
      <c r="D26" s="24"/>
      <c r="E26" s="54"/>
      <c r="F26" s="54"/>
      <c r="G26" s="55" t="s">
        <v>484</v>
      </c>
    </row>
    <row r="27" customFormat="false" ht="21.75" hidden="false" customHeight="true" outlineLevel="0" collapsed="false">
      <c r="A27" s="114" t="s">
        <v>880</v>
      </c>
      <c r="B27" s="24"/>
      <c r="C27" s="24"/>
      <c r="D27" s="24"/>
      <c r="E27" s="54"/>
      <c r="F27" s="54"/>
      <c r="G27" s="55" t="s">
        <v>484</v>
      </c>
    </row>
    <row r="28" customFormat="false" ht="21.75" hidden="false" customHeight="true" outlineLevel="0" collapsed="false">
      <c r="A28" s="21" t="s">
        <v>881</v>
      </c>
      <c r="B28" s="21"/>
      <c r="C28" s="21"/>
      <c r="D28" s="21"/>
      <c r="E28" s="21"/>
      <c r="F28" s="21"/>
      <c r="G28" s="21"/>
    </row>
    <row r="29" customFormat="false" ht="21.75" hidden="false" customHeight="true" outlineLevel="0" collapsed="false">
      <c r="A29" s="114" t="s">
        <v>882</v>
      </c>
      <c r="B29" s="24"/>
      <c r="C29" s="24"/>
      <c r="D29" s="24"/>
      <c r="E29" s="54"/>
      <c r="F29" s="54"/>
      <c r="G29" s="55" t="s">
        <v>484</v>
      </c>
    </row>
    <row r="30" customFormat="false" ht="21.75" hidden="false" customHeight="true" outlineLevel="0" collapsed="false">
      <c r="A30" s="115" t="s">
        <v>883</v>
      </c>
      <c r="B30" s="24"/>
      <c r="C30" s="24"/>
      <c r="D30" s="24"/>
      <c r="E30" s="54"/>
      <c r="F30" s="54"/>
      <c r="G30" s="55" t="s">
        <v>484</v>
      </c>
    </row>
    <row r="31" customFormat="false" ht="21.75" hidden="false" customHeight="true" outlineLevel="0" collapsed="false">
      <c r="A31" s="114" t="s">
        <v>884</v>
      </c>
      <c r="B31" s="24"/>
      <c r="C31" s="24"/>
      <c r="D31" s="24"/>
      <c r="E31" s="54"/>
      <c r="F31" s="54"/>
      <c r="G31" s="55" t="s">
        <v>484</v>
      </c>
    </row>
    <row r="32" customFormat="false" ht="21.75" hidden="false" customHeight="true" outlineLevel="0" collapsed="false">
      <c r="A32" s="115" t="s">
        <v>885</v>
      </c>
      <c r="B32" s="24"/>
      <c r="C32" s="24"/>
      <c r="D32" s="24"/>
      <c r="E32" s="54"/>
      <c r="F32" s="54"/>
      <c r="G32" s="55" t="s">
        <v>484</v>
      </c>
    </row>
    <row r="33" customFormat="false" ht="21.75" hidden="false" customHeight="true" outlineLevel="0" collapsed="false">
      <c r="A33" s="21" t="s">
        <v>886</v>
      </c>
      <c r="B33" s="21"/>
      <c r="C33" s="21"/>
      <c r="D33" s="21"/>
      <c r="E33" s="21"/>
      <c r="F33" s="21"/>
      <c r="G33" s="21"/>
    </row>
    <row r="34" customFormat="false" ht="21.75" hidden="false" customHeight="true" outlineLevel="0" collapsed="false">
      <c r="A34" s="115" t="s">
        <v>887</v>
      </c>
      <c r="B34" s="24"/>
      <c r="C34" s="24"/>
      <c r="D34" s="24"/>
      <c r="E34" s="54"/>
      <c r="F34" s="54"/>
      <c r="G34" s="55" t="s">
        <v>484</v>
      </c>
    </row>
    <row r="35" customFormat="false" ht="21.75" hidden="false" customHeight="true" outlineLevel="0" collapsed="false">
      <c r="A35" s="114" t="s">
        <v>888</v>
      </c>
      <c r="B35" s="24"/>
      <c r="C35" s="24"/>
      <c r="D35" s="24"/>
      <c r="E35" s="54"/>
      <c r="F35" s="54"/>
      <c r="G35" s="55" t="s">
        <v>484</v>
      </c>
    </row>
    <row r="36" customFormat="false" ht="21.75" hidden="false" customHeight="true" outlineLevel="0" collapsed="false">
      <c r="A36" s="115" t="s">
        <v>889</v>
      </c>
      <c r="B36" s="24"/>
      <c r="C36" s="24"/>
      <c r="D36" s="24"/>
      <c r="E36" s="54"/>
      <c r="F36" s="54"/>
      <c r="G36" s="55" t="s">
        <v>484</v>
      </c>
    </row>
    <row r="37" customFormat="false" ht="21.75" hidden="false" customHeight="true" outlineLevel="0" collapsed="false">
      <c r="A37" s="114" t="s">
        <v>890</v>
      </c>
      <c r="B37" s="24"/>
      <c r="C37" s="24"/>
      <c r="D37" s="24"/>
      <c r="E37" s="54"/>
      <c r="F37" s="54"/>
      <c r="G37" s="55" t="s">
        <v>484</v>
      </c>
    </row>
    <row r="38" customFormat="false" ht="21.75" hidden="false" customHeight="true" outlineLevel="0" collapsed="false">
      <c r="A38" s="21" t="s">
        <v>891</v>
      </c>
      <c r="B38" s="21"/>
      <c r="C38" s="21"/>
      <c r="D38" s="21"/>
      <c r="E38" s="21"/>
      <c r="F38" s="21"/>
      <c r="G38" s="21"/>
    </row>
    <row r="39" customFormat="false" ht="21.75" hidden="false" customHeight="true" outlineLevel="0" collapsed="false">
      <c r="A39" s="114" t="s">
        <v>892</v>
      </c>
      <c r="B39" s="24"/>
      <c r="C39" s="24"/>
      <c r="D39" s="24"/>
      <c r="E39" s="54"/>
      <c r="F39" s="54"/>
      <c r="G39" s="55" t="s">
        <v>484</v>
      </c>
    </row>
    <row r="40" customFormat="false" ht="21.75" hidden="false" customHeight="true" outlineLevel="0" collapsed="false">
      <c r="A40" s="115" t="s">
        <v>893</v>
      </c>
      <c r="B40" s="24"/>
      <c r="C40" s="24"/>
      <c r="D40" s="24"/>
      <c r="E40" s="54"/>
      <c r="F40" s="54"/>
      <c r="G40" s="55" t="s">
        <v>484</v>
      </c>
    </row>
    <row r="41" customFormat="false" ht="21.75" hidden="false" customHeight="true" outlineLevel="0" collapsed="false">
      <c r="A41" s="114" t="s">
        <v>894</v>
      </c>
      <c r="B41" s="24"/>
      <c r="C41" s="24"/>
      <c r="D41" s="24"/>
      <c r="E41" s="54"/>
      <c r="F41" s="54"/>
      <c r="G41" s="55" t="s">
        <v>484</v>
      </c>
    </row>
    <row r="42" customFormat="false" ht="21.75" hidden="false" customHeight="true" outlineLevel="0" collapsed="false">
      <c r="A42" s="115" t="s">
        <v>895</v>
      </c>
      <c r="B42" s="24"/>
      <c r="C42" s="24"/>
      <c r="D42" s="24"/>
      <c r="E42" s="54"/>
      <c r="F42" s="54"/>
      <c r="G42" s="55" t="s">
        <v>484</v>
      </c>
    </row>
    <row r="44" customFormat="false" ht="21.75" hidden="false" customHeight="true" outlineLevel="0" collapsed="false">
      <c r="A44" s="84" t="s">
        <v>896</v>
      </c>
      <c r="B44" s="84"/>
      <c r="C44" s="84"/>
      <c r="D44" s="84"/>
      <c r="E44" s="84"/>
      <c r="F44" s="84"/>
      <c r="G44" s="84"/>
    </row>
    <row r="45" customFormat="false" ht="21.75" hidden="false" customHeight="true" outlineLevel="0" collapsed="false">
      <c r="A45" s="59" t="s">
        <v>897</v>
      </c>
      <c r="B45" s="35" t="n">
        <f aca="false">COUNTIF(B6:B43,"Y")</f>
        <v>0</v>
      </c>
      <c r="C45" s="35" t="n">
        <f aca="false">COUNTIF(B6:B43,"Partial")</f>
        <v>0</v>
      </c>
      <c r="D45" s="35" t="n">
        <f aca="false">COUNTIF(B6:B43,"N")</f>
        <v>0</v>
      </c>
      <c r="E45" s="116" t="n">
        <f aca="false">IFERROR(COUNTIF(B6:B43,"Y")/30,0)</f>
        <v>0</v>
      </c>
    </row>
  </sheetData>
  <mergeCells count="13">
    <mergeCell ref="A1:G1"/>
    <mergeCell ref="A2:G2"/>
    <mergeCell ref="A3:B3"/>
    <mergeCell ref="C3:D3"/>
    <mergeCell ref="E3:F3"/>
    <mergeCell ref="A6:G6"/>
    <mergeCell ref="A12:G12"/>
    <mergeCell ref="A18:G18"/>
    <mergeCell ref="A23:G23"/>
    <mergeCell ref="A28:G28"/>
    <mergeCell ref="A33:G33"/>
    <mergeCell ref="A38:G38"/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2026-03-08T22:30:00Z</dcterms:created>
  <dc:creator>openpyxl</dc:creator>
  <dc:description/>
  <dc:language>en-US</dc:language>
  <cp:lastModifiedBy/>
  <dcterms:modified xsi:type="dcterms:W3CDTF">2026-03-08T22:31:22Z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