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003 Cash Runway" sheetId="2" state="visible" r:id="rId2"/>
    <sheet xmlns:r="http://schemas.openxmlformats.org/officeDocument/2006/relationships" name="005 Venture Debt" sheetId="3" state="visible" r:id="rId3"/>
    <sheet xmlns:r="http://schemas.openxmlformats.org/officeDocument/2006/relationships" name="006 SAFE &amp; Conv Notes" sheetId="4" state="visible" r:id="rId4"/>
    <sheet xmlns:r="http://schemas.openxmlformats.org/officeDocument/2006/relationships" name="007 VC Targeting" sheetId="5" state="visible" r:id="rId5"/>
    <sheet xmlns:r="http://schemas.openxmlformats.org/officeDocument/2006/relationships" name="011 Investor Outreach" sheetId="6" state="visible" r:id="rId6"/>
    <sheet xmlns:r="http://schemas.openxmlformats.org/officeDocument/2006/relationships" name="012 Term Sheet" sheetId="7" state="visible" r:id="rId7"/>
    <sheet xmlns:r="http://schemas.openxmlformats.org/officeDocument/2006/relationships" name="013 Bridge Round" sheetId="8" state="visible" r:id="rId8"/>
    <sheet xmlns:r="http://schemas.openxmlformats.org/officeDocument/2006/relationships" name="014 Valuation Defence" sheetId="9" state="visible" r:id="rId9"/>
    <sheet xmlns:r="http://schemas.openxmlformats.org/officeDocument/2006/relationships" name="016 Data Room" sheetId="10" state="visible" r:id="rId10"/>
    <sheet xmlns:r="http://schemas.openxmlformats.org/officeDocument/2006/relationships" name="017 Fundraising Timeline" sheetId="11" state="visible" r:id="rId11"/>
    <sheet xmlns:r="http://schemas.openxmlformats.org/officeDocument/2006/relationships" name="019 Investor Update" sheetId="12" state="visible" r:id="rId12"/>
    <sheet xmlns:r="http://schemas.openxmlformats.org/officeDocument/2006/relationships" name="020 Cap Table" sheetId="13" state="visible" r:id="rId13"/>
    <sheet xmlns:r="http://schemas.openxmlformats.org/officeDocument/2006/relationships" name="021 Model Architecture" sheetId="14" state="visible" r:id="rId14"/>
    <sheet xmlns:r="http://schemas.openxmlformats.org/officeDocument/2006/relationships" name="022 Driver Revenue Model" sheetId="15" state="visible" r:id="rId15"/>
    <sheet xmlns:r="http://schemas.openxmlformats.org/officeDocument/2006/relationships" name="023 Cohort Retention" sheetId="16" state="visible" r:id="rId16"/>
    <sheet xmlns:r="http://schemas.openxmlformats.org/officeDocument/2006/relationships" name="024 Assumptions Tab" sheetId="17" state="visible" r:id="rId17"/>
    <sheet xmlns:r="http://schemas.openxmlformats.org/officeDocument/2006/relationships" name="025 Headcount Plan" sheetId="18" state="visible" r:id="rId1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£#,##0;&quot;(£&quot;#,##0\);\-"/>
    <numFmt numFmtId="165" formatCode="0.0;\(0.0\);\-"/>
    <numFmt numFmtId="166" formatCode="dd/mm/yyyy"/>
    <numFmt numFmtId="167" formatCode="0;\(0\);\-"/>
    <numFmt numFmtId="168" formatCode="\£#,##0"/>
    <numFmt numFmtId="169" formatCode="0.0%"/>
    <numFmt numFmtId="170" formatCode="0.0"/>
    <numFmt numFmtId="171" formatCode="0.0%;\(0.0%\);\-"/>
    <numFmt numFmtId="172" formatCode="0.0\x"/>
    <numFmt numFmtId="173" formatCode="mmm\-yy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B3A5C"/>
      <sz val="10"/>
    </font>
    <font>
      <name val="Arial"/>
      <charset val="1"/>
      <family val="0"/>
      <b val="1"/>
      <color rgb="FF2E75B6"/>
      <sz val="10"/>
    </font>
    <font>
      <name val="Arial"/>
      <charset val="1"/>
      <family val="0"/>
      <color rgb="FF595959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008000"/>
      <sz val="10"/>
    </font>
    <font>
      <name val="Arial"/>
      <charset val="1"/>
      <family val="0"/>
      <b val="1"/>
      <color rgb="FFFFFDE7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9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444444"/>
      <sz val="9"/>
    </font>
    <font>
      <name val="Arial"/>
      <charset val="1"/>
      <family val="0"/>
      <b val="1"/>
      <color rgb="FF000000"/>
      <sz val="9"/>
    </font>
    <font>
      <name val="Courier New"/>
      <charset val="1"/>
      <family val="0"/>
      <b val="1"/>
      <color rgb="FF2E75B6"/>
      <sz val="9"/>
    </font>
    <font>
      <name val="Arial"/>
      <charset val="1"/>
      <family val="0"/>
      <i val="1"/>
      <color rgb="FF555500"/>
      <sz val="9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595959"/>
      <sz val="10"/>
    </font>
  </fonts>
  <fills count="10">
    <fill>
      <patternFill/>
    </fill>
    <fill>
      <patternFill patternType="gray125"/>
    </fill>
    <fill>
      <patternFill patternType="solid">
        <fgColor rgb="FF1B3A5C"/>
        <bgColor rgb="FF444444"/>
      </patternFill>
    </fill>
    <fill>
      <patternFill patternType="solid">
        <fgColor rgb="FFD6E4F0"/>
        <bgColor rgb="FFEBF3FB"/>
      </patternFill>
    </fill>
    <fill>
      <patternFill patternType="solid">
        <fgColor rgb="FFFFFFFF"/>
        <bgColor rgb="FFFFFDE7"/>
      </patternFill>
    </fill>
    <fill>
      <patternFill patternType="solid">
        <fgColor rgb="FFF5F5F5"/>
        <bgColor rgb="FFEBF3FB"/>
      </patternFill>
    </fill>
    <fill>
      <patternFill patternType="solid">
        <fgColor rgb="FFFFFDE7"/>
        <bgColor rgb="FFFFFFFF"/>
      </patternFill>
    </fill>
    <fill>
      <patternFill patternType="solid">
        <fgColor rgb="FF2E75B6"/>
        <bgColor rgb="FF1F5C99"/>
      </patternFill>
    </fill>
    <fill>
      <patternFill patternType="solid">
        <fgColor rgb="FFEBF3FB"/>
        <bgColor rgb="FFF5F5F5"/>
      </patternFill>
    </fill>
    <fill>
      <patternFill patternType="solid">
        <fgColor rgb="FF1F6B4F"/>
        <bgColor rgb="FF1F5C99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0" fontId="13" fillId="6" borderId="0" applyAlignment="1" pivotButton="0" quotePrefix="0" xfId="0">
      <alignment horizontal="left" vertical="center" wrapText="1" indent="1"/>
    </xf>
    <xf numFmtId="0" fontId="8" fillId="7" borderId="1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left" vertical="center" wrapText="1"/>
    </xf>
    <xf numFmtId="164" fontId="14" fillId="8" borderId="1" applyAlignment="1" pivotButton="0" quotePrefix="0" xfId="0">
      <alignment horizontal="left" vertical="center"/>
    </xf>
    <xf numFmtId="0" fontId="15" fillId="0" borderId="2" applyAlignment="1" pivotButton="0" quotePrefix="0" xfId="0">
      <alignment horizontal="general" vertical="bottom"/>
    </xf>
    <xf numFmtId="0" fontId="7" fillId="5" borderId="1" applyAlignment="1" pivotButton="0" quotePrefix="0" xfId="0">
      <alignment horizontal="left" vertical="center" wrapText="1"/>
    </xf>
    <xf numFmtId="164" fontId="16" fillId="4" borderId="1" applyAlignment="1" pivotButton="0" quotePrefix="0" xfId="0">
      <alignment horizontal="right" vertical="center"/>
    </xf>
    <xf numFmtId="0" fontId="8" fillId="7" borderId="2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/>
    </xf>
    <xf numFmtId="165" fontId="16" fillId="4" borderId="1" applyAlignment="1" pivotButton="0" quotePrefix="0" xfId="0">
      <alignment horizontal="right" vertical="center"/>
    </xf>
    <xf numFmtId="166" fontId="14" fillId="8" borderId="1" applyAlignment="1" pivotButton="0" quotePrefix="0" xfId="0">
      <alignment horizontal="left" vertical="center"/>
    </xf>
    <xf numFmtId="166" fontId="16" fillId="4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 wrapText="1" indent="1"/>
    </xf>
    <xf numFmtId="167" fontId="14" fillId="8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right" vertical="center"/>
    </xf>
    <xf numFmtId="168" fontId="14" fillId="8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general" vertical="bottom"/>
    </xf>
    <xf numFmtId="169" fontId="14" fillId="8" borderId="1" applyAlignment="1" pivotButton="0" quotePrefix="0" xfId="0">
      <alignment horizontal="left" vertical="center"/>
    </xf>
    <xf numFmtId="1" fontId="14" fillId="8" borderId="1" applyAlignment="1" pivotButton="0" quotePrefix="0" xfId="0">
      <alignment horizontal="left" vertical="center"/>
    </xf>
    <xf numFmtId="168" fontId="16" fillId="4" borderId="1" applyAlignment="1" pivotButton="0" quotePrefix="0" xfId="0">
      <alignment horizontal="right" vertical="center"/>
    </xf>
    <xf numFmtId="169" fontId="16" fillId="4" borderId="1" applyAlignment="1" pivotButton="0" quotePrefix="0" xfId="0">
      <alignment horizontal="right" vertical="center"/>
    </xf>
    <xf numFmtId="170" fontId="16" fillId="4" borderId="1" applyAlignment="1" pivotButton="0" quotePrefix="0" xfId="0">
      <alignment horizontal="right" vertical="center"/>
    </xf>
    <xf numFmtId="1" fontId="16" fillId="4" borderId="1" applyAlignment="1" pivotButton="0" quotePrefix="0" xfId="0">
      <alignment horizontal="right" vertical="center"/>
    </xf>
    <xf numFmtId="1" fontId="16" fillId="5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/>
    </xf>
    <xf numFmtId="171" fontId="16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general" vertical="bottom"/>
    </xf>
    <xf numFmtId="167" fontId="16" fillId="4" borderId="1" applyAlignment="1" pivotButton="0" quotePrefix="0" xfId="0">
      <alignment horizontal="right" vertical="center"/>
    </xf>
    <xf numFmtId="172" fontId="14" fillId="8" borderId="1" applyAlignment="1" pivotButton="0" quotePrefix="0" xfId="0">
      <alignment horizontal="left" vertical="center"/>
    </xf>
    <xf numFmtId="49" fontId="14" fillId="8" borderId="1" applyAlignment="1" pivotButton="0" quotePrefix="0" xfId="0">
      <alignment horizontal="left" vertical="center"/>
    </xf>
    <xf numFmtId="168" fontId="16" fillId="4" borderId="1" applyAlignment="1" pivotButton="0" quotePrefix="0" xfId="0">
      <alignment horizontal="right" vertical="center"/>
    </xf>
    <xf numFmtId="172" fontId="16" fillId="4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/>
    </xf>
    <xf numFmtId="172" fontId="16" fillId="4" borderId="1" applyAlignment="1" pivotButton="0" quotePrefix="0" xfId="0">
      <alignment horizontal="right" vertical="center"/>
    </xf>
    <xf numFmtId="170" fontId="14" fillId="8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general" vertical="top" wrapText="1"/>
    </xf>
    <xf numFmtId="3" fontId="14" fillId="8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3" fontId="16" fillId="4" borderId="1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173" fontId="14" fillId="8" borderId="1" applyAlignment="1" pivotButton="0" quotePrefix="0" xfId="0">
      <alignment horizontal="left" vertical="center"/>
    </xf>
    <xf numFmtId="173" fontId="18" fillId="3" borderId="1" applyAlignment="1" pivotButton="0" quotePrefix="0" xfId="0">
      <alignment horizontal="center" vertical="bottom"/>
    </xf>
    <xf numFmtId="9" fontId="14" fillId="8" borderId="1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 indent="1"/>
    </xf>
    <xf numFmtId="0" fontId="19" fillId="5" borderId="1" applyAlignment="1" pivotButton="0" quotePrefix="0" xfId="0">
      <alignment horizontal="general" vertical="bottom"/>
    </xf>
    <xf numFmtId="0" fontId="20" fillId="6" borderId="1" applyAlignment="1" pivotButton="0" quotePrefix="0" xfId="0">
      <alignment horizontal="general" vertical="top" wrapText="1"/>
    </xf>
    <xf numFmtId="0" fontId="19" fillId="4" borderId="1" applyAlignment="1" pivotButton="0" quotePrefix="0" xfId="0">
      <alignment horizontal="general" vertical="bottom"/>
    </xf>
    <xf numFmtId="9" fontId="21" fillId="8" borderId="1" applyAlignment="1" pivotButton="0" quotePrefix="0" xfId="0">
      <alignment horizontal="left" vertical="center"/>
    </xf>
    <xf numFmtId="0" fontId="22" fillId="4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0" fillId="0" borderId="5" pivotButton="0" quotePrefix="0" xfId="0"/>
    <xf numFmtId="0" fontId="10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0" fontId="13" fillId="6" borderId="0" applyAlignment="1" pivotButton="0" quotePrefix="0" xfId="0">
      <alignment horizontal="left" vertical="center" wrapText="1" indent="1"/>
    </xf>
    <xf numFmtId="0" fontId="8" fillId="7" borderId="1" applyAlignment="1" pivotButton="0" quotePrefix="0" xfId="0">
      <alignment horizontal="left" vertical="center" indent="1"/>
    </xf>
    <xf numFmtId="0" fontId="0" fillId="0" borderId="6" pivotButton="0" quotePrefix="0" xfId="0"/>
    <xf numFmtId="0" fontId="0" fillId="0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left" vertical="center" wrapText="1"/>
    </xf>
    <xf numFmtId="164" fontId="14" fillId="8" borderId="1" applyAlignment="1" pivotButton="0" quotePrefix="0" xfId="0">
      <alignment horizontal="left" vertical="center"/>
    </xf>
    <xf numFmtId="0" fontId="15" fillId="0" borderId="2" applyAlignment="1" pivotButton="0" quotePrefix="0" xfId="0">
      <alignment horizontal="general" vertical="bottom"/>
    </xf>
    <xf numFmtId="0" fontId="7" fillId="5" borderId="1" applyAlignment="1" pivotButton="0" quotePrefix="0" xfId="0">
      <alignment horizontal="left" vertical="center" wrapText="1"/>
    </xf>
    <xf numFmtId="164" fontId="16" fillId="4" borderId="1" applyAlignment="1" pivotButton="0" quotePrefix="0" xfId="0">
      <alignment horizontal="right" vertical="center"/>
    </xf>
    <xf numFmtId="0" fontId="8" fillId="7" borderId="2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/>
    </xf>
    <xf numFmtId="165" fontId="16" fillId="4" borderId="1" applyAlignment="1" pivotButton="0" quotePrefix="0" xfId="0">
      <alignment horizontal="right" vertical="center"/>
    </xf>
    <xf numFmtId="166" fontId="14" fillId="8" borderId="1" applyAlignment="1" pivotButton="0" quotePrefix="0" xfId="0">
      <alignment horizontal="left" vertical="center"/>
    </xf>
    <xf numFmtId="166" fontId="16" fillId="4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 wrapText="1" indent="1"/>
    </xf>
    <xf numFmtId="167" fontId="14" fillId="8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right" vertical="center"/>
    </xf>
    <xf numFmtId="168" fontId="14" fillId="8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general" vertical="bottom"/>
    </xf>
    <xf numFmtId="169" fontId="14" fillId="8" borderId="1" applyAlignment="1" pivotButton="0" quotePrefix="0" xfId="0">
      <alignment horizontal="left" vertical="center"/>
    </xf>
    <xf numFmtId="1" fontId="14" fillId="8" borderId="1" applyAlignment="1" pivotButton="0" quotePrefix="0" xfId="0">
      <alignment horizontal="left" vertical="center"/>
    </xf>
    <xf numFmtId="168" fontId="16" fillId="4" borderId="1" applyAlignment="1" pivotButton="0" quotePrefix="0" xfId="0">
      <alignment horizontal="right" vertical="center"/>
    </xf>
    <xf numFmtId="169" fontId="16" fillId="4" borderId="1" applyAlignment="1" pivotButton="0" quotePrefix="0" xfId="0">
      <alignment horizontal="right" vertical="center"/>
    </xf>
    <xf numFmtId="170" fontId="16" fillId="4" borderId="1" applyAlignment="1" pivotButton="0" quotePrefix="0" xfId="0">
      <alignment horizontal="right" vertical="center"/>
    </xf>
    <xf numFmtId="1" fontId="16" fillId="4" borderId="1" applyAlignment="1" pivotButton="0" quotePrefix="0" xfId="0">
      <alignment horizontal="right" vertical="center"/>
    </xf>
    <xf numFmtId="1" fontId="16" fillId="5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/>
    </xf>
    <xf numFmtId="171" fontId="16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general" vertical="bottom"/>
    </xf>
    <xf numFmtId="167" fontId="16" fillId="4" borderId="1" applyAlignment="1" pivotButton="0" quotePrefix="0" xfId="0">
      <alignment horizontal="right" vertical="center"/>
    </xf>
    <xf numFmtId="172" fontId="14" fillId="8" borderId="1" applyAlignment="1" pivotButton="0" quotePrefix="0" xfId="0">
      <alignment horizontal="left" vertical="center"/>
    </xf>
    <xf numFmtId="49" fontId="14" fillId="8" borderId="1" applyAlignment="1" pivotButton="0" quotePrefix="0" xfId="0">
      <alignment horizontal="left" vertical="center"/>
    </xf>
    <xf numFmtId="172" fontId="16" fillId="4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/>
    </xf>
    <xf numFmtId="170" fontId="14" fillId="8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general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3" fontId="14" fillId="8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3" fontId="16" fillId="4" borderId="1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173" fontId="14" fillId="8" borderId="1" applyAlignment="1" pivotButton="0" quotePrefix="0" xfId="0">
      <alignment horizontal="left" vertical="center"/>
    </xf>
    <xf numFmtId="173" fontId="18" fillId="3" borderId="1" applyAlignment="1" pivotButton="0" quotePrefix="0" xfId="0">
      <alignment horizontal="center" vertical="bottom"/>
    </xf>
    <xf numFmtId="9" fontId="14" fillId="8" borderId="1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 indent="1"/>
    </xf>
    <xf numFmtId="0" fontId="19" fillId="5" borderId="1" applyAlignment="1" pivotButton="0" quotePrefix="0" xfId="0">
      <alignment horizontal="general" vertical="bottom"/>
    </xf>
    <xf numFmtId="0" fontId="20" fillId="6" borderId="1" applyAlignment="1" pivotButton="0" quotePrefix="0" xfId="0">
      <alignment horizontal="general" vertical="top" wrapText="1"/>
    </xf>
    <xf numFmtId="0" fontId="19" fillId="4" borderId="1" applyAlignment="1" pivotButton="0" quotePrefix="0" xfId="0">
      <alignment horizontal="general" vertical="bottom"/>
    </xf>
    <xf numFmtId="9" fontId="21" fillId="8" borderId="1" applyAlignment="1" pivotButton="0" quotePrefix="0" xfId="0">
      <alignment horizontal="left" vertical="center"/>
    </xf>
    <xf numFmtId="0" fontId="22" fillId="4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4F"/>
      <rgbColor rgb="FFCCCCCC"/>
      <rgbColor rgb="FF888888"/>
      <rgbColor rgb="FF9999FF"/>
      <rgbColor rgb="FF993366"/>
      <rgbColor rgb="FFFFFDE7"/>
      <rgbColor rgb="FFEBF3FB"/>
      <rgbColor rgb="FF660066"/>
      <rgbColor rgb="FFFF8080"/>
      <rgbColor rgb="FF1F5C99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B3A5C"/>
      <rgbColor rgb="FF339966"/>
      <rgbColor rgb="FF003300"/>
      <rgbColor rgb="FF555500"/>
      <rgbColor rgb="FF993300"/>
      <rgbColor rgb="FF993366"/>
      <rgbColor rgb="FF59595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B3A5C"/>
    <outlinePr summaryBelow="1" summaryRight="1"/>
    <pageSetUpPr fitToPage="0"/>
  </sheetPr>
  <dimension ref="A1:E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68" min="1" max="1"/>
    <col width="8" customWidth="1" style="68" min="2" max="2"/>
    <col width="42" customWidth="1" style="68" min="3" max="3"/>
    <col width="14" customWidth="1" style="68" min="4" max="4"/>
    <col width="28" customWidth="1" style="68" min="5" max="5"/>
  </cols>
  <sheetData>
    <row r="1" ht="36" customHeight="1" s="69">
      <c r="A1" s="70" t="inlineStr">
        <is>
          <t>RAISE READY – Exercise Template (Articles 1–25)</t>
        </is>
      </c>
    </row>
    <row r="2" ht="15" customHeight="1" s="69">
      <c r="A2" s="71" t="inlineStr">
        <is>
          <t>Sheet</t>
        </is>
      </c>
      <c r="B2" s="71" t="inlineStr">
        <is>
          <t>Article</t>
        </is>
      </c>
      <c r="C2" s="71" t="inlineStr">
        <is>
          <t>Exercise Title</t>
        </is>
      </c>
      <c r="D2" s="71" t="inlineStr">
        <is>
          <t>Type</t>
        </is>
      </c>
      <c r="E2" s="71" t="inlineStr">
        <is>
          <t>Build Component</t>
        </is>
      </c>
    </row>
    <row r="3" ht="15" customHeight="1" s="69">
      <c r="A3" s="72" t="inlineStr">
        <is>
          <t>E003</t>
        </is>
      </c>
      <c r="B3" s="73" t="inlineStr">
        <is>
          <t>003</t>
        </is>
      </c>
      <c r="C3" s="73" t="inlineStr">
        <is>
          <t>Cash Runway Calculator</t>
        </is>
      </c>
      <c r="D3" s="73" t="inlineStr">
        <is>
          <t>Model</t>
        </is>
      </c>
      <c r="E3" s="73" t="inlineStr">
        <is>
          <t>Runway &amp; burn rate</t>
        </is>
      </c>
    </row>
    <row r="4" ht="15" customHeight="1" s="69">
      <c r="A4" s="74" t="inlineStr">
        <is>
          <t>E005</t>
        </is>
      </c>
      <c r="B4" s="75" t="inlineStr">
        <is>
          <t>005</t>
        </is>
      </c>
      <c r="C4" s="75" t="inlineStr">
        <is>
          <t>Venture Debt Model</t>
        </is>
      </c>
      <c r="D4" s="75" t="inlineStr">
        <is>
          <t>Model</t>
        </is>
      </c>
      <c r="E4" s="75" t="inlineStr">
        <is>
          <t>Debt schedule &amp; runway</t>
        </is>
      </c>
    </row>
    <row r="5" ht="15" customHeight="1" s="69">
      <c r="A5" s="72" t="inlineStr">
        <is>
          <t>E006</t>
        </is>
      </c>
      <c r="B5" s="73" t="inlineStr">
        <is>
          <t>006</t>
        </is>
      </c>
      <c r="C5" s="73" t="inlineStr">
        <is>
          <t>SAFE &amp; Convertible Note Tracker</t>
        </is>
      </c>
      <c r="D5" s="73" t="inlineStr">
        <is>
          <t>Model</t>
        </is>
      </c>
      <c r="E5" s="73" t="inlineStr">
        <is>
          <t>Cap table instruments</t>
        </is>
      </c>
    </row>
    <row r="6" ht="15" customHeight="1" s="69">
      <c r="A6" s="74" t="inlineStr">
        <is>
          <t>E007</t>
        </is>
      </c>
      <c r="B6" s="75" t="inlineStr">
        <is>
          <t>007</t>
        </is>
      </c>
      <c r="C6" s="75" t="inlineStr">
        <is>
          <t>VC Targeting Matrix</t>
        </is>
      </c>
      <c r="D6" s="75" t="inlineStr">
        <is>
          <t>Tracker</t>
        </is>
      </c>
      <c r="E6" s="75" t="inlineStr">
        <is>
          <t>Investor pipeline</t>
        </is>
      </c>
    </row>
    <row r="7" ht="15" customHeight="1" s="69">
      <c r="A7" s="72" t="inlineStr">
        <is>
          <t>E011</t>
        </is>
      </c>
      <c r="B7" s="73" t="inlineStr">
        <is>
          <t>011</t>
        </is>
      </c>
      <c r="C7" s="73" t="inlineStr">
        <is>
          <t>Investor Outreach Tracker</t>
        </is>
      </c>
      <c r="D7" s="73" t="inlineStr">
        <is>
          <t>Tracker</t>
        </is>
      </c>
      <c r="E7" s="73" t="inlineStr">
        <is>
          <t>Fundraising CRM</t>
        </is>
      </c>
    </row>
    <row r="8" ht="15" customHeight="1" s="69">
      <c r="A8" s="74" t="inlineStr">
        <is>
          <t>E012</t>
        </is>
      </c>
      <c r="B8" s="75" t="inlineStr">
        <is>
          <t>012</t>
        </is>
      </c>
      <c r="C8" s="75" t="inlineStr">
        <is>
          <t>Term Sheet Analyser</t>
        </is>
      </c>
      <c r="D8" s="75" t="inlineStr">
        <is>
          <t>Model</t>
        </is>
      </c>
      <c r="E8" s="75" t="inlineStr">
        <is>
          <t>Clause &amp; economics</t>
        </is>
      </c>
    </row>
    <row r="9" ht="15" customHeight="1" s="69">
      <c r="A9" s="72" t="inlineStr">
        <is>
          <t>E013</t>
        </is>
      </c>
      <c r="B9" s="73" t="inlineStr">
        <is>
          <t>013</t>
        </is>
      </c>
      <c r="C9" s="73" t="inlineStr">
        <is>
          <t>Bridge Round Model</t>
        </is>
      </c>
      <c r="D9" s="73" t="inlineStr">
        <is>
          <t>Model</t>
        </is>
      </c>
      <c r="E9" s="73" t="inlineStr">
        <is>
          <t>Dilution &amp; runway</t>
        </is>
      </c>
    </row>
    <row r="10" ht="15" customHeight="1" s="69">
      <c r="A10" s="74" t="inlineStr">
        <is>
          <t>E014</t>
        </is>
      </c>
      <c r="B10" s="75" t="inlineStr">
        <is>
          <t>014</t>
        </is>
      </c>
      <c r="C10" s="75" t="inlineStr">
        <is>
          <t>Valuation Defence</t>
        </is>
      </c>
      <c r="D10" s="75" t="inlineStr">
        <is>
          <t>Model</t>
        </is>
      </c>
      <c r="E10" s="75" t="inlineStr">
        <is>
          <t>Valuation methods</t>
        </is>
      </c>
    </row>
    <row r="11" ht="15" customHeight="1" s="69">
      <c r="A11" s="72" t="inlineStr">
        <is>
          <t>E016</t>
        </is>
      </c>
      <c r="B11" s="73" t="inlineStr">
        <is>
          <t>016</t>
        </is>
      </c>
      <c r="C11" s="73" t="inlineStr">
        <is>
          <t>Data Room Checklist</t>
        </is>
      </c>
      <c r="D11" s="73" t="inlineStr">
        <is>
          <t>Checklist</t>
        </is>
      </c>
      <c r="E11" s="73" t="inlineStr">
        <is>
          <t>Diligence prep</t>
        </is>
      </c>
    </row>
    <row r="12" ht="15" customHeight="1" s="69">
      <c r="A12" s="74" t="inlineStr">
        <is>
          <t>E017</t>
        </is>
      </c>
      <c r="B12" s="75" t="inlineStr">
        <is>
          <t>017</t>
        </is>
      </c>
      <c r="C12" s="75" t="inlineStr">
        <is>
          <t>Fundraising Timeline</t>
        </is>
      </c>
      <c r="D12" s="75" t="inlineStr">
        <is>
          <t>Planner</t>
        </is>
      </c>
      <c r="E12" s="75" t="inlineStr">
        <is>
          <t>Process Gantt</t>
        </is>
      </c>
    </row>
    <row r="13" ht="15" customHeight="1" s="69">
      <c r="A13" s="72" t="inlineStr">
        <is>
          <t>E019</t>
        </is>
      </c>
      <c r="B13" s="73" t="inlineStr">
        <is>
          <t>019</t>
        </is>
      </c>
      <c r="C13" s="73" t="inlineStr">
        <is>
          <t>Investor Update Metrics</t>
        </is>
      </c>
      <c r="D13" s="73" t="inlineStr">
        <is>
          <t>Template</t>
        </is>
      </c>
      <c r="E13" s="73" t="inlineStr">
        <is>
          <t>Monthly KPI table</t>
        </is>
      </c>
    </row>
    <row r="14" ht="15" customHeight="1" s="69">
      <c r="A14" s="74" t="inlineStr">
        <is>
          <t>E020</t>
        </is>
      </c>
      <c r="B14" s="75" t="inlineStr">
        <is>
          <t>020</t>
        </is>
      </c>
      <c r="C14" s="75" t="inlineStr">
        <is>
          <t>Cap Table &amp; Dilution Model</t>
        </is>
      </c>
      <c r="D14" s="75" t="inlineStr">
        <is>
          <t>Model</t>
        </is>
      </c>
      <c r="E14" s="75" t="inlineStr">
        <is>
          <t>Ownership waterfall</t>
        </is>
      </c>
    </row>
    <row r="15" ht="15" customHeight="1" s="69">
      <c r="A15" s="72" t="inlineStr">
        <is>
          <t>E021</t>
        </is>
      </c>
      <c r="B15" s="73" t="inlineStr">
        <is>
          <t>021</t>
        </is>
      </c>
      <c r="C15" s="73" t="inlineStr">
        <is>
          <t>Model Architecture</t>
        </is>
      </c>
      <c r="D15" s="73" t="inlineStr">
        <is>
          <t>Template</t>
        </is>
      </c>
      <c r="E15" s="73" t="inlineStr">
        <is>
          <t>Full model skeleton</t>
        </is>
      </c>
    </row>
    <row r="16" ht="15" customHeight="1" s="69">
      <c r="A16" s="74" t="inlineStr">
        <is>
          <t>E022</t>
        </is>
      </c>
      <c r="B16" s="75" t="inlineStr">
        <is>
          <t>022</t>
        </is>
      </c>
      <c r="C16" s="75" t="inlineStr">
        <is>
          <t>Driver-Based Revenue Model</t>
        </is>
      </c>
      <c r="D16" s="75" t="inlineStr">
        <is>
          <t>Model</t>
        </is>
      </c>
      <c r="E16" s="75" t="inlineStr">
        <is>
          <t>Revenue build</t>
        </is>
      </c>
    </row>
    <row r="17" ht="15" customHeight="1" s="69">
      <c r="A17" s="72" t="inlineStr">
        <is>
          <t>E023</t>
        </is>
      </c>
      <c r="B17" s="73" t="inlineStr">
        <is>
          <t>023</t>
        </is>
      </c>
      <c r="C17" s="73" t="inlineStr">
        <is>
          <t>Cohort Revenue Model</t>
        </is>
      </c>
      <c r="D17" s="73" t="inlineStr">
        <is>
          <t>Model</t>
        </is>
      </c>
      <c r="E17" s="73" t="inlineStr">
        <is>
          <t>Retention &amp; cohorts</t>
        </is>
      </c>
    </row>
    <row r="18" ht="15" customHeight="1" s="69">
      <c r="A18" s="74" t="inlineStr">
        <is>
          <t>E024</t>
        </is>
      </c>
      <c r="B18" s="75" t="inlineStr">
        <is>
          <t>024</t>
        </is>
      </c>
      <c r="C18" s="75" t="inlineStr">
        <is>
          <t>Assumptions Tab</t>
        </is>
      </c>
      <c r="D18" s="75" t="inlineStr">
        <is>
          <t>Template</t>
        </is>
      </c>
      <c r="E18" s="75" t="inlineStr">
        <is>
          <t>Central assumptions</t>
        </is>
      </c>
    </row>
    <row r="19" ht="15" customHeight="1" s="69">
      <c r="A19" s="72" t="inlineStr">
        <is>
          <t>E025</t>
        </is>
      </c>
      <c r="B19" s="73" t="inlineStr">
        <is>
          <t>025</t>
        </is>
      </c>
      <c r="C19" s="73" t="inlineStr">
        <is>
          <t>Headcount Plan</t>
        </is>
      </c>
      <c r="D19" s="73" t="inlineStr">
        <is>
          <t>Model</t>
        </is>
      </c>
      <c r="E19" s="73" t="inlineStr">
        <is>
          <t>People &amp; burn</t>
        </is>
      </c>
    </row>
    <row r="22" ht="15" customHeight="1" s="69">
      <c r="A22" s="76" t="inlineStr">
        <is>
          <t>Colour Legend</t>
        </is>
      </c>
    </row>
    <row r="23" ht="15" customHeight="1" s="69">
      <c r="A23" s="77" t="inlineStr">
        <is>
          <t>Blue text</t>
        </is>
      </c>
      <c r="B23" s="78" t="inlineStr">
        <is>
          <t>Hardcoded input – enter your own values</t>
        </is>
      </c>
      <c r="C23" s="79" t="n"/>
    </row>
    <row r="24" ht="15" customHeight="1" s="69">
      <c r="A24" s="80" t="inlineStr">
        <is>
          <t>Black text</t>
        </is>
      </c>
      <c r="B24" s="78" t="inlineStr">
        <is>
          <t>Formula – do not overwrite</t>
        </is>
      </c>
      <c r="C24" s="79" t="n"/>
    </row>
    <row r="25" ht="15" customHeight="1" s="69">
      <c r="A25" s="81" t="inlineStr">
        <is>
          <t>Green text</t>
        </is>
      </c>
      <c r="B25" s="78" t="inlineStr">
        <is>
          <t>Cross-sheet link – formula pulling from another tab</t>
        </is>
      </c>
      <c r="C25" s="79" t="n"/>
    </row>
    <row r="26" ht="15" customHeight="1" s="69">
      <c r="A26" s="82" t="inlineStr">
        <is>
          <t>Yellow fill</t>
        </is>
      </c>
      <c r="B26" s="78" t="inlineStr">
        <is>
          <t>Key assumption needing attention or source verification</t>
        </is>
      </c>
      <c r="C26" s="79" t="n"/>
    </row>
  </sheetData>
  <mergeCells count="6">
    <mergeCell ref="B24:C24"/>
    <mergeCell ref="B25:C25"/>
    <mergeCell ref="A22:C22"/>
    <mergeCell ref="B23:C23"/>
    <mergeCell ref="A1:E1"/>
    <mergeCell ref="B26:C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F5C99"/>
    <outlinePr summaryBelow="1" summaryRight="1"/>
    <pageSetUpPr fitToPage="0"/>
  </sheetPr>
  <dimension ref="A1: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68" min="1" max="1"/>
    <col width="20" customWidth="1" style="68" min="2" max="3"/>
    <col width="16" customWidth="1" style="68" min="4" max="4"/>
    <col width="18" customWidth="1" style="68" min="5" max="5"/>
    <col width="20" customWidth="1" style="68" min="6" max="6"/>
    <col width="18" customWidth="1" style="68" min="7" max="7"/>
    <col width="30" customWidth="1" style="68" min="8" max="8"/>
  </cols>
  <sheetData>
    <row r="1" ht="30" customHeight="1" s="69">
      <c r="A1" s="76" t="inlineStr">
        <is>
          <t>Exercise 003 – Cash Runway Calculator</t>
        </is>
      </c>
    </row>
    <row r="2" ht="15" customHeight="1" s="69">
      <c r="A2" s="83" t="inlineStr">
        <is>
          <t>Enter your actual numbers in the blue cells. All other cells are formulas.</t>
        </is>
      </c>
    </row>
    <row r="4" ht="15" customHeight="1" s="69">
      <c r="A4" s="84" t="inlineStr">
        <is>
          <t>Current Financial Position</t>
        </is>
      </c>
      <c r="B4" s="85" t="n"/>
      <c r="C4" s="85" t="n"/>
      <c r="D4" s="79" t="n"/>
      <c r="E4" s="86" t="n"/>
      <c r="F4" s="86" t="n"/>
      <c r="G4" s="86" t="n"/>
    </row>
    <row r="5" ht="15" customHeight="1" s="69">
      <c r="A5" s="87" t="inlineStr">
        <is>
          <t>Current Cash Balance</t>
        </is>
      </c>
      <c r="B5" s="88" t="n"/>
      <c r="C5" s="89" t="inlineStr">
        <is>
          <t>← Enter actual value from bank / accounting system</t>
        </is>
      </c>
      <c r="D5" s="85" t="n"/>
      <c r="E5" s="85" t="n"/>
      <c r="F5" s="85" t="n"/>
      <c r="G5" s="85" t="n"/>
      <c r="H5" s="85" t="n"/>
    </row>
    <row r="6" ht="23.25" customHeight="1" s="69">
      <c r="A6" s="90" t="inlineStr">
        <is>
          <t>Monthly Operating Burn (from cash flow stmt)</t>
        </is>
      </c>
      <c r="B6" s="88" t="n"/>
      <c r="C6" s="89" t="inlineStr">
        <is>
          <t>← Enter actual value from bank / accounting system</t>
        </is>
      </c>
      <c r="D6" s="85" t="n"/>
      <c r="E6" s="85" t="n"/>
      <c r="F6" s="85" t="n"/>
      <c r="G6" s="85" t="n"/>
      <c r="H6" s="85" t="n"/>
    </row>
    <row r="7" ht="23.25" customHeight="1" s="69">
      <c r="A7" s="87" t="inlineStr">
        <is>
          <t>Monthly Revenue Received (cash, not accrual)</t>
        </is>
      </c>
      <c r="B7" s="88" t="n"/>
      <c r="C7" s="89" t="inlineStr">
        <is>
          <t>← Enter actual value from bank / accounting system</t>
        </is>
      </c>
      <c r="D7" s="85" t="n"/>
      <c r="E7" s="85" t="n"/>
      <c r="F7" s="85" t="n"/>
      <c r="G7" s="85" t="n"/>
      <c r="H7" s="85" t="n"/>
    </row>
    <row r="8" ht="15" customHeight="1" s="69">
      <c r="A8" s="90" t="inlineStr">
        <is>
          <t>Net Monthly Burn</t>
        </is>
      </c>
      <c r="B8" s="91">
        <f>B6-B7</f>
        <v/>
      </c>
      <c r="C8" s="89" t="inlineStr">
        <is>
          <t>← Enter actual value from bank / accounting system</t>
        </is>
      </c>
      <c r="D8" s="85" t="n"/>
      <c r="E8" s="85" t="n"/>
      <c r="F8" s="85" t="n"/>
      <c r="G8" s="85" t="n"/>
      <c r="H8" s="85" t="n"/>
    </row>
    <row r="9" ht="15" customHeight="1" s="69">
      <c r="A9" s="86" t="n"/>
      <c r="B9" s="86" t="n"/>
      <c r="C9" s="86" t="n"/>
      <c r="D9" s="86" t="n"/>
      <c r="E9" s="86" t="n"/>
      <c r="F9" s="86" t="n"/>
      <c r="G9" s="86" t="n"/>
    </row>
    <row r="10" ht="15" customHeight="1" s="69">
      <c r="A10" s="92" t="inlineStr">
        <is>
          <t>Runway Scenarios</t>
        </is>
      </c>
      <c r="B10" s="85" t="n"/>
      <c r="C10" s="85" t="n"/>
      <c r="D10" s="85" t="n"/>
      <c r="E10" s="85" t="n"/>
      <c r="F10" s="85" t="n"/>
      <c r="G10" s="85" t="n"/>
      <c r="H10" s="85" t="n"/>
    </row>
    <row r="11" ht="15" customHeight="1" s="69">
      <c r="A11" s="93" t="inlineStr">
        <is>
          <t>Scenario</t>
        </is>
      </c>
      <c r="B11" s="93" t="inlineStr">
        <is>
          <t>Burn Assumption (£/mo)</t>
        </is>
      </c>
      <c r="C11" s="93" t="inlineStr">
        <is>
          <t>Cash Balance (£)</t>
        </is>
      </c>
      <c r="D11" s="93" t="inlineStr">
        <is>
          <t>Runway (months)</t>
        </is>
      </c>
      <c r="E11" s="93" t="inlineStr">
        <is>
          <t>Fundraise Start Date</t>
        </is>
      </c>
      <c r="F11" s="93" t="inlineStr">
        <is>
          <t>Cash Depletion Date</t>
        </is>
      </c>
      <c r="G11" s="93" t="inlineStr">
        <is>
          <t>Safety Buffer (mo)</t>
        </is>
      </c>
    </row>
    <row r="12" ht="15" customHeight="1" s="69">
      <c r="A12" s="90" t="inlineStr">
        <is>
          <t>Base Case</t>
        </is>
      </c>
      <c r="B12" s="91">
        <f>B8</f>
        <v/>
      </c>
      <c r="C12" s="91">
        <f>B5</f>
        <v/>
      </c>
      <c r="D12" s="94">
        <f>IF(C12=0,"-",ROUND(C12/B12,1))</f>
        <v/>
      </c>
      <c r="E12" s="95" t="n"/>
      <c r="F12" s="96">
        <f>IF(E12="","-",EDATE(E12,ROUND(D12,0)))</f>
        <v/>
      </c>
      <c r="G12" s="94">
        <f>IF(D12="-","-",D12-20)</f>
        <v/>
      </c>
    </row>
    <row r="13" ht="15" customHeight="1" s="69">
      <c r="A13" s="87" t="inlineStr">
        <is>
          <t>Conservative +15%</t>
        </is>
      </c>
      <c r="B13" s="91">
        <f>B8*1.15</f>
        <v/>
      </c>
      <c r="C13" s="91">
        <f>B5</f>
        <v/>
      </c>
      <c r="D13" s="94">
        <f>IF(C13=0,"-",ROUND(C13/B13,1))</f>
        <v/>
      </c>
      <c r="E13" s="95" t="n"/>
      <c r="F13" s="96">
        <f>IF(E13="","-",EDATE(E13,ROUND(D13,0)))</f>
        <v/>
      </c>
      <c r="G13" s="94">
        <f>IF(D13="-","-",D13-20)</f>
        <v/>
      </c>
    </row>
    <row r="14" ht="15" customHeight="1" s="69">
      <c r="A14" s="90" t="inlineStr">
        <is>
          <t>Optimistic -20%</t>
        </is>
      </c>
      <c r="B14" s="91">
        <f>B8*0.8</f>
        <v/>
      </c>
      <c r="C14" s="91">
        <f>B5</f>
        <v/>
      </c>
      <c r="D14" s="94">
        <f>IF(C14=0,"-",ROUND(C14/B14,1))</f>
        <v/>
      </c>
      <c r="E14" s="95" t="n"/>
      <c r="F14" s="96">
        <f>IF(E14="","-",EDATE(E14,ROUND(D14,0)))</f>
        <v/>
      </c>
      <c r="G14" s="94">
        <f>IF(D14="-","-",D14-20)</f>
        <v/>
      </c>
    </row>
    <row r="15" ht="15" customHeight="1" s="69">
      <c r="A15" s="87" t="inlineStr">
        <is>
          <t>Post-Raise Base</t>
        </is>
      </c>
      <c r="B15" s="91">
        <f>B8</f>
        <v/>
      </c>
      <c r="C15" s="88" t="n"/>
      <c r="D15" s="94">
        <f>IF(C15=0,"-",ROUND(C15/B15,1))</f>
        <v/>
      </c>
      <c r="E15" s="95" t="n"/>
      <c r="F15" s="96">
        <f>IF(E15="","-",EDATE(E15,ROUND(D15,0)))</f>
        <v/>
      </c>
      <c r="G15" s="94">
        <f>IF(D15="-","-",D15-20)</f>
        <v/>
      </c>
    </row>
    <row r="16" ht="15" customHeight="1" s="69">
      <c r="A16" s="86" t="n"/>
      <c r="B16" s="86" t="n"/>
      <c r="C16" s="86" t="n"/>
      <c r="D16" s="86" t="n"/>
      <c r="E16" s="86" t="n"/>
      <c r="F16" s="86" t="n"/>
      <c r="G16" s="86" t="n"/>
    </row>
    <row r="17" ht="15" customHeight="1" s="69">
      <c r="A17" s="86" t="n"/>
      <c r="B17" s="86" t="n"/>
      <c r="C17" s="86" t="n"/>
      <c r="D17" s="86" t="n"/>
      <c r="E17" s="86" t="n"/>
      <c r="F17" s="86" t="n"/>
      <c r="G17" s="86" t="n"/>
    </row>
    <row r="18" ht="15" customHeight="1" s="69">
      <c r="A18" s="84" t="inlineStr">
        <is>
          <t>Fundraise Safety Check (Article 003 Rule)</t>
        </is>
      </c>
      <c r="B18" s="85" t="n"/>
      <c r="C18" s="85" t="n"/>
      <c r="D18" s="85" t="n"/>
      <c r="E18" s="85" t="n"/>
      <c r="F18" s="79" t="n"/>
      <c r="G18" s="86" t="n"/>
    </row>
    <row r="19" ht="15" customHeight="1" s="69">
      <c r="A19" s="97" t="inlineStr">
        <is>
          <t>Rule: Start raising with at least 6–9 months of runway. 20 weeks = minimum process length.</t>
        </is>
      </c>
      <c r="B19" s="85" t="n"/>
      <c r="C19" s="85" t="n"/>
      <c r="D19" s="85" t="n"/>
      <c r="E19" s="85" t="n"/>
      <c r="F19" s="79" t="n"/>
      <c r="G19" s="86" t="n"/>
    </row>
    <row r="20" ht="15" customHeight="1" s="69">
      <c r="A20" s="87" t="inlineStr">
        <is>
          <t>Current Runway (months, base case)</t>
        </is>
      </c>
      <c r="B20" s="94">
        <f>IFERROR(D12,0)</f>
        <v/>
      </c>
      <c r="C20" s="86" t="n"/>
      <c r="D20" s="86" t="n"/>
      <c r="E20" s="86" t="n"/>
      <c r="F20" s="86" t="n"/>
      <c r="G20" s="86" t="n"/>
    </row>
    <row r="21" ht="23.25" customHeight="1" s="69">
      <c r="A21" s="87" t="inlineStr">
        <is>
          <t>Minimum recommended at raise start (months)</t>
        </is>
      </c>
      <c r="B21" s="98" t="n">
        <v>6</v>
      </c>
      <c r="C21" s="86" t="n"/>
      <c r="D21" s="86" t="n"/>
      <c r="E21" s="86" t="n"/>
      <c r="F21" s="86" t="n"/>
      <c r="G21" s="86" t="n"/>
    </row>
    <row r="22" ht="15" customHeight="1" s="69">
      <c r="A22" s="87" t="inlineStr">
        <is>
          <t>Months of buffer above minimum</t>
        </is>
      </c>
      <c r="B22" s="94">
        <f>IFERROR(B20-B21,"-")</f>
        <v/>
      </c>
      <c r="C22" s="86" t="n"/>
      <c r="D22" s="86" t="n"/>
      <c r="E22" s="86" t="n"/>
      <c r="F22" s="86" t="n"/>
      <c r="G22" s="86" t="n"/>
    </row>
    <row r="23" ht="15" customHeight="1" s="69">
      <c r="A23" s="87" t="inlineStr">
        <is>
          <t>Status</t>
        </is>
      </c>
      <c r="B23" s="99">
        <f>IF(B22&gt;=0,"✓ Safe to raise","⚠ Raise immediately or cut burn")</f>
        <v/>
      </c>
      <c r="C23" s="86" t="n"/>
      <c r="D23" s="86" t="n"/>
      <c r="E23" s="86" t="n"/>
      <c r="F23" s="86" t="n"/>
      <c r="G23" s="86" t="n"/>
    </row>
  </sheetData>
  <mergeCells count="10">
    <mergeCell ref="C6:H6"/>
    <mergeCell ref="A19:F19"/>
    <mergeCell ref="A4:D4"/>
    <mergeCell ref="A2:H2"/>
    <mergeCell ref="C5:H5"/>
    <mergeCell ref="A10:H10"/>
    <mergeCell ref="C8:H8"/>
    <mergeCell ref="A18:F18"/>
    <mergeCell ref="A1:H1"/>
    <mergeCell ref="C7:H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F5C99"/>
    <outlinePr summaryBelow="1" summaryRight="1"/>
    <pageSetUpPr fitToPage="0"/>
  </sheetPr>
  <dimension ref="A1:J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68" min="1" max="1"/>
    <col width="20" customWidth="1" style="68" min="2" max="2"/>
    <col width="18" customWidth="1" style="68" min="3" max="3"/>
    <col width="16" customWidth="1" style="68" min="4" max="5"/>
    <col width="18" customWidth="1" style="68" min="6" max="6"/>
    <col width="14" customWidth="1" style="68" min="7" max="7"/>
  </cols>
  <sheetData>
    <row r="1" ht="30" customHeight="1" s="69">
      <c r="A1" s="76" t="inlineStr">
        <is>
          <t>Exercise 005 – Venture Debt Model</t>
        </is>
      </c>
    </row>
    <row r="2" ht="15" customHeight="1" s="69">
      <c r="A2" s="83" t="inlineStr">
        <is>
          <t>Model the impact of venture debt on runway and dilution. Blue cells = your inputs.</t>
        </is>
      </c>
    </row>
    <row r="4" ht="15" customHeight="1" s="69">
      <c r="A4" s="84" t="inlineStr">
        <is>
          <t>Debt Assumptions</t>
        </is>
      </c>
      <c r="B4" s="85" t="n"/>
      <c r="C4" s="85" t="n"/>
      <c r="D4" s="79" t="n"/>
      <c r="E4" s="86" t="n"/>
      <c r="F4" s="86" t="n"/>
      <c r="G4" s="86" t="n"/>
    </row>
    <row r="5" ht="15" customHeight="1" s="69">
      <c r="A5" s="87" t="inlineStr">
        <is>
          <t>Equity Round Size (£)</t>
        </is>
      </c>
      <c r="B5" s="100" t="n">
        <v>500000</v>
      </c>
      <c r="C5" s="101" t="inlineStr">
        <is>
          <t xml:space="preserve">Source: </t>
        </is>
      </c>
      <c r="D5" s="86" t="n"/>
      <c r="E5" s="86" t="n"/>
      <c r="F5" s="86" t="n"/>
      <c r="G5" s="86" t="n"/>
    </row>
    <row r="6" ht="15" customHeight="1" s="69">
      <c r="A6" s="90" t="inlineStr">
        <is>
          <t>Venture Debt Amount (£)</t>
        </is>
      </c>
      <c r="B6" s="100" t="n">
        <v>150000</v>
      </c>
      <c r="C6" s="101" t="inlineStr">
        <is>
          <t xml:space="preserve">Source: </t>
        </is>
      </c>
      <c r="D6" s="86" t="n"/>
      <c r="E6" s="86" t="n"/>
      <c r="F6" s="86" t="n"/>
      <c r="G6" s="86" t="n"/>
    </row>
    <row r="7" ht="15" customHeight="1" s="69">
      <c r="A7" s="87" t="inlineStr">
        <is>
          <t>Annual Interest Rate (%)</t>
        </is>
      </c>
      <c r="B7" s="102" t="n">
        <v>0.1</v>
      </c>
      <c r="C7" s="101" t="inlineStr">
        <is>
          <t xml:space="preserve">Source: </t>
        </is>
      </c>
      <c r="D7" s="86" t="n"/>
      <c r="E7" s="86" t="n"/>
      <c r="F7" s="86" t="n"/>
      <c r="G7" s="86" t="n"/>
    </row>
    <row r="8" ht="15" customHeight="1" s="69">
      <c r="A8" s="90" t="inlineStr">
        <is>
          <t>Term (months)</t>
        </is>
      </c>
      <c r="B8" s="103" t="n">
        <v>36</v>
      </c>
      <c r="C8" s="101" t="inlineStr">
        <is>
          <t xml:space="preserve">Source: </t>
        </is>
      </c>
      <c r="D8" s="86" t="n"/>
      <c r="E8" s="86" t="n"/>
      <c r="F8" s="86" t="n"/>
      <c r="G8" s="86" t="n"/>
    </row>
    <row r="9" ht="15" customHeight="1" s="69">
      <c r="A9" s="87" t="inlineStr">
        <is>
          <t>Facility Fee (%)</t>
        </is>
      </c>
      <c r="B9" s="102" t="n">
        <v>0.01</v>
      </c>
      <c r="C9" s="101" t="inlineStr">
        <is>
          <t xml:space="preserve">Source: </t>
        </is>
      </c>
      <c r="D9" s="86" t="n"/>
      <c r="E9" s="86" t="n"/>
      <c r="F9" s="86" t="n"/>
      <c r="G9" s="86" t="n"/>
    </row>
    <row r="10" ht="15" customHeight="1" s="69">
      <c r="A10" s="90" t="inlineStr">
        <is>
          <t>Equity Kicker / Warrant (%)</t>
        </is>
      </c>
      <c r="B10" s="102" t="n">
        <v>0.005</v>
      </c>
      <c r="C10" s="101" t="inlineStr">
        <is>
          <t xml:space="preserve">Source: </t>
        </is>
      </c>
      <c r="D10" s="86" t="n"/>
      <c r="E10" s="86" t="n"/>
      <c r="F10" s="86" t="n"/>
      <c r="G10" s="86" t="n"/>
    </row>
    <row r="11" ht="15" customHeight="1" s="69">
      <c r="A11" s="87" t="inlineStr">
        <is>
          <t>Current Monthly Burn (£)</t>
        </is>
      </c>
      <c r="B11" s="100" t="n">
        <v>40000</v>
      </c>
      <c r="C11" s="101" t="inlineStr">
        <is>
          <t xml:space="preserve">Source: </t>
        </is>
      </c>
      <c r="D11" s="86" t="n"/>
      <c r="E11" s="86" t="n"/>
      <c r="F11" s="86" t="n"/>
      <c r="G11" s="86" t="n"/>
    </row>
    <row r="12" ht="15" customHeight="1" s="69">
      <c r="A12" s="86" t="n"/>
      <c r="B12" s="86" t="n"/>
      <c r="C12" s="86" t="n"/>
      <c r="D12" s="86" t="n"/>
      <c r="E12" s="86" t="n"/>
      <c r="F12" s="86" t="n"/>
      <c r="G12" s="86" t="n"/>
    </row>
    <row r="13" ht="15" customHeight="1" s="69">
      <c r="A13" s="86" t="n"/>
      <c r="B13" s="86" t="n"/>
      <c r="C13" s="86" t="n"/>
      <c r="D13" s="86" t="n"/>
      <c r="E13" s="86" t="n"/>
      <c r="F13" s="86" t="n"/>
      <c r="G13" s="86" t="n"/>
    </row>
    <row r="14" ht="15" customHeight="1" s="69">
      <c r="A14" s="84" t="inlineStr">
        <is>
          <t>Debt Economics</t>
        </is>
      </c>
      <c r="B14" s="85" t="n"/>
      <c r="C14" s="85" t="n"/>
      <c r="D14" s="85" t="n"/>
      <c r="E14" s="79" t="n"/>
      <c r="F14" s="86" t="n"/>
      <c r="G14" s="86" t="n"/>
    </row>
    <row r="15" ht="15" customHeight="1" s="69">
      <c r="A15" s="87" t="inlineStr">
        <is>
          <t>Monthly Interest Payment (£)</t>
        </is>
      </c>
      <c r="B15" s="104">
        <f>B6*B7/12</f>
        <v/>
      </c>
      <c r="C15" s="86" t="n"/>
      <c r="D15" s="86" t="n"/>
      <c r="E15" s="86" t="n"/>
      <c r="F15" s="86" t="n"/>
      <c r="G15" s="86" t="n"/>
    </row>
    <row r="16" ht="15" customHeight="1" s="69">
      <c r="A16" s="90" t="inlineStr">
        <is>
          <t>Total Interest Over Term (£)</t>
        </is>
      </c>
      <c r="B16" s="104">
        <f>B15*B8</f>
        <v/>
      </c>
      <c r="C16" s="86" t="n"/>
      <c r="D16" s="86" t="n"/>
      <c r="E16" s="86" t="n"/>
      <c r="F16" s="86" t="n"/>
      <c r="G16" s="86" t="n"/>
    </row>
    <row r="17" ht="15" customHeight="1" s="69">
      <c r="A17" s="87" t="inlineStr">
        <is>
          <t>Facility Fee (£)</t>
        </is>
      </c>
      <c r="B17" s="104">
        <f>B5*B9</f>
        <v/>
      </c>
      <c r="C17" s="86" t="n"/>
      <c r="D17" s="86" t="n"/>
      <c r="E17" s="86" t="n"/>
      <c r="F17" s="86" t="n"/>
      <c r="G17" s="86" t="n"/>
    </row>
    <row r="18" ht="15" customHeight="1" s="69">
      <c r="A18" s="90" t="inlineStr">
        <is>
          <t>Effective All-In Cost (£)</t>
        </is>
      </c>
      <c r="B18" s="104">
        <f>B16+B17</f>
        <v/>
      </c>
      <c r="C18" s="86" t="n"/>
      <c r="D18" s="86" t="n"/>
      <c r="E18" s="86" t="n"/>
      <c r="F18" s="86" t="n"/>
      <c r="G18" s="86" t="n"/>
    </row>
    <row r="19" ht="15" customHeight="1" s="69">
      <c r="A19" s="87" t="inlineStr">
        <is>
          <t>Warrants Issued (% of co.)</t>
        </is>
      </c>
      <c r="B19" s="105">
        <f>B10</f>
        <v/>
      </c>
      <c r="C19" s="86" t="n"/>
      <c r="D19" s="86" t="n"/>
      <c r="E19" s="86" t="n"/>
      <c r="F19" s="86" t="n"/>
      <c r="G19" s="86" t="n"/>
    </row>
    <row r="20" ht="15" customHeight="1" s="69">
      <c r="A20" s="90" t="inlineStr">
        <is>
          <t>Runway Added (months)</t>
        </is>
      </c>
      <c r="B20" s="106">
        <f>ROUND(B6/B11,1)</f>
        <v/>
      </c>
      <c r="C20" s="86" t="n"/>
      <c r="D20" s="86" t="n"/>
      <c r="E20" s="86" t="n"/>
      <c r="F20" s="86" t="n"/>
      <c r="G20" s="86" t="n"/>
    </row>
    <row r="21" ht="15" customHeight="1" s="69">
      <c r="A21" s="86" t="n"/>
      <c r="B21" s="86" t="n"/>
      <c r="C21" s="86" t="n"/>
      <c r="D21" s="86" t="n"/>
      <c r="E21" s="86" t="n"/>
      <c r="F21" s="86" t="n"/>
      <c r="G21" s="86" t="n"/>
    </row>
    <row r="22" ht="15" customHeight="1" s="69">
      <c r="A22" s="86" t="n"/>
      <c r="B22" s="86" t="n"/>
      <c r="C22" s="86" t="n"/>
      <c r="D22" s="86" t="n"/>
      <c r="E22" s="86" t="n"/>
      <c r="F22" s="86" t="n"/>
      <c r="G22" s="86" t="n"/>
    </row>
    <row r="23" ht="15" customHeight="1" s="69">
      <c r="A23" s="84" t="inlineStr">
        <is>
          <t>Monthly Repayment Schedule (first 12 months)</t>
        </is>
      </c>
      <c r="B23" s="85" t="n"/>
      <c r="C23" s="85" t="n"/>
      <c r="D23" s="85" t="n"/>
      <c r="E23" s="85" t="n"/>
      <c r="F23" s="85" t="n"/>
      <c r="G23" s="79" t="n"/>
    </row>
    <row r="24" ht="15" customHeight="1" s="69">
      <c r="A24" s="93" t="inlineStr">
        <is>
          <t>Month</t>
        </is>
      </c>
      <c r="B24" s="93" t="inlineStr">
        <is>
          <t>Opening Balance (£)</t>
        </is>
      </c>
      <c r="C24" s="93" t="inlineStr">
        <is>
          <t>Interest (£)</t>
        </is>
      </c>
      <c r="D24" s="93" t="inlineStr">
        <is>
          <t>Principal (£)</t>
        </is>
      </c>
      <c r="E24" s="93" t="inlineStr">
        <is>
          <t>Total Payment (£)</t>
        </is>
      </c>
      <c r="F24" s="93" t="inlineStr">
        <is>
          <t>Closing Balance (£)</t>
        </is>
      </c>
      <c r="G24" s="86" t="n"/>
    </row>
    <row r="25" ht="15" customHeight="1" s="69">
      <c r="A25" s="107" t="inlineStr">
        <is>
          <t>1</t>
        </is>
      </c>
      <c r="B25" s="91">
        <f>B6</f>
        <v/>
      </c>
      <c r="C25" s="91">
        <f>B25*$B$7/12</f>
        <v/>
      </c>
      <c r="D25" s="91">
        <f>ROUND($B$6/$B$8,0)</f>
        <v/>
      </c>
      <c r="E25" s="91">
        <f>C25+D25</f>
        <v/>
      </c>
      <c r="F25" s="91">
        <f>MAX(0,B25-D25)</f>
        <v/>
      </c>
      <c r="G25" s="86" t="n"/>
    </row>
    <row r="26" ht="15" customHeight="1" s="69">
      <c r="A26" s="108" t="inlineStr">
        <is>
          <t>2</t>
        </is>
      </c>
      <c r="B26" s="91">
        <f>F25</f>
        <v/>
      </c>
      <c r="C26" s="91">
        <f>B26*$B$7/12</f>
        <v/>
      </c>
      <c r="D26" s="91">
        <f>ROUND($B$6/$B$8,0)</f>
        <v/>
      </c>
      <c r="E26" s="91">
        <f>C26+D26</f>
        <v/>
      </c>
      <c r="F26" s="91">
        <f>MAX(0,B26-D26)</f>
        <v/>
      </c>
      <c r="G26" s="86" t="n"/>
    </row>
    <row r="27" ht="15" customHeight="1" s="69">
      <c r="A27" s="107" t="inlineStr">
        <is>
          <t>3</t>
        </is>
      </c>
      <c r="B27" s="91">
        <f>F26</f>
        <v/>
      </c>
      <c r="C27" s="91">
        <f>B27*$B$7/12</f>
        <v/>
      </c>
      <c r="D27" s="91">
        <f>ROUND($B$6/$B$8,0)</f>
        <v/>
      </c>
      <c r="E27" s="91">
        <f>C27+D27</f>
        <v/>
      </c>
      <c r="F27" s="91">
        <f>MAX(0,B27-D27)</f>
        <v/>
      </c>
      <c r="G27" s="86" t="n"/>
    </row>
    <row r="28" ht="15" customHeight="1" s="69">
      <c r="A28" s="108" t="inlineStr">
        <is>
          <t>4</t>
        </is>
      </c>
      <c r="B28" s="91">
        <f>F27</f>
        <v/>
      </c>
      <c r="C28" s="91">
        <f>B28*$B$7/12</f>
        <v/>
      </c>
      <c r="D28" s="91">
        <f>ROUND($B$6/$B$8,0)</f>
        <v/>
      </c>
      <c r="E28" s="91">
        <f>C28+D28</f>
        <v/>
      </c>
      <c r="F28" s="91">
        <f>MAX(0,B28-D28)</f>
        <v/>
      </c>
      <c r="G28" s="86" t="n"/>
    </row>
    <row r="29" ht="15" customHeight="1" s="69">
      <c r="A29" s="107" t="inlineStr">
        <is>
          <t>5</t>
        </is>
      </c>
      <c r="B29" s="91">
        <f>F28</f>
        <v/>
      </c>
      <c r="C29" s="91">
        <f>B29*$B$7/12</f>
        <v/>
      </c>
      <c r="D29" s="91">
        <f>ROUND($B$6/$B$8,0)</f>
        <v/>
      </c>
      <c r="E29" s="91">
        <f>C29+D29</f>
        <v/>
      </c>
      <c r="F29" s="91">
        <f>MAX(0,B29-D29)</f>
        <v/>
      </c>
      <c r="G29" s="86" t="n"/>
    </row>
    <row r="30" ht="15" customHeight="1" s="69">
      <c r="A30" s="108" t="inlineStr">
        <is>
          <t>6</t>
        </is>
      </c>
      <c r="B30" s="91">
        <f>F29</f>
        <v/>
      </c>
      <c r="C30" s="91">
        <f>B30*$B$7/12</f>
        <v/>
      </c>
      <c r="D30" s="91">
        <f>ROUND($B$6/$B$8,0)</f>
        <v/>
      </c>
      <c r="E30" s="91">
        <f>C30+D30</f>
        <v/>
      </c>
      <c r="F30" s="91">
        <f>MAX(0,B30-D30)</f>
        <v/>
      </c>
      <c r="G30" s="86" t="n"/>
    </row>
    <row r="31" ht="15" customHeight="1" s="69">
      <c r="A31" s="107" t="inlineStr">
        <is>
          <t>7</t>
        </is>
      </c>
      <c r="B31" s="91">
        <f>F30</f>
        <v/>
      </c>
      <c r="C31" s="91">
        <f>B31*$B$7/12</f>
        <v/>
      </c>
      <c r="D31" s="91">
        <f>ROUND($B$6/$B$8,0)</f>
        <v/>
      </c>
      <c r="E31" s="91">
        <f>C31+D31</f>
        <v/>
      </c>
      <c r="F31" s="91">
        <f>MAX(0,B31-D31)</f>
        <v/>
      </c>
      <c r="G31" s="86" t="n"/>
    </row>
    <row r="32" ht="15" customHeight="1" s="69">
      <c r="A32" s="108" t="inlineStr">
        <is>
          <t>8</t>
        </is>
      </c>
      <c r="B32" s="91">
        <f>F31</f>
        <v/>
      </c>
      <c r="C32" s="91">
        <f>B32*$B$7/12</f>
        <v/>
      </c>
      <c r="D32" s="91">
        <f>ROUND($B$6/$B$8,0)</f>
        <v/>
      </c>
      <c r="E32" s="91">
        <f>C32+D32</f>
        <v/>
      </c>
      <c r="F32" s="91">
        <f>MAX(0,B32-D32)</f>
        <v/>
      </c>
      <c r="G32" s="86" t="n"/>
    </row>
    <row r="33" ht="15" customHeight="1" s="69">
      <c r="A33" s="107" t="inlineStr">
        <is>
          <t>9</t>
        </is>
      </c>
      <c r="B33" s="91">
        <f>F32</f>
        <v/>
      </c>
      <c r="C33" s="91">
        <f>B33*$B$7/12</f>
        <v/>
      </c>
      <c r="D33" s="91">
        <f>ROUND($B$6/$B$8,0)</f>
        <v/>
      </c>
      <c r="E33" s="91">
        <f>C33+D33</f>
        <v/>
      </c>
      <c r="F33" s="91">
        <f>MAX(0,B33-D33)</f>
        <v/>
      </c>
      <c r="G33" s="86" t="n"/>
    </row>
    <row r="34" ht="15" customHeight="1" s="69">
      <c r="A34" s="108" t="inlineStr">
        <is>
          <t>10</t>
        </is>
      </c>
      <c r="B34" s="91">
        <f>F33</f>
        <v/>
      </c>
      <c r="C34" s="91">
        <f>B34*$B$7/12</f>
        <v/>
      </c>
      <c r="D34" s="91">
        <f>ROUND($B$6/$B$8,0)</f>
        <v/>
      </c>
      <c r="E34" s="91">
        <f>C34+D34</f>
        <v/>
      </c>
      <c r="F34" s="91">
        <f>MAX(0,B34-D34)</f>
        <v/>
      </c>
      <c r="G34" s="86" t="n"/>
    </row>
    <row r="35" ht="15" customHeight="1" s="69">
      <c r="A35" s="107" t="inlineStr">
        <is>
          <t>11</t>
        </is>
      </c>
      <c r="B35" s="91">
        <f>F34</f>
        <v/>
      </c>
      <c r="C35" s="91">
        <f>B35*$B$7/12</f>
        <v/>
      </c>
      <c r="D35" s="91">
        <f>ROUND($B$6/$B$8,0)</f>
        <v/>
      </c>
      <c r="E35" s="91">
        <f>C35+D35</f>
        <v/>
      </c>
      <c r="F35" s="91">
        <f>MAX(0,B35-D35)</f>
        <v/>
      </c>
      <c r="G35" s="86" t="n"/>
    </row>
    <row r="36" ht="15" customHeight="1" s="69">
      <c r="A36" s="108" t="inlineStr">
        <is>
          <t>12</t>
        </is>
      </c>
      <c r="B36" s="91">
        <f>F35</f>
        <v/>
      </c>
      <c r="C36" s="91">
        <f>B36*$B$7/12</f>
        <v/>
      </c>
      <c r="D36" s="91">
        <f>ROUND($B$6/$B$8,0)</f>
        <v/>
      </c>
      <c r="E36" s="91">
        <f>C36+D36</f>
        <v/>
      </c>
      <c r="F36" s="91">
        <f>MAX(0,B36-D36)</f>
        <v/>
      </c>
      <c r="G36" s="86" t="n"/>
    </row>
  </sheetData>
  <mergeCells count="5">
    <mergeCell ref="A1:J1"/>
    <mergeCell ref="A4:D4"/>
    <mergeCell ref="A2:J2"/>
    <mergeCell ref="A14:E14"/>
    <mergeCell ref="A23:G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1F5C99"/>
    <outlinePr summaryBelow="1" summaryRight="1"/>
    <pageSetUpPr fitToPage="0"/>
  </sheetPr>
  <dimension ref="A1:I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68" min="1" max="1"/>
    <col width="14" customWidth="1" style="68" min="2" max="2"/>
    <col width="16" customWidth="1" style="68" min="3" max="3"/>
    <col width="18" customWidth="1" style="68" min="4" max="4"/>
    <col width="14" customWidth="1" style="68" min="5" max="5"/>
    <col width="8" customWidth="1" style="68" min="6" max="6"/>
    <col width="14" customWidth="1" style="68" min="7" max="7"/>
    <col width="16" customWidth="1" style="68" min="8" max="8"/>
    <col width="24" customWidth="1" style="68" min="9" max="9"/>
  </cols>
  <sheetData>
    <row r="1" ht="30" customHeight="1" s="69">
      <c r="A1" s="76" t="inlineStr">
        <is>
          <t>Exercise 006 – SAFE &amp; Convertible Note Tracker</t>
        </is>
      </c>
    </row>
    <row r="2" ht="15" customHeight="1" s="69">
      <c r="A2" s="83" t="inlineStr">
        <is>
          <t>List every outstanding convertible instrument. Model conversion at three round valuations.</t>
        </is>
      </c>
    </row>
    <row r="4" ht="15" customHeight="1" s="69">
      <c r="A4" s="84" t="inlineStr">
        <is>
          <t>Instrument Registry</t>
        </is>
      </c>
      <c r="B4" s="85" t="n"/>
      <c r="C4" s="85" t="n"/>
      <c r="D4" s="85" t="n"/>
      <c r="E4" s="85" t="n"/>
      <c r="F4" s="85" t="n"/>
      <c r="G4" s="85" t="n"/>
      <c r="H4" s="85" t="n"/>
      <c r="I4" s="79" t="n"/>
    </row>
    <row r="5" ht="15" customHeight="1" s="69">
      <c r="A5" s="93" t="inlineStr">
        <is>
          <t>Investor</t>
        </is>
      </c>
      <c r="B5" s="93" t="inlineStr">
        <is>
          <t>Type</t>
        </is>
      </c>
      <c r="C5" s="93" t="inlineStr">
        <is>
          <t>Principal (£)</t>
        </is>
      </c>
      <c r="D5" s="93" t="inlineStr">
        <is>
          <t>Valuation Cap (£)</t>
        </is>
      </c>
      <c r="E5" s="93" t="inlineStr">
        <is>
          <t>Discount (%)</t>
        </is>
      </c>
      <c r="F5" s="93" t="inlineStr">
        <is>
          <t>MFN?</t>
        </is>
      </c>
      <c r="G5" s="93" t="inlineStr">
        <is>
          <t>Interest Rate</t>
        </is>
      </c>
      <c r="H5" s="93" t="inlineStr">
        <is>
          <t>Maturity Date</t>
        </is>
      </c>
      <c r="I5" s="93" t="inlineStr">
        <is>
          <t>Notes</t>
        </is>
      </c>
    </row>
    <row r="6" ht="15" customHeight="1" s="69">
      <c r="A6" s="109" t="n"/>
      <c r="B6" s="109" t="n"/>
      <c r="C6" s="109" t="n"/>
      <c r="D6" s="109" t="n"/>
      <c r="E6" s="109" t="n"/>
      <c r="F6" s="109" t="n"/>
      <c r="G6" s="109" t="n"/>
      <c r="H6" s="109" t="n"/>
      <c r="I6" s="110" t="n"/>
    </row>
    <row r="7" ht="15" customHeight="1" s="69">
      <c r="A7" s="109" t="n"/>
      <c r="B7" s="109" t="n"/>
      <c r="C7" s="109" t="n"/>
      <c r="D7" s="109" t="n"/>
      <c r="E7" s="109" t="n"/>
      <c r="F7" s="109" t="n"/>
      <c r="G7" s="109" t="n"/>
      <c r="H7" s="109" t="n"/>
      <c r="I7" s="110" t="n"/>
    </row>
    <row r="8" ht="15" customHeight="1" s="69">
      <c r="A8" s="109" t="n"/>
      <c r="B8" s="109" t="n"/>
      <c r="C8" s="109" t="n"/>
      <c r="D8" s="109" t="n"/>
      <c r="E8" s="109" t="n"/>
      <c r="F8" s="109" t="n"/>
      <c r="G8" s="109" t="n"/>
      <c r="H8" s="109" t="n"/>
      <c r="I8" s="110" t="n"/>
    </row>
    <row r="9" ht="15" customHeight="1" s="69">
      <c r="A9" s="109" t="n"/>
      <c r="B9" s="109" t="n"/>
      <c r="C9" s="109" t="n"/>
      <c r="D9" s="109" t="n"/>
      <c r="E9" s="109" t="n"/>
      <c r="F9" s="109" t="n"/>
      <c r="G9" s="109" t="n"/>
      <c r="H9" s="109" t="n"/>
      <c r="I9" s="110" t="n"/>
    </row>
    <row r="10" ht="15" customHeight="1" s="69">
      <c r="A10" s="109" t="n"/>
      <c r="B10" s="109" t="n"/>
      <c r="C10" s="109" t="n"/>
      <c r="D10" s="109" t="n"/>
      <c r="E10" s="109" t="n"/>
      <c r="F10" s="109" t="n"/>
      <c r="G10" s="109" t="n"/>
      <c r="H10" s="109" t="n"/>
      <c r="I10" s="110" t="n"/>
    </row>
    <row r="11" ht="15" customHeight="1" s="69">
      <c r="A11" s="109" t="n"/>
      <c r="B11" s="109" t="n"/>
      <c r="C11" s="109" t="n"/>
      <c r="D11" s="109" t="n"/>
      <c r="E11" s="109" t="n"/>
      <c r="F11" s="109" t="n"/>
      <c r="G11" s="109" t="n"/>
      <c r="H11" s="109" t="n"/>
      <c r="I11" s="110" t="n"/>
    </row>
    <row r="12" ht="15" customHeight="1" s="69">
      <c r="A12" s="86" t="n"/>
      <c r="B12" s="86" t="n"/>
      <c r="C12" s="86" t="n"/>
      <c r="D12" s="86" t="n"/>
      <c r="E12" s="86" t="n"/>
      <c r="F12" s="86" t="n"/>
      <c r="G12" s="86" t="n"/>
      <c r="H12" s="86" t="n"/>
      <c r="I12" s="86" t="n"/>
    </row>
    <row r="13" ht="15" customHeight="1" s="69">
      <c r="A13" s="84" t="inlineStr">
        <is>
          <t>Conversion Analysis</t>
        </is>
      </c>
      <c r="B13" s="85" t="n"/>
      <c r="C13" s="85" t="n"/>
      <c r="D13" s="85" t="n"/>
      <c r="E13" s="85" t="n"/>
      <c r="F13" s="85" t="n"/>
      <c r="G13" s="79" t="n"/>
      <c r="H13" s="86" t="n"/>
      <c r="I13" s="86" t="n"/>
    </row>
    <row r="14" ht="15" customHeight="1" s="69">
      <c r="A14" s="97" t="inlineStr">
        <is>
          <t>Enter three target pre-money valuations. Model shows shares issued per instrument.</t>
        </is>
      </c>
      <c r="B14" s="85" t="n"/>
      <c r="C14" s="85" t="n"/>
      <c r="D14" s="85" t="n"/>
      <c r="E14" s="85" t="n"/>
      <c r="F14" s="85" t="n"/>
      <c r="G14" s="79" t="n"/>
      <c r="H14" s="86" t="n"/>
      <c r="I14" s="86" t="n"/>
    </row>
    <row r="15" ht="15" customHeight="1" s="69">
      <c r="A15" s="93" t="inlineStr">
        <is>
          <t>Scenario</t>
        </is>
      </c>
      <c r="B15" s="93" t="inlineStr">
        <is>
          <t>Pre-Money Valuation (£)</t>
        </is>
      </c>
      <c r="C15" s="93" t="inlineStr">
        <is>
          <t>Round Size (£)</t>
        </is>
      </c>
      <c r="D15" s="93" t="inlineStr">
        <is>
          <t>Post-Money (£)</t>
        </is>
      </c>
      <c r="E15" s="93" t="inlineStr">
        <is>
          <t>Instrument 1 Converts At (£)</t>
        </is>
      </c>
      <c r="F15" s="93" t="inlineStr">
        <is>
          <t>Instrument 1 Shares %</t>
        </is>
      </c>
      <c r="G15" s="93" t="inlineStr">
        <is>
          <t>Total New Dilution %</t>
        </is>
      </c>
      <c r="H15" s="86" t="n"/>
      <c r="I15" s="86" t="n"/>
    </row>
    <row r="16" ht="15" customHeight="1" s="69">
      <c r="A16" s="90" t="inlineStr">
        <is>
          <t>Floor</t>
        </is>
      </c>
      <c r="B16" s="100" t="n"/>
      <c r="C16" s="100" t="n"/>
      <c r="D16" s="104">
        <f>B16+C16</f>
        <v/>
      </c>
      <c r="E16" s="104">
        <f>IF(B6="","-",MIN(D16,E6)*IF(F6="Y",1-H6,1))</f>
        <v/>
      </c>
      <c r="F16" s="111">
        <f>IF(E16="-","-",E16/D16)</f>
        <v/>
      </c>
      <c r="G16" s="111">
        <f>IF(C16=0,"-",C16/D16)</f>
        <v/>
      </c>
      <c r="H16" s="86" t="n"/>
      <c r="I16" s="86" t="n"/>
    </row>
    <row r="17" ht="15" customHeight="1" s="69">
      <c r="A17" s="87" t="inlineStr">
        <is>
          <t>Target</t>
        </is>
      </c>
      <c r="B17" s="100" t="n"/>
      <c r="C17" s="100" t="n"/>
      <c r="D17" s="104">
        <f>B17+C17</f>
        <v/>
      </c>
      <c r="E17" s="104">
        <f>IF(B6="","-",MIN(D17,E6)*IF(F6="Y",1-H6,1))</f>
        <v/>
      </c>
      <c r="F17" s="111">
        <f>IF(E17="-","-",E17/D17)</f>
        <v/>
      </c>
      <c r="G17" s="111">
        <f>IF(C17=0,"-",C17/D17)</f>
        <v/>
      </c>
      <c r="H17" s="86" t="n"/>
      <c r="I17" s="86" t="n"/>
    </row>
    <row r="18" ht="15" customHeight="1" s="69">
      <c r="A18" s="90" t="inlineStr">
        <is>
          <t>Stretch</t>
        </is>
      </c>
      <c r="B18" s="100" t="n"/>
      <c r="C18" s="100" t="n"/>
      <c r="D18" s="104">
        <f>B18+C18</f>
        <v/>
      </c>
      <c r="E18" s="104">
        <f>IF(B6="","-",MIN(D18,E6)*IF(F6="Y",1-H6,1))</f>
        <v/>
      </c>
      <c r="F18" s="111">
        <f>IF(E18="-","-",E18/D18)</f>
        <v/>
      </c>
      <c r="G18" s="111">
        <f>IF(C18=0,"-",C18/D18)</f>
        <v/>
      </c>
      <c r="H18" s="86" t="n"/>
      <c r="I18" s="86" t="n"/>
    </row>
  </sheetData>
  <mergeCells count="5">
    <mergeCell ref="A13:G13"/>
    <mergeCell ref="A14:G14"/>
    <mergeCell ref="A2:I2"/>
    <mergeCell ref="A1:I1"/>
    <mergeCell ref="A4:I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F5C99"/>
    <outlinePr summaryBelow="1" summaryRight="1"/>
    <pageSetUpPr fitToPage="0"/>
  </sheetPr>
  <dimension ref="A1:J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68" min="1" max="1"/>
    <col width="18" customWidth="1" style="68" min="2" max="2"/>
    <col width="22" customWidth="1" style="68" min="3" max="3"/>
    <col width="18" customWidth="1" style="68" min="4" max="4"/>
    <col width="10" customWidth="1" style="68" min="5" max="6"/>
    <col width="12" customWidth="1" style="68" min="7" max="8"/>
    <col width="10" customWidth="1" style="68" min="9" max="9"/>
    <col width="14" customWidth="1" style="68" min="10" max="10"/>
  </cols>
  <sheetData>
    <row r="1" ht="30" customHeight="1" s="69">
      <c r="A1" s="76" t="inlineStr">
        <is>
          <t>Exercise 007 – VC Targeting Matrix</t>
        </is>
      </c>
    </row>
    <row r="2" ht="15" customHeight="1" s="69">
      <c r="A2" s="83" t="inlineStr">
        <is>
          <t>Score each fund 1–5. Tier is auto-assigned. Blue = inputs. Populate 20+ funds.</t>
        </is>
      </c>
    </row>
    <row r="4" ht="39.75" customHeight="1" s="69">
      <c r="A4" s="112" t="inlineStr">
        <is>
          <t>Fund Name</t>
        </is>
      </c>
      <c r="B4" s="112" t="inlineStr">
        <is>
          <t>Stage Focus</t>
        </is>
      </c>
      <c r="C4" s="112" t="inlineStr">
        <is>
          <t>Sector Focus</t>
        </is>
      </c>
      <c r="D4" s="112" t="inlineStr">
        <is>
          <t>Typical Cheque (£)</t>
        </is>
      </c>
      <c r="E4" s="112" t="inlineStr">
        <is>
          <t>Stage Fit
(1–5)</t>
        </is>
      </c>
      <c r="F4" s="112" t="inlineStr">
        <is>
          <t>Sector Fit
(1–5)</t>
        </is>
      </c>
      <c r="G4" s="112" t="inlineStr">
        <is>
          <t>Network Value
(1–5)</t>
        </is>
      </c>
      <c r="H4" s="112" t="inlineStr">
        <is>
          <t>Total Score</t>
        </is>
      </c>
      <c r="I4" s="112" t="inlineStr">
        <is>
          <t>Tier</t>
        </is>
      </c>
      <c r="J4" s="112" t="inlineStr">
        <is>
          <t>Warm Intro?</t>
        </is>
      </c>
    </row>
    <row r="5" ht="15" customHeight="1" s="69">
      <c r="A5" s="113" t="n"/>
      <c r="B5" s="113" t="n"/>
      <c r="C5" s="113" t="n"/>
      <c r="D5" s="100" t="n"/>
      <c r="E5" s="103" t="n"/>
      <c r="F5" s="103" t="n"/>
      <c r="G5" s="103" t="n"/>
      <c r="H5" s="114">
        <f>IF(E5="","-",E5+F5+G5)</f>
        <v/>
      </c>
      <c r="I5" s="99">
        <f>IF(E5="","",IF(E5&lt;3,"Exclude",IF(H5&gt;=12,"Tier 1",IF(H5&gt;=9,"Tier 2","Tier 3"))))</f>
        <v/>
      </c>
      <c r="J5" s="109" t="n"/>
    </row>
    <row r="6" ht="15" customHeight="1" s="69">
      <c r="A6" s="113" t="n"/>
      <c r="B6" s="113" t="n"/>
      <c r="C6" s="113" t="n"/>
      <c r="D6" s="100" t="n"/>
      <c r="E6" s="103" t="n"/>
      <c r="F6" s="103" t="n"/>
      <c r="G6" s="103" t="n"/>
      <c r="H6" s="114">
        <f>IF(E6="","-",E6+F6+G6)</f>
        <v/>
      </c>
      <c r="I6" s="99">
        <f>IF(E6="","",IF(E6&lt;3,"Exclude",IF(H6&gt;=12,"Tier 1",IF(H6&gt;=9,"Tier 2","Tier 3"))))</f>
        <v/>
      </c>
      <c r="J6" s="109" t="n"/>
    </row>
    <row r="7" ht="15" customHeight="1" s="69">
      <c r="A7" s="113" t="n"/>
      <c r="B7" s="113" t="n"/>
      <c r="C7" s="113" t="n"/>
      <c r="D7" s="100" t="n"/>
      <c r="E7" s="103" t="n"/>
      <c r="F7" s="103" t="n"/>
      <c r="G7" s="103" t="n"/>
      <c r="H7" s="114">
        <f>IF(E7="","-",E7+F7+G7)</f>
        <v/>
      </c>
      <c r="I7" s="99">
        <f>IF(E7="","",IF(E7&lt;3,"Exclude",IF(H7&gt;=12,"Tier 1",IF(H7&gt;=9,"Tier 2","Tier 3"))))</f>
        <v/>
      </c>
      <c r="J7" s="109" t="n"/>
    </row>
    <row r="8" ht="15" customHeight="1" s="69">
      <c r="A8" s="113" t="n"/>
      <c r="B8" s="113" t="n"/>
      <c r="C8" s="113" t="n"/>
      <c r="D8" s="100" t="n"/>
      <c r="E8" s="103" t="n"/>
      <c r="F8" s="103" t="n"/>
      <c r="G8" s="103" t="n"/>
      <c r="H8" s="114">
        <f>IF(E8="","-",E8+F8+G8)</f>
        <v/>
      </c>
      <c r="I8" s="99">
        <f>IF(E8="","",IF(E8&lt;3,"Exclude",IF(H8&gt;=12,"Tier 1",IF(H8&gt;=9,"Tier 2","Tier 3"))))</f>
        <v/>
      </c>
      <c r="J8" s="109" t="n"/>
    </row>
    <row r="9" ht="15" customHeight="1" s="69">
      <c r="A9" s="113" t="n"/>
      <c r="B9" s="113" t="n"/>
      <c r="C9" s="113" t="n"/>
      <c r="D9" s="100" t="n"/>
      <c r="E9" s="103" t="n"/>
      <c r="F9" s="103" t="n"/>
      <c r="G9" s="103" t="n"/>
      <c r="H9" s="114">
        <f>IF(E9="","-",E9+F9+G9)</f>
        <v/>
      </c>
      <c r="I9" s="99">
        <f>IF(E9="","",IF(E9&lt;3,"Exclude",IF(H9&gt;=12,"Tier 1",IF(H9&gt;=9,"Tier 2","Tier 3"))))</f>
        <v/>
      </c>
      <c r="J9" s="109" t="n"/>
    </row>
    <row r="10" ht="15" customHeight="1" s="69">
      <c r="A10" s="113" t="n"/>
      <c r="B10" s="113" t="n"/>
      <c r="C10" s="113" t="n"/>
      <c r="D10" s="100" t="n"/>
      <c r="E10" s="103" t="n"/>
      <c r="F10" s="103" t="n"/>
      <c r="G10" s="103" t="n"/>
      <c r="H10" s="114">
        <f>IF(E10="","-",E10+F10+G10)</f>
        <v/>
      </c>
      <c r="I10" s="99">
        <f>IF(E10="","",IF(E10&lt;3,"Exclude",IF(H10&gt;=12,"Tier 1",IF(H10&gt;=9,"Tier 2","Tier 3"))))</f>
        <v/>
      </c>
      <c r="J10" s="109" t="n"/>
    </row>
    <row r="11" ht="15" customHeight="1" s="69">
      <c r="A11" s="113" t="n"/>
      <c r="B11" s="113" t="n"/>
      <c r="C11" s="113" t="n"/>
      <c r="D11" s="100" t="n"/>
      <c r="E11" s="103" t="n"/>
      <c r="F11" s="103" t="n"/>
      <c r="G11" s="103" t="n"/>
      <c r="H11" s="114">
        <f>IF(E11="","-",E11+F11+G11)</f>
        <v/>
      </c>
      <c r="I11" s="99">
        <f>IF(E11="","",IF(E11&lt;3,"Exclude",IF(H11&gt;=12,"Tier 1",IF(H11&gt;=9,"Tier 2","Tier 3"))))</f>
        <v/>
      </c>
      <c r="J11" s="109" t="n"/>
    </row>
    <row r="12" ht="15" customHeight="1" s="69">
      <c r="A12" s="113" t="n"/>
      <c r="B12" s="113" t="n"/>
      <c r="C12" s="113" t="n"/>
      <c r="D12" s="100" t="n"/>
      <c r="E12" s="103" t="n"/>
      <c r="F12" s="103" t="n"/>
      <c r="G12" s="103" t="n"/>
      <c r="H12" s="114">
        <f>IF(E12="","-",E12+F12+G12)</f>
        <v/>
      </c>
      <c r="I12" s="99">
        <f>IF(E12="","",IF(E12&lt;3,"Exclude",IF(H12&gt;=12,"Tier 1",IF(H12&gt;=9,"Tier 2","Tier 3"))))</f>
        <v/>
      </c>
      <c r="J12" s="109" t="n"/>
    </row>
    <row r="13" ht="15" customHeight="1" s="69">
      <c r="A13" s="113" t="n"/>
      <c r="B13" s="113" t="n"/>
      <c r="C13" s="113" t="n"/>
      <c r="D13" s="100" t="n"/>
      <c r="E13" s="103" t="n"/>
      <c r="F13" s="103" t="n"/>
      <c r="G13" s="103" t="n"/>
      <c r="H13" s="114">
        <f>IF(E13="","-",E13+F13+G13)</f>
        <v/>
      </c>
      <c r="I13" s="99">
        <f>IF(E13="","",IF(E13&lt;3,"Exclude",IF(H13&gt;=12,"Tier 1",IF(H13&gt;=9,"Tier 2","Tier 3"))))</f>
        <v/>
      </c>
      <c r="J13" s="109" t="n"/>
    </row>
    <row r="14" ht="15" customHeight="1" s="69">
      <c r="A14" s="113" t="n"/>
      <c r="B14" s="113" t="n"/>
      <c r="C14" s="113" t="n"/>
      <c r="D14" s="100" t="n"/>
      <c r="E14" s="103" t="n"/>
      <c r="F14" s="103" t="n"/>
      <c r="G14" s="103" t="n"/>
      <c r="H14" s="114">
        <f>IF(E14="","-",E14+F14+G14)</f>
        <v/>
      </c>
      <c r="I14" s="99">
        <f>IF(E14="","",IF(E14&lt;3,"Exclude",IF(H14&gt;=12,"Tier 1",IF(H14&gt;=9,"Tier 2","Tier 3"))))</f>
        <v/>
      </c>
      <c r="J14" s="109" t="n"/>
    </row>
    <row r="15" ht="15" customHeight="1" s="69">
      <c r="A15" s="113" t="n"/>
      <c r="B15" s="113" t="n"/>
      <c r="C15" s="113" t="n"/>
      <c r="D15" s="100" t="n"/>
      <c r="E15" s="103" t="n"/>
      <c r="F15" s="103" t="n"/>
      <c r="G15" s="103" t="n"/>
      <c r="H15" s="114">
        <f>IF(E15="","-",E15+F15+G15)</f>
        <v/>
      </c>
      <c r="I15" s="99">
        <f>IF(E15="","",IF(E15&lt;3,"Exclude",IF(H15&gt;=12,"Tier 1",IF(H15&gt;=9,"Tier 2","Tier 3"))))</f>
        <v/>
      </c>
      <c r="J15" s="109" t="n"/>
    </row>
    <row r="16" ht="15" customHeight="1" s="69">
      <c r="A16" s="113" t="n"/>
      <c r="B16" s="113" t="n"/>
      <c r="C16" s="113" t="n"/>
      <c r="D16" s="100" t="n"/>
      <c r="E16" s="103" t="n"/>
      <c r="F16" s="103" t="n"/>
      <c r="G16" s="103" t="n"/>
      <c r="H16" s="114">
        <f>IF(E16="","-",E16+F16+G16)</f>
        <v/>
      </c>
      <c r="I16" s="99">
        <f>IF(E16="","",IF(E16&lt;3,"Exclude",IF(H16&gt;=12,"Tier 1",IF(H16&gt;=9,"Tier 2","Tier 3"))))</f>
        <v/>
      </c>
      <c r="J16" s="109" t="n"/>
    </row>
    <row r="17" ht="15" customHeight="1" s="69">
      <c r="A17" s="113" t="n"/>
      <c r="B17" s="113" t="n"/>
      <c r="C17" s="113" t="n"/>
      <c r="D17" s="100" t="n"/>
      <c r="E17" s="103" t="n"/>
      <c r="F17" s="103" t="n"/>
      <c r="G17" s="103" t="n"/>
      <c r="H17" s="114">
        <f>IF(E17="","-",E17+F17+G17)</f>
        <v/>
      </c>
      <c r="I17" s="99">
        <f>IF(E17="","",IF(E17&lt;3,"Exclude",IF(H17&gt;=12,"Tier 1",IF(H17&gt;=9,"Tier 2","Tier 3"))))</f>
        <v/>
      </c>
      <c r="J17" s="109" t="n"/>
    </row>
    <row r="18" ht="15" customHeight="1" s="69">
      <c r="A18" s="113" t="n"/>
      <c r="B18" s="113" t="n"/>
      <c r="C18" s="113" t="n"/>
      <c r="D18" s="100" t="n"/>
      <c r="E18" s="103" t="n"/>
      <c r="F18" s="103" t="n"/>
      <c r="G18" s="103" t="n"/>
      <c r="H18" s="114">
        <f>IF(E18="","-",E18+F18+G18)</f>
        <v/>
      </c>
      <c r="I18" s="99">
        <f>IF(E18="","",IF(E18&lt;3,"Exclude",IF(H18&gt;=12,"Tier 1",IF(H18&gt;=9,"Tier 2","Tier 3"))))</f>
        <v/>
      </c>
      <c r="J18" s="109" t="n"/>
    </row>
    <row r="19" ht="15" customHeight="1" s="69">
      <c r="A19" s="113" t="n"/>
      <c r="B19" s="113" t="n"/>
      <c r="C19" s="113" t="n"/>
      <c r="D19" s="100" t="n"/>
      <c r="E19" s="103" t="n"/>
      <c r="F19" s="103" t="n"/>
      <c r="G19" s="103" t="n"/>
      <c r="H19" s="114">
        <f>IF(E19="","-",E19+F19+G19)</f>
        <v/>
      </c>
      <c r="I19" s="99">
        <f>IF(E19="","",IF(E19&lt;3,"Exclude",IF(H19&gt;=12,"Tier 1",IF(H19&gt;=9,"Tier 2","Tier 3"))))</f>
        <v/>
      </c>
      <c r="J19" s="109" t="n"/>
    </row>
    <row r="20" ht="15" customHeight="1" s="69">
      <c r="A20" s="113" t="n"/>
      <c r="B20" s="113" t="n"/>
      <c r="C20" s="113" t="n"/>
      <c r="D20" s="100" t="n"/>
      <c r="E20" s="103" t="n"/>
      <c r="F20" s="103" t="n"/>
      <c r="G20" s="103" t="n"/>
      <c r="H20" s="114">
        <f>IF(E20="","-",E20+F20+G20)</f>
        <v/>
      </c>
      <c r="I20" s="99">
        <f>IF(E20="","",IF(E20&lt;3,"Exclude",IF(H20&gt;=12,"Tier 1",IF(H20&gt;=9,"Tier 2","Tier 3"))))</f>
        <v/>
      </c>
      <c r="J20" s="109" t="n"/>
    </row>
    <row r="21" ht="15" customHeight="1" s="69">
      <c r="A21" s="113" t="n"/>
      <c r="B21" s="113" t="n"/>
      <c r="C21" s="113" t="n"/>
      <c r="D21" s="100" t="n"/>
      <c r="E21" s="103" t="n"/>
      <c r="F21" s="103" t="n"/>
      <c r="G21" s="103" t="n"/>
      <c r="H21" s="114">
        <f>IF(E21="","-",E21+F21+G21)</f>
        <v/>
      </c>
      <c r="I21" s="99">
        <f>IF(E21="","",IF(E21&lt;3,"Exclude",IF(H21&gt;=12,"Tier 1",IF(H21&gt;=9,"Tier 2","Tier 3"))))</f>
        <v/>
      </c>
      <c r="J21" s="109" t="n"/>
    </row>
    <row r="22" ht="15" customHeight="1" s="69">
      <c r="A22" s="113" t="n"/>
      <c r="B22" s="113" t="n"/>
      <c r="C22" s="113" t="n"/>
      <c r="D22" s="100" t="n"/>
      <c r="E22" s="103" t="n"/>
      <c r="F22" s="103" t="n"/>
      <c r="G22" s="103" t="n"/>
      <c r="H22" s="114">
        <f>IF(E22="","-",E22+F22+G22)</f>
        <v/>
      </c>
      <c r="I22" s="99">
        <f>IF(E22="","",IF(E22&lt;3,"Exclude",IF(H22&gt;=12,"Tier 1",IF(H22&gt;=9,"Tier 2","Tier 3"))))</f>
        <v/>
      </c>
      <c r="J22" s="109" t="n"/>
    </row>
    <row r="23" ht="15" customHeight="1" s="69">
      <c r="A23" s="113" t="n"/>
      <c r="B23" s="113" t="n"/>
      <c r="C23" s="113" t="n"/>
      <c r="D23" s="100" t="n"/>
      <c r="E23" s="103" t="n"/>
      <c r="F23" s="103" t="n"/>
      <c r="G23" s="103" t="n"/>
      <c r="H23" s="114">
        <f>IF(E23="","-",E23+F23+G23)</f>
        <v/>
      </c>
      <c r="I23" s="99">
        <f>IF(E23="","",IF(E23&lt;3,"Exclude",IF(H23&gt;=12,"Tier 1",IF(H23&gt;=9,"Tier 2","Tier 3"))))</f>
        <v/>
      </c>
      <c r="J23" s="109" t="n"/>
    </row>
    <row r="24" ht="15" customHeight="1" s="69">
      <c r="A24" s="113" t="n"/>
      <c r="B24" s="113" t="n"/>
      <c r="C24" s="113" t="n"/>
      <c r="D24" s="100" t="n"/>
      <c r="E24" s="103" t="n"/>
      <c r="F24" s="103" t="n"/>
      <c r="G24" s="103" t="n"/>
      <c r="H24" s="114">
        <f>IF(E24="","-",E24+F24+G24)</f>
        <v/>
      </c>
      <c r="I24" s="99">
        <f>IF(E24="","",IF(E24&lt;3,"Exclude",IF(H24&gt;=12,"Tier 1",IF(H24&gt;=9,"Tier 2","Tier 3"))))</f>
        <v/>
      </c>
      <c r="J24" s="109" t="n"/>
    </row>
    <row r="25" ht="15" customHeight="1" s="69">
      <c r="A25" s="113" t="n"/>
      <c r="B25" s="113" t="n"/>
      <c r="C25" s="113" t="n"/>
      <c r="D25" s="100" t="n"/>
      <c r="E25" s="103" t="n"/>
      <c r="F25" s="103" t="n"/>
      <c r="G25" s="103" t="n"/>
      <c r="H25" s="114">
        <f>IF(E25="","-",E25+F25+G25)</f>
        <v/>
      </c>
      <c r="I25" s="99">
        <f>IF(E25="","",IF(E25&lt;3,"Exclude",IF(H25&gt;=12,"Tier 1",IF(H25&gt;=9,"Tier 2","Tier 3"))))</f>
        <v/>
      </c>
      <c r="J25" s="109" t="n"/>
    </row>
    <row r="26" ht="15" customHeight="1" s="69">
      <c r="A26" s="86" t="n"/>
      <c r="B26" s="86" t="n"/>
      <c r="C26" s="86" t="n"/>
      <c r="D26" s="86" t="n"/>
      <c r="E26" s="86" t="n"/>
      <c r="F26" s="86" t="n"/>
      <c r="G26" s="86" t="n"/>
      <c r="H26" s="86" t="n"/>
      <c r="I26" s="86" t="n"/>
      <c r="J26" s="86" t="n"/>
    </row>
    <row r="27" ht="15" customHeight="1" s="69">
      <c r="A27" s="84" t="inlineStr">
        <is>
          <t>Tier Summary</t>
        </is>
      </c>
      <c r="B27" s="85" t="n"/>
      <c r="C27" s="85" t="n"/>
      <c r="D27" s="79" t="n"/>
      <c r="E27" s="86" t="n"/>
      <c r="F27" s="86" t="n"/>
      <c r="G27" s="86" t="n"/>
      <c r="H27" s="86" t="n"/>
      <c r="I27" s="86" t="n"/>
      <c r="J27" s="86" t="n"/>
    </row>
    <row r="28" ht="15" customHeight="1" s="69">
      <c r="A28" s="87" t="inlineStr">
        <is>
          <t>Tier 1</t>
        </is>
      </c>
      <c r="B28" s="107">
        <f>COUNTIF(I5:I25,"Tier 1")</f>
        <v/>
      </c>
      <c r="C28" s="87" t="inlineStr">
        <is>
          <t>funds</t>
        </is>
      </c>
      <c r="D28" s="86" t="n"/>
      <c r="E28" s="86" t="n"/>
      <c r="F28" s="86" t="n"/>
      <c r="G28" s="86" t="n"/>
      <c r="H28" s="86" t="n"/>
      <c r="I28" s="86" t="n"/>
      <c r="J28" s="86" t="n"/>
    </row>
    <row r="29" ht="15" customHeight="1" s="69">
      <c r="A29" s="87" t="inlineStr">
        <is>
          <t>Tier 2</t>
        </is>
      </c>
      <c r="B29" s="107">
        <f>COUNTIF(I5:I25,"Tier 2")</f>
        <v/>
      </c>
      <c r="C29" s="87" t="inlineStr">
        <is>
          <t>funds</t>
        </is>
      </c>
      <c r="D29" s="86" t="n"/>
      <c r="E29" s="86" t="n"/>
      <c r="F29" s="86" t="n"/>
      <c r="G29" s="86" t="n"/>
      <c r="H29" s="86" t="n"/>
      <c r="I29" s="86" t="n"/>
      <c r="J29" s="86" t="n"/>
    </row>
    <row r="30" ht="15" customHeight="1" s="69">
      <c r="A30" s="87" t="inlineStr">
        <is>
          <t>Tier 3</t>
        </is>
      </c>
      <c r="B30" s="107">
        <f>COUNTIF(I5:I25,"Tier 3")</f>
        <v/>
      </c>
      <c r="C30" s="87" t="inlineStr">
        <is>
          <t>funds</t>
        </is>
      </c>
      <c r="D30" s="86" t="n"/>
      <c r="E30" s="86" t="n"/>
      <c r="F30" s="86" t="n"/>
      <c r="G30" s="86" t="n"/>
      <c r="H30" s="86" t="n"/>
      <c r="I30" s="86" t="n"/>
      <c r="J30" s="86" t="n"/>
    </row>
    <row r="31" ht="15" customHeight="1" s="69">
      <c r="A31" s="87" t="inlineStr">
        <is>
          <t>Exclude</t>
        </is>
      </c>
      <c r="B31" s="107">
        <f>COUNTIF(I5:I25,"Exclude")</f>
        <v/>
      </c>
      <c r="C31" s="87" t="inlineStr">
        <is>
          <t>funds</t>
        </is>
      </c>
      <c r="D31" s="86" t="n"/>
      <c r="E31" s="86" t="n"/>
      <c r="F31" s="86" t="n"/>
      <c r="G31" s="86" t="n"/>
      <c r="H31" s="86" t="n"/>
      <c r="I31" s="86" t="n"/>
      <c r="J31" s="86" t="n"/>
    </row>
  </sheetData>
  <mergeCells count="3">
    <mergeCell ref="A1:J1"/>
    <mergeCell ref="A27:D27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1F5C99"/>
    <outlinePr summaryBelow="1" summaryRight="1"/>
    <pageSetUpPr fitToPage="0"/>
  </sheetPr>
  <dimension ref="A1:L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68" min="1" max="1"/>
    <col width="18" customWidth="1" style="68" min="2" max="2"/>
    <col width="8" customWidth="1" style="68" min="3" max="3"/>
    <col width="12" customWidth="1" style="68" min="4" max="4"/>
    <col width="20" customWidth="1" style="68" min="5" max="5"/>
    <col width="14" customWidth="1" style="68" min="6" max="7"/>
    <col width="20" customWidth="1" style="68" min="8" max="8"/>
    <col width="22" customWidth="1" style="68" min="9" max="10"/>
    <col width="28" customWidth="1" style="68" min="11" max="11"/>
    <col width="18" customWidth="1" style="68" min="12" max="12"/>
  </cols>
  <sheetData>
    <row r="1" ht="30" customHeight="1" s="69">
      <c r="A1" s="76" t="inlineStr">
        <is>
          <t>Exercise 011 – Investor Outreach Tracker</t>
        </is>
      </c>
    </row>
    <row r="2" ht="15" customHeight="1" s="69">
      <c r="A2" s="83" t="inlineStr">
        <is>
          <t>Track every investor conversation. Update status after each interaction.</t>
        </is>
      </c>
    </row>
    <row r="4" ht="15" customHeight="1" s="69">
      <c r="A4" s="93" t="inlineStr">
        <is>
          <t>Fund / Investor</t>
        </is>
      </c>
      <c r="B4" s="93" t="inlineStr">
        <is>
          <t>Partner</t>
        </is>
      </c>
      <c r="C4" s="93" t="inlineStr">
        <is>
          <t>Tier</t>
        </is>
      </c>
      <c r="D4" s="93" t="inlineStr">
        <is>
          <t>Warm Intro?</t>
        </is>
      </c>
      <c r="E4" s="93" t="inlineStr">
        <is>
          <t>Intro Source</t>
        </is>
      </c>
      <c r="F4" s="93" t="inlineStr">
        <is>
          <t>Outreach Date</t>
        </is>
      </c>
      <c r="G4" s="93" t="inlineStr">
        <is>
          <t>First Mtg Date</t>
        </is>
      </c>
      <c r="H4" s="93" t="inlineStr">
        <is>
          <t>Stage</t>
        </is>
      </c>
      <c r="I4" s="93" t="inlineStr">
        <is>
          <t>Last Action</t>
        </is>
      </c>
      <c r="J4" s="93" t="inlineStr">
        <is>
          <t>Next Step</t>
        </is>
      </c>
      <c r="K4" s="93" t="inlineStr">
        <is>
          <t>Notes</t>
        </is>
      </c>
      <c r="L4" s="93" t="inlineStr">
        <is>
          <t>Days Since Outreach</t>
        </is>
      </c>
    </row>
    <row r="5" ht="15" customHeight="1" s="69">
      <c r="A5" s="109" t="n"/>
      <c r="B5" s="109" t="n"/>
      <c r="C5" s="109" t="n"/>
      <c r="D5" s="109" t="n"/>
      <c r="E5" s="109" t="n"/>
      <c r="F5" s="109" t="n"/>
      <c r="G5" s="109" t="n"/>
      <c r="H5" s="109" t="n"/>
      <c r="I5" s="109" t="n"/>
      <c r="J5" s="109" t="n"/>
      <c r="K5" s="109" t="n"/>
      <c r="L5" s="107">
        <f>IF(F5="","",TODAY()-F5)</f>
        <v/>
      </c>
    </row>
    <row r="6" ht="15" customHeight="1" s="69">
      <c r="A6" s="109" t="n"/>
      <c r="B6" s="109" t="n"/>
      <c r="C6" s="109" t="n"/>
      <c r="D6" s="109" t="n"/>
      <c r="E6" s="109" t="n"/>
      <c r="F6" s="109" t="n"/>
      <c r="G6" s="109" t="n"/>
      <c r="H6" s="109" t="n"/>
      <c r="I6" s="109" t="n"/>
      <c r="J6" s="109" t="n"/>
      <c r="K6" s="109" t="n"/>
      <c r="L6" s="107">
        <f>IF(F6="","",TODAY()-F6)</f>
        <v/>
      </c>
    </row>
    <row r="7" ht="15" customHeight="1" s="69">
      <c r="A7" s="109" t="n"/>
      <c r="B7" s="109" t="n"/>
      <c r="C7" s="109" t="n"/>
      <c r="D7" s="109" t="n"/>
      <c r="E7" s="109" t="n"/>
      <c r="F7" s="109" t="n"/>
      <c r="G7" s="109" t="n"/>
      <c r="H7" s="109" t="n"/>
      <c r="I7" s="109" t="n"/>
      <c r="J7" s="109" t="n"/>
      <c r="K7" s="109" t="n"/>
      <c r="L7" s="107">
        <f>IF(F7="","",TODAY()-F7)</f>
        <v/>
      </c>
    </row>
    <row r="8" ht="15" customHeight="1" s="69">
      <c r="A8" s="109" t="n"/>
      <c r="B8" s="109" t="n"/>
      <c r="C8" s="109" t="n"/>
      <c r="D8" s="109" t="n"/>
      <c r="E8" s="109" t="n"/>
      <c r="F8" s="109" t="n"/>
      <c r="G8" s="109" t="n"/>
      <c r="H8" s="109" t="n"/>
      <c r="I8" s="109" t="n"/>
      <c r="J8" s="109" t="n"/>
      <c r="K8" s="109" t="n"/>
      <c r="L8" s="107">
        <f>IF(F8="","",TODAY()-F8)</f>
        <v/>
      </c>
    </row>
    <row r="9" ht="15" customHeight="1" s="69">
      <c r="A9" s="109" t="n"/>
      <c r="B9" s="109" t="n"/>
      <c r="C9" s="109" t="n"/>
      <c r="D9" s="109" t="n"/>
      <c r="E9" s="109" t="n"/>
      <c r="F9" s="109" t="n"/>
      <c r="G9" s="109" t="n"/>
      <c r="H9" s="109" t="n"/>
      <c r="I9" s="109" t="n"/>
      <c r="J9" s="109" t="n"/>
      <c r="K9" s="109" t="n"/>
      <c r="L9" s="107">
        <f>IF(F9="","",TODAY()-F9)</f>
        <v/>
      </c>
    </row>
    <row r="10" ht="15" customHeight="1" s="69">
      <c r="A10" s="109" t="n"/>
      <c r="B10" s="109" t="n"/>
      <c r="C10" s="109" t="n"/>
      <c r="D10" s="109" t="n"/>
      <c r="E10" s="109" t="n"/>
      <c r="F10" s="109" t="n"/>
      <c r="G10" s="109" t="n"/>
      <c r="H10" s="109" t="n"/>
      <c r="I10" s="109" t="n"/>
      <c r="J10" s="109" t="n"/>
      <c r="K10" s="109" t="n"/>
      <c r="L10" s="107">
        <f>IF(F10="","",TODAY()-F10)</f>
        <v/>
      </c>
    </row>
    <row r="11" ht="15" customHeight="1" s="69">
      <c r="A11" s="109" t="n"/>
      <c r="B11" s="109" t="n"/>
      <c r="C11" s="109" t="n"/>
      <c r="D11" s="109" t="n"/>
      <c r="E11" s="109" t="n"/>
      <c r="F11" s="109" t="n"/>
      <c r="G11" s="109" t="n"/>
      <c r="H11" s="109" t="n"/>
      <c r="I11" s="109" t="n"/>
      <c r="J11" s="109" t="n"/>
      <c r="K11" s="109" t="n"/>
      <c r="L11" s="107">
        <f>IF(F11="","",TODAY()-F11)</f>
        <v/>
      </c>
    </row>
    <row r="12" ht="15" customHeight="1" s="69">
      <c r="A12" s="109" t="n"/>
      <c r="B12" s="109" t="n"/>
      <c r="C12" s="109" t="n"/>
      <c r="D12" s="109" t="n"/>
      <c r="E12" s="109" t="n"/>
      <c r="F12" s="109" t="n"/>
      <c r="G12" s="109" t="n"/>
      <c r="H12" s="109" t="n"/>
      <c r="I12" s="109" t="n"/>
      <c r="J12" s="109" t="n"/>
      <c r="K12" s="109" t="n"/>
      <c r="L12" s="107">
        <f>IF(F12="","",TODAY()-F12)</f>
        <v/>
      </c>
    </row>
    <row r="13" ht="15" customHeight="1" s="69">
      <c r="A13" s="109" t="n"/>
      <c r="B13" s="109" t="n"/>
      <c r="C13" s="109" t="n"/>
      <c r="D13" s="109" t="n"/>
      <c r="E13" s="109" t="n"/>
      <c r="F13" s="109" t="n"/>
      <c r="G13" s="109" t="n"/>
      <c r="H13" s="109" t="n"/>
      <c r="I13" s="109" t="n"/>
      <c r="J13" s="109" t="n"/>
      <c r="K13" s="109" t="n"/>
      <c r="L13" s="107">
        <f>IF(F13="","",TODAY()-F13)</f>
        <v/>
      </c>
    </row>
    <row r="14" ht="15" customHeight="1" s="69">
      <c r="A14" s="109" t="n"/>
      <c r="B14" s="109" t="n"/>
      <c r="C14" s="109" t="n"/>
      <c r="D14" s="109" t="n"/>
      <c r="E14" s="109" t="n"/>
      <c r="F14" s="109" t="n"/>
      <c r="G14" s="109" t="n"/>
      <c r="H14" s="109" t="n"/>
      <c r="I14" s="109" t="n"/>
      <c r="J14" s="109" t="n"/>
      <c r="K14" s="109" t="n"/>
      <c r="L14" s="107">
        <f>IF(F14="","",TODAY()-F14)</f>
        <v/>
      </c>
    </row>
    <row r="15" ht="15" customHeight="1" s="69">
      <c r="A15" s="109" t="n"/>
      <c r="B15" s="109" t="n"/>
      <c r="C15" s="109" t="n"/>
      <c r="D15" s="109" t="n"/>
      <c r="E15" s="109" t="n"/>
      <c r="F15" s="109" t="n"/>
      <c r="G15" s="109" t="n"/>
      <c r="H15" s="109" t="n"/>
      <c r="I15" s="109" t="n"/>
      <c r="J15" s="109" t="n"/>
      <c r="K15" s="109" t="n"/>
      <c r="L15" s="107">
        <f>IF(F15="","",TODAY()-F15)</f>
        <v/>
      </c>
    </row>
    <row r="16" ht="15" customHeight="1" s="69">
      <c r="A16" s="109" t="n"/>
      <c r="B16" s="109" t="n"/>
      <c r="C16" s="109" t="n"/>
      <c r="D16" s="109" t="n"/>
      <c r="E16" s="109" t="n"/>
      <c r="F16" s="109" t="n"/>
      <c r="G16" s="109" t="n"/>
      <c r="H16" s="109" t="n"/>
      <c r="I16" s="109" t="n"/>
      <c r="J16" s="109" t="n"/>
      <c r="K16" s="109" t="n"/>
      <c r="L16" s="107">
        <f>IF(F16="","",TODAY()-F16)</f>
        <v/>
      </c>
    </row>
    <row r="17" ht="15" customHeight="1" s="69">
      <c r="A17" s="109" t="n"/>
      <c r="B17" s="109" t="n"/>
      <c r="C17" s="109" t="n"/>
      <c r="D17" s="109" t="n"/>
      <c r="E17" s="109" t="n"/>
      <c r="F17" s="109" t="n"/>
      <c r="G17" s="109" t="n"/>
      <c r="H17" s="109" t="n"/>
      <c r="I17" s="109" t="n"/>
      <c r="J17" s="109" t="n"/>
      <c r="K17" s="109" t="n"/>
      <c r="L17" s="107">
        <f>IF(F17="","",TODAY()-F17)</f>
        <v/>
      </c>
    </row>
    <row r="18" ht="15" customHeight="1" s="69">
      <c r="A18" s="109" t="n"/>
      <c r="B18" s="109" t="n"/>
      <c r="C18" s="109" t="n"/>
      <c r="D18" s="109" t="n"/>
      <c r="E18" s="109" t="n"/>
      <c r="F18" s="109" t="n"/>
      <c r="G18" s="109" t="n"/>
      <c r="H18" s="109" t="n"/>
      <c r="I18" s="109" t="n"/>
      <c r="J18" s="109" t="n"/>
      <c r="K18" s="109" t="n"/>
      <c r="L18" s="107">
        <f>IF(F18="","",TODAY()-F18)</f>
        <v/>
      </c>
    </row>
    <row r="19" ht="15" customHeight="1" s="69">
      <c r="A19" s="109" t="n"/>
      <c r="B19" s="109" t="n"/>
      <c r="C19" s="109" t="n"/>
      <c r="D19" s="109" t="n"/>
      <c r="E19" s="109" t="n"/>
      <c r="F19" s="109" t="n"/>
      <c r="G19" s="109" t="n"/>
      <c r="H19" s="109" t="n"/>
      <c r="I19" s="109" t="n"/>
      <c r="J19" s="109" t="n"/>
      <c r="K19" s="109" t="n"/>
      <c r="L19" s="107">
        <f>IF(F19="","",TODAY()-F19)</f>
        <v/>
      </c>
    </row>
    <row r="20" ht="15" customHeight="1" s="69">
      <c r="A20" s="109" t="n"/>
      <c r="B20" s="109" t="n"/>
      <c r="C20" s="109" t="n"/>
      <c r="D20" s="109" t="n"/>
      <c r="E20" s="109" t="n"/>
      <c r="F20" s="109" t="n"/>
      <c r="G20" s="109" t="n"/>
      <c r="H20" s="109" t="n"/>
      <c r="I20" s="109" t="n"/>
      <c r="J20" s="109" t="n"/>
      <c r="K20" s="109" t="n"/>
      <c r="L20" s="107">
        <f>IF(F20="","",TODAY()-F20)</f>
        <v/>
      </c>
    </row>
    <row r="21" ht="15" customHeight="1" s="69">
      <c r="A21" s="109" t="n"/>
      <c r="B21" s="109" t="n"/>
      <c r="C21" s="109" t="n"/>
      <c r="D21" s="109" t="n"/>
      <c r="E21" s="109" t="n"/>
      <c r="F21" s="109" t="n"/>
      <c r="G21" s="109" t="n"/>
      <c r="H21" s="109" t="n"/>
      <c r="I21" s="109" t="n"/>
      <c r="J21" s="109" t="n"/>
      <c r="K21" s="109" t="n"/>
      <c r="L21" s="107">
        <f>IF(F21="","",TODAY()-F21)</f>
        <v/>
      </c>
    </row>
    <row r="22" ht="15" customHeight="1" s="69">
      <c r="A22" s="109" t="n"/>
      <c r="B22" s="109" t="n"/>
      <c r="C22" s="109" t="n"/>
      <c r="D22" s="109" t="n"/>
      <c r="E22" s="109" t="n"/>
      <c r="F22" s="109" t="n"/>
      <c r="G22" s="109" t="n"/>
      <c r="H22" s="109" t="n"/>
      <c r="I22" s="109" t="n"/>
      <c r="J22" s="109" t="n"/>
      <c r="K22" s="109" t="n"/>
      <c r="L22" s="107">
        <f>IF(F22="","",TODAY()-F22)</f>
        <v/>
      </c>
    </row>
    <row r="23" ht="15" customHeight="1" s="69">
      <c r="A23" s="109" t="n"/>
      <c r="B23" s="109" t="n"/>
      <c r="C23" s="109" t="n"/>
      <c r="D23" s="109" t="n"/>
      <c r="E23" s="109" t="n"/>
      <c r="F23" s="109" t="n"/>
      <c r="G23" s="109" t="n"/>
      <c r="H23" s="109" t="n"/>
      <c r="I23" s="109" t="n"/>
      <c r="J23" s="109" t="n"/>
      <c r="K23" s="109" t="n"/>
      <c r="L23" s="107">
        <f>IF(F23="","",TODAY()-F23)</f>
        <v/>
      </c>
    </row>
    <row r="24" ht="15" customHeight="1" s="69">
      <c r="A24" s="109" t="n"/>
      <c r="B24" s="109" t="n"/>
      <c r="C24" s="109" t="n"/>
      <c r="D24" s="109" t="n"/>
      <c r="E24" s="109" t="n"/>
      <c r="F24" s="109" t="n"/>
      <c r="G24" s="109" t="n"/>
      <c r="H24" s="109" t="n"/>
      <c r="I24" s="109" t="n"/>
      <c r="J24" s="109" t="n"/>
      <c r="K24" s="109" t="n"/>
      <c r="L24" s="107">
        <f>IF(F24="","",TODAY()-F24)</f>
        <v/>
      </c>
    </row>
    <row r="25" ht="15" customHeight="1" s="69">
      <c r="A25" s="109" t="n"/>
      <c r="B25" s="109" t="n"/>
      <c r="C25" s="109" t="n"/>
      <c r="D25" s="109" t="n"/>
      <c r="E25" s="109" t="n"/>
      <c r="F25" s="109" t="n"/>
      <c r="G25" s="109" t="n"/>
      <c r="H25" s="109" t="n"/>
      <c r="I25" s="109" t="n"/>
      <c r="J25" s="109" t="n"/>
      <c r="K25" s="109" t="n"/>
      <c r="L25" s="107">
        <f>IF(F25="","",TODAY()-F25)</f>
        <v/>
      </c>
    </row>
    <row r="26" ht="15" customHeight="1" s="69">
      <c r="A26" s="109" t="n"/>
      <c r="B26" s="109" t="n"/>
      <c r="C26" s="109" t="n"/>
      <c r="D26" s="109" t="n"/>
      <c r="E26" s="109" t="n"/>
      <c r="F26" s="109" t="n"/>
      <c r="G26" s="109" t="n"/>
      <c r="H26" s="109" t="n"/>
      <c r="I26" s="109" t="n"/>
      <c r="J26" s="109" t="n"/>
      <c r="K26" s="109" t="n"/>
      <c r="L26" s="107">
        <f>IF(F26="","",TODAY()-F26)</f>
        <v/>
      </c>
    </row>
    <row r="27" ht="15" customHeight="1" s="69">
      <c r="A27" s="109" t="n"/>
      <c r="B27" s="109" t="n"/>
      <c r="C27" s="109" t="n"/>
      <c r="D27" s="109" t="n"/>
      <c r="E27" s="109" t="n"/>
      <c r="F27" s="109" t="n"/>
      <c r="G27" s="109" t="n"/>
      <c r="H27" s="109" t="n"/>
      <c r="I27" s="109" t="n"/>
      <c r="J27" s="109" t="n"/>
      <c r="K27" s="109" t="n"/>
      <c r="L27" s="107">
        <f>IF(F27="","",TODAY()-F27)</f>
        <v/>
      </c>
    </row>
    <row r="28" ht="15" customHeight="1" s="69">
      <c r="A28" s="109" t="n"/>
      <c r="B28" s="109" t="n"/>
      <c r="C28" s="109" t="n"/>
      <c r="D28" s="109" t="n"/>
      <c r="E28" s="109" t="n"/>
      <c r="F28" s="109" t="n"/>
      <c r="G28" s="109" t="n"/>
      <c r="H28" s="109" t="n"/>
      <c r="I28" s="109" t="n"/>
      <c r="J28" s="109" t="n"/>
      <c r="K28" s="109" t="n"/>
      <c r="L28" s="107">
        <f>IF(F28="","",TODAY()-F28)</f>
        <v/>
      </c>
    </row>
    <row r="29" ht="15" customHeight="1" s="69">
      <c r="A29" s="109" t="n"/>
      <c r="B29" s="109" t="n"/>
      <c r="C29" s="109" t="n"/>
      <c r="D29" s="109" t="n"/>
      <c r="E29" s="109" t="n"/>
      <c r="F29" s="109" t="n"/>
      <c r="G29" s="109" t="n"/>
      <c r="H29" s="109" t="n"/>
      <c r="I29" s="109" t="n"/>
      <c r="J29" s="109" t="n"/>
      <c r="K29" s="109" t="n"/>
      <c r="L29" s="107">
        <f>IF(F29="","",TODAY()-F29)</f>
        <v/>
      </c>
    </row>
    <row r="30" ht="15" customHeight="1" s="69">
      <c r="A30" s="109" t="n"/>
      <c r="B30" s="109" t="n"/>
      <c r="C30" s="109" t="n"/>
      <c r="D30" s="109" t="n"/>
      <c r="E30" s="109" t="n"/>
      <c r="F30" s="109" t="n"/>
      <c r="G30" s="109" t="n"/>
      <c r="H30" s="109" t="n"/>
      <c r="I30" s="109" t="n"/>
      <c r="J30" s="109" t="n"/>
      <c r="K30" s="109" t="n"/>
      <c r="L30" s="107">
        <f>IF(F30="","",TODAY()-F30)</f>
        <v/>
      </c>
    </row>
    <row r="31" ht="15" customHeight="1" s="69">
      <c r="A31" s="86" t="n"/>
      <c r="B31" s="86" t="n"/>
      <c r="C31" s="86" t="n"/>
      <c r="D31" s="86" t="n"/>
      <c r="E31" s="86" t="n"/>
      <c r="F31" s="86" t="n"/>
      <c r="G31" s="86" t="n"/>
      <c r="H31" s="86" t="n"/>
      <c r="I31" s="86" t="n"/>
      <c r="J31" s="86" t="n"/>
      <c r="K31" s="86" t="n"/>
      <c r="L31" s="86" t="n"/>
    </row>
    <row r="32" ht="15" customHeight="1" s="69">
      <c r="A32" s="84" t="inlineStr">
        <is>
          <t>Pipeline Summary</t>
        </is>
      </c>
      <c r="B32" s="85" t="n"/>
      <c r="C32" s="85" t="n"/>
      <c r="D32" s="85" t="n"/>
      <c r="E32" s="79" t="n"/>
      <c r="F32" s="86" t="n"/>
      <c r="G32" s="86" t="n"/>
      <c r="H32" s="86" t="n"/>
      <c r="I32" s="86" t="n"/>
      <c r="J32" s="86" t="n"/>
      <c r="K32" s="86" t="n"/>
      <c r="L32" s="86" t="n"/>
    </row>
    <row r="33" ht="15" customHeight="1" s="69">
      <c r="A33" s="87" t="inlineStr">
        <is>
          <t>Not contacted</t>
        </is>
      </c>
      <c r="B33" s="107">
        <f>COUNTIF(H5:H30,"Not contacted")</f>
        <v/>
      </c>
      <c r="C33" s="86" t="n"/>
      <c r="D33" s="86" t="n"/>
      <c r="E33" s="86" t="n"/>
      <c r="F33" s="86" t="n"/>
      <c r="G33" s="86" t="n"/>
      <c r="H33" s="86" t="n"/>
      <c r="I33" s="86" t="n"/>
      <c r="J33" s="86" t="n"/>
      <c r="K33" s="86" t="n"/>
      <c r="L33" s="86" t="n"/>
    </row>
    <row r="34" ht="15" customHeight="1" s="69">
      <c r="A34" s="90" t="inlineStr">
        <is>
          <t>Outreach sent</t>
        </is>
      </c>
      <c r="B34" s="107">
        <f>COUNTIF(H5:H30,"Outreach sent")</f>
        <v/>
      </c>
      <c r="C34" s="86" t="n"/>
      <c r="D34" s="86" t="n"/>
      <c r="E34" s="86" t="n"/>
      <c r="F34" s="86" t="n"/>
      <c r="G34" s="86" t="n"/>
      <c r="H34" s="86" t="n"/>
      <c r="I34" s="86" t="n"/>
      <c r="J34" s="86" t="n"/>
      <c r="K34" s="86" t="n"/>
      <c r="L34" s="86" t="n"/>
    </row>
    <row r="35" ht="15" customHeight="1" s="69">
      <c r="A35" s="87" t="inlineStr">
        <is>
          <t>Meeting booked</t>
        </is>
      </c>
      <c r="B35" s="107">
        <f>COUNTIF(H5:H30,"Meeting booked")</f>
        <v/>
      </c>
      <c r="C35" s="86" t="n"/>
      <c r="D35" s="86" t="n"/>
      <c r="E35" s="86" t="n"/>
      <c r="F35" s="86" t="n"/>
      <c r="G35" s="86" t="n"/>
      <c r="H35" s="86" t="n"/>
      <c r="I35" s="86" t="n"/>
      <c r="J35" s="86" t="n"/>
      <c r="K35" s="86" t="n"/>
      <c r="L35" s="86" t="n"/>
    </row>
    <row r="36" ht="15" customHeight="1" s="69">
      <c r="A36" s="90" t="inlineStr">
        <is>
          <t>1st meeting done</t>
        </is>
      </c>
      <c r="B36" s="107">
        <f>COUNTIF(H5:H30,"1st meeting done")</f>
        <v/>
      </c>
      <c r="C36" s="86" t="n"/>
      <c r="D36" s="86" t="n"/>
      <c r="E36" s="86" t="n"/>
      <c r="F36" s="86" t="n"/>
      <c r="G36" s="86" t="n"/>
      <c r="H36" s="86" t="n"/>
      <c r="I36" s="86" t="n"/>
      <c r="J36" s="86" t="n"/>
      <c r="K36" s="86" t="n"/>
      <c r="L36" s="86" t="n"/>
    </row>
    <row r="37" ht="15" customHeight="1" s="69">
      <c r="A37" s="87" t="inlineStr">
        <is>
          <t>2nd meeting</t>
        </is>
      </c>
      <c r="B37" s="107">
        <f>COUNTIF(H5:H30,"2nd meeting")</f>
        <v/>
      </c>
      <c r="C37" s="86" t="n"/>
      <c r="D37" s="86" t="n"/>
      <c r="E37" s="86" t="n"/>
      <c r="F37" s="86" t="n"/>
      <c r="G37" s="86" t="n"/>
      <c r="H37" s="86" t="n"/>
      <c r="I37" s="86" t="n"/>
      <c r="J37" s="86" t="n"/>
      <c r="K37" s="86" t="n"/>
      <c r="L37" s="86" t="n"/>
    </row>
    <row r="38" ht="15" customHeight="1" s="69">
      <c r="A38" s="90" t="inlineStr">
        <is>
          <t>DD in progress</t>
        </is>
      </c>
      <c r="B38" s="107">
        <f>COUNTIF(H5:H30,"DD in progress")</f>
        <v/>
      </c>
      <c r="C38" s="86" t="n"/>
      <c r="D38" s="86" t="n"/>
      <c r="E38" s="86" t="n"/>
      <c r="F38" s="86" t="n"/>
      <c r="G38" s="86" t="n"/>
      <c r="H38" s="86" t="n"/>
      <c r="I38" s="86" t="n"/>
      <c r="J38" s="86" t="n"/>
      <c r="K38" s="86" t="n"/>
      <c r="L38" s="86" t="n"/>
    </row>
    <row r="39" ht="15" customHeight="1" s="69">
      <c r="A39" s="87" t="inlineStr">
        <is>
          <t>Term sheet</t>
        </is>
      </c>
      <c r="B39" s="107">
        <f>COUNTIF(H5:H30,"Term sheet")</f>
        <v/>
      </c>
      <c r="C39" s="86" t="n"/>
      <c r="D39" s="86" t="n"/>
      <c r="E39" s="86" t="n"/>
      <c r="F39" s="86" t="n"/>
      <c r="G39" s="86" t="n"/>
      <c r="H39" s="86" t="n"/>
      <c r="I39" s="86" t="n"/>
      <c r="J39" s="86" t="n"/>
      <c r="K39" s="86" t="n"/>
      <c r="L39" s="86" t="n"/>
    </row>
    <row r="40" ht="15" customHeight="1" s="69">
      <c r="A40" s="90" t="inlineStr">
        <is>
          <t>Closed</t>
        </is>
      </c>
      <c r="B40" s="107">
        <f>COUNTIF(H5:H30,"Closed")</f>
        <v/>
      </c>
      <c r="C40" s="86" t="n"/>
      <c r="D40" s="86" t="n"/>
      <c r="E40" s="86" t="n"/>
      <c r="F40" s="86" t="n"/>
      <c r="G40" s="86" t="n"/>
      <c r="H40" s="86" t="n"/>
      <c r="I40" s="86" t="n"/>
      <c r="J40" s="86" t="n"/>
      <c r="K40" s="86" t="n"/>
      <c r="L40" s="86" t="n"/>
    </row>
    <row r="41" ht="15" customHeight="1" s="69">
      <c r="A41" s="87" t="inlineStr">
        <is>
          <t>Passed</t>
        </is>
      </c>
      <c r="B41" s="107">
        <f>COUNTIF(H5:H30,"Passed")</f>
        <v/>
      </c>
      <c r="C41" s="86" t="n"/>
      <c r="D41" s="86" t="n"/>
      <c r="E41" s="86" t="n"/>
      <c r="F41" s="86" t="n"/>
      <c r="G41" s="86" t="n"/>
      <c r="H41" s="86" t="n"/>
      <c r="I41" s="86" t="n"/>
      <c r="J41" s="86" t="n"/>
      <c r="K41" s="86" t="n"/>
      <c r="L41" s="86" t="n"/>
    </row>
    <row r="42" ht="15" customHeight="1" s="69">
      <c r="A42" s="86" t="n"/>
      <c r="B42" s="86" t="n"/>
      <c r="C42" s="86" t="n"/>
      <c r="D42" s="86" t="n"/>
      <c r="E42" s="86" t="n"/>
      <c r="F42" s="86" t="n"/>
      <c r="G42" s="86" t="n"/>
      <c r="H42" s="86" t="n"/>
      <c r="I42" s="86" t="n"/>
      <c r="J42" s="86" t="n"/>
      <c r="K42" s="86" t="n"/>
      <c r="L42" s="86" t="n"/>
    </row>
  </sheetData>
  <mergeCells count="3">
    <mergeCell ref="A1:L1"/>
    <mergeCell ref="A2:L2"/>
    <mergeCell ref="A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1F5C99"/>
    <outlinePr summaryBelow="1" summaryRight="1"/>
    <pageSetUpPr fitToPage="0"/>
  </sheetPr>
  <dimension ref="A1:G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68" min="1" max="1"/>
    <col width="22" customWidth="1" style="68" min="2" max="4"/>
    <col width="20" customWidth="1" style="68" min="5" max="6"/>
  </cols>
  <sheetData>
    <row r="1" ht="30" customHeight="1" s="69">
      <c r="A1" s="76" t="inlineStr">
        <is>
          <t>Exercise 012 – Term Sheet Analyser</t>
        </is>
      </c>
    </row>
    <row r="2" ht="15" customHeight="1" s="69">
      <c r="A2" s="83" t="inlineStr">
        <is>
          <t>Enter term sheet terms. Waterfall shows founder proceeds at three exit values.</t>
        </is>
      </c>
    </row>
    <row r="4" ht="15" customHeight="1" s="69">
      <c r="A4" s="84" t="inlineStr">
        <is>
          <t>Round Terms</t>
        </is>
      </c>
      <c r="B4" s="85" t="n"/>
      <c r="C4" s="85" t="n"/>
      <c r="D4" s="79" t="n"/>
      <c r="E4" s="86" t="n"/>
      <c r="F4" s="86" t="n"/>
    </row>
    <row r="5" ht="15" customHeight="1" s="69">
      <c r="A5" s="87" t="inlineStr">
        <is>
          <t>Pre-Money Valuation (£)</t>
        </is>
      </c>
      <c r="B5" s="100" t="n">
        <v>3000000</v>
      </c>
      <c r="C5" s="101" t="inlineStr">
        <is>
          <t>Source / note</t>
        </is>
      </c>
      <c r="D5" s="86" t="n"/>
      <c r="E5" s="86" t="n"/>
      <c r="F5" s="86" t="n"/>
    </row>
    <row r="6" ht="15" customHeight="1" s="69">
      <c r="A6" s="90" t="inlineStr">
        <is>
          <t>Investment Amount (£)</t>
        </is>
      </c>
      <c r="B6" s="100" t="n">
        <v>1000000</v>
      </c>
      <c r="C6" s="101" t="inlineStr">
        <is>
          <t>Source / note</t>
        </is>
      </c>
      <c r="D6" s="86" t="n"/>
      <c r="E6" s="86" t="n"/>
      <c r="F6" s="86" t="n"/>
    </row>
    <row r="7" ht="15" customHeight="1" s="69">
      <c r="A7" s="87" t="inlineStr">
        <is>
          <t>Liquidation Preference Multiple</t>
        </is>
      </c>
      <c r="B7" s="115" t="n">
        <v>1</v>
      </c>
      <c r="C7" s="101" t="inlineStr">
        <is>
          <t>Source / note</t>
        </is>
      </c>
      <c r="D7" s="86" t="n"/>
      <c r="E7" s="86" t="n"/>
      <c r="F7" s="86" t="n"/>
    </row>
    <row r="8" ht="15" customHeight="1" s="69">
      <c r="A8" s="90" t="inlineStr">
        <is>
          <t>Participating Preferred?</t>
        </is>
      </c>
      <c r="B8" s="116" t="inlineStr">
        <is>
          <t>No</t>
        </is>
      </c>
      <c r="C8" s="101" t="inlineStr">
        <is>
          <t>Source / note</t>
        </is>
      </c>
      <c r="D8" s="86" t="n"/>
      <c r="E8" s="86" t="n"/>
      <c r="F8" s="86" t="n"/>
    </row>
    <row r="9" ht="15" customHeight="1" s="69">
      <c r="A9" s="87" t="inlineStr">
        <is>
          <t>Anti-Dilution</t>
        </is>
      </c>
      <c r="B9" s="116" t="inlineStr">
        <is>
          <t>Broad-based WA</t>
        </is>
      </c>
      <c r="C9" s="101" t="inlineStr">
        <is>
          <t>Source / note</t>
        </is>
      </c>
      <c r="D9" s="86" t="n"/>
      <c r="E9" s="86" t="n"/>
      <c r="F9" s="86" t="n"/>
    </row>
    <row r="10" ht="15" customHeight="1" s="69">
      <c r="A10" s="90" t="inlineStr">
        <is>
          <t>Investor Board Seats</t>
        </is>
      </c>
      <c r="B10" s="116" t="n">
        <v>1</v>
      </c>
      <c r="C10" s="101" t="inlineStr">
        <is>
          <t>Source / note</t>
        </is>
      </c>
      <c r="D10" s="86" t="n"/>
      <c r="E10" s="86" t="n"/>
      <c r="F10" s="86" t="n"/>
    </row>
    <row r="11" ht="15" customHeight="1" s="69">
      <c r="A11" s="87" t="inlineStr">
        <is>
          <t>Founder Shares (fully diluted %)</t>
        </is>
      </c>
      <c r="B11" s="102" t="n">
        <v>0.7</v>
      </c>
      <c r="C11" s="101" t="inlineStr">
        <is>
          <t>Source / note</t>
        </is>
      </c>
      <c r="D11" s="86" t="n"/>
      <c r="E11" s="86" t="n"/>
      <c r="F11" s="86" t="n"/>
    </row>
    <row r="12" ht="15" customHeight="1" s="69">
      <c r="A12" s="90" t="inlineStr">
        <is>
          <t>Option Pool Post-Round (%)</t>
        </is>
      </c>
      <c r="B12" s="102" t="n">
        <v>0.12</v>
      </c>
      <c r="C12" s="101" t="inlineStr">
        <is>
          <t>Source / note</t>
        </is>
      </c>
      <c r="D12" s="86" t="n"/>
      <c r="E12" s="86" t="n"/>
      <c r="F12" s="86" t="n"/>
    </row>
    <row r="13" ht="15" customHeight="1" s="69">
      <c r="A13" s="86" t="n"/>
      <c r="B13" s="86" t="n"/>
      <c r="C13" s="86" t="n"/>
      <c r="D13" s="86" t="n"/>
      <c r="E13" s="86" t="n"/>
      <c r="F13" s="86" t="n"/>
    </row>
    <row r="14" ht="15" customHeight="1" s="69">
      <c r="A14" s="86" t="n"/>
      <c r="B14" s="86" t="n"/>
      <c r="C14" s="86" t="n"/>
      <c r="D14" s="86" t="n"/>
      <c r="E14" s="86" t="n"/>
      <c r="F14" s="86" t="n"/>
    </row>
    <row r="15" ht="15" customHeight="1" s="69">
      <c r="A15" s="84" t="inlineStr">
        <is>
          <t>Exit Waterfall</t>
        </is>
      </c>
      <c r="B15" s="85" t="n"/>
      <c r="C15" s="85" t="n"/>
      <c r="D15" s="85" t="n"/>
      <c r="E15" s="85" t="n"/>
      <c r="F15" s="79" t="n"/>
    </row>
    <row r="16" ht="15" customHeight="1" s="69">
      <c r="A16" s="93" t="inlineStr">
        <is>
          <t>Exit Value (£)</t>
        </is>
      </c>
      <c r="B16" s="93" t="inlineStr">
        <is>
          <t>Liquidation Pref. Paid (£)</t>
        </is>
      </c>
      <c r="C16" s="93" t="inlineStr">
        <is>
          <t>Remaining for Common (£)</t>
        </is>
      </c>
      <c r="D16" s="93" t="inlineStr">
        <is>
          <t>Founder Proceeds (£)</t>
        </is>
      </c>
      <c r="E16" s="93" t="inlineStr">
        <is>
          <t>Founder Return Multiple</t>
        </is>
      </c>
      <c r="F16" s="93" t="inlineStr">
        <is>
          <t>Investor Return Multiple</t>
        </is>
      </c>
    </row>
    <row r="17" ht="15" customHeight="1" s="69">
      <c r="A17" s="104">
        <f>($B$5+$B$6)*1</f>
        <v/>
      </c>
      <c r="B17" s="104">
        <f>MIN(A17,$B$6*$B$7)</f>
        <v/>
      </c>
      <c r="C17" s="104">
        <f>MAX(0,A17-B17)</f>
        <v/>
      </c>
      <c r="D17" s="104">
        <f>C17*$B$11</f>
        <v/>
      </c>
      <c r="E17" s="117">
        <f>IF($B$5=0,"-",D17/($B$5*$B$11))</f>
        <v/>
      </c>
      <c r="F17" s="117">
        <f>IF($B$6=0,"-",(B17+C17*(1-$B$11))/$B$6)</f>
        <v/>
      </c>
      <c r="G17" s="118" t="inlineStr">
        <is>
          <t>1× Post-Money</t>
        </is>
      </c>
    </row>
    <row r="18" ht="15" customHeight="1" s="69">
      <c r="A18" s="104">
        <f>($B$5+$B$6)*3</f>
        <v/>
      </c>
      <c r="B18" s="104">
        <f>MIN(A18,$B$6*$B$7)</f>
        <v/>
      </c>
      <c r="C18" s="104">
        <f>MAX(0,A18-B18)</f>
        <v/>
      </c>
      <c r="D18" s="104">
        <f>C18*$B$11</f>
        <v/>
      </c>
      <c r="E18" s="117">
        <f>IF($B$5=0,"-",D18/($B$5*$B$11))</f>
        <v/>
      </c>
      <c r="F18" s="117">
        <f>IF($B$6=0,"-",(B18+C18*(1-$B$11))/$B$6)</f>
        <v/>
      </c>
      <c r="G18" s="118" t="inlineStr">
        <is>
          <t>3× Post-Money</t>
        </is>
      </c>
    </row>
    <row r="19" ht="15" customHeight="1" s="69">
      <c r="A19" s="104">
        <f>($B$5+$B$6)*10</f>
        <v/>
      </c>
      <c r="B19" s="104">
        <f>MIN(A19,$B$6*$B$7)</f>
        <v/>
      </c>
      <c r="C19" s="104">
        <f>MAX(0,A19-B19)</f>
        <v/>
      </c>
      <c r="D19" s="104">
        <f>C19*$B$11</f>
        <v/>
      </c>
      <c r="E19" s="117">
        <f>IF($B$5=0,"-",D19/($B$5*$B$11))</f>
        <v/>
      </c>
      <c r="F19" s="117">
        <f>IF($B$6=0,"-",(B19+C19*(1-$B$11))/$B$6)</f>
        <v/>
      </c>
      <c r="G19" s="118" t="inlineStr">
        <is>
          <t>10× Post-Money</t>
        </is>
      </c>
    </row>
    <row r="20" ht="15" customHeight="1" s="69">
      <c r="A20" s="86" t="n"/>
      <c r="B20" s="86" t="n"/>
      <c r="C20" s="86" t="n"/>
      <c r="D20" s="86" t="n"/>
      <c r="E20" s="86" t="n"/>
      <c r="F20" s="86" t="n"/>
    </row>
  </sheetData>
  <mergeCells count="4">
    <mergeCell ref="A2:F2"/>
    <mergeCell ref="A4:D4"/>
    <mergeCell ref="A1:F1"/>
    <mergeCell ref="A15:F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1F5C99"/>
    <outlinePr summaryBelow="1" summaryRight="1"/>
    <pageSetUpPr fitToPage="0"/>
  </sheetPr>
  <dimension ref="A1:F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68" min="1" max="1"/>
    <col width="20" customWidth="1" style="68" min="2" max="2"/>
    <col width="28" customWidth="1" style="68" min="3" max="3"/>
  </cols>
  <sheetData>
    <row r="1" ht="30" customHeight="1" s="69">
      <c r="A1" s="76" t="inlineStr">
        <is>
          <t>Exercise 013 – Bridge Round Model</t>
        </is>
      </c>
    </row>
    <row r="2" ht="15" customHeight="1" s="69">
      <c r="A2" s="83" t="inlineStr">
        <is>
          <t>Compare bridge financing vs cost reduction. See which extends runway more efficiently.</t>
        </is>
      </c>
    </row>
    <row r="4" ht="15" customHeight="1" s="69">
      <c r="A4" s="92" t="inlineStr">
        <is>
          <t>Current State</t>
        </is>
      </c>
      <c r="B4" s="85" t="n"/>
      <c r="C4" s="85" t="n"/>
      <c r="D4" s="85" t="n"/>
    </row>
    <row r="5" ht="15" customHeight="1" s="69">
      <c r="A5" s="87" t="inlineStr">
        <is>
          <t>Current Cash (£)</t>
        </is>
      </c>
      <c r="B5" s="100" t="n">
        <v>300000</v>
      </c>
      <c r="C5" s="86" t="n"/>
    </row>
    <row r="6" ht="15" customHeight="1" s="69">
      <c r="A6" s="90" t="inlineStr">
        <is>
          <t>Monthly Burn (£)</t>
        </is>
      </c>
      <c r="B6" s="100" t="n">
        <v>45000</v>
      </c>
      <c r="C6" s="86" t="n"/>
    </row>
    <row r="7" ht="15" customHeight="1" s="69">
      <c r="A7" s="87" t="inlineStr">
        <is>
          <t>Last Round Valuation (£)</t>
        </is>
      </c>
      <c r="B7" s="100" t="n">
        <v>4000000</v>
      </c>
      <c r="C7" s="86" t="n"/>
    </row>
    <row r="8" ht="15" customHeight="1" s="69">
      <c r="A8" s="90" t="inlineStr">
        <is>
          <t>Last Round Size (£)</t>
        </is>
      </c>
      <c r="B8" s="100" t="n">
        <v>1000000</v>
      </c>
      <c r="C8" s="86" t="n"/>
    </row>
    <row r="9" ht="15" customHeight="1" s="69">
      <c r="A9" s="87" t="inlineStr">
        <is>
          <t>Founder Ownership (FD %)</t>
        </is>
      </c>
      <c r="B9" s="102" t="n">
        <v>0.62</v>
      </c>
      <c r="C9" s="86" t="n"/>
    </row>
    <row r="10" ht="15" customHeight="1" s="69">
      <c r="A10" s="87" t="inlineStr">
        <is>
          <t>Current Runway (months)</t>
        </is>
      </c>
      <c r="B10" s="106">
        <f>ROUND(B5/B6,1)</f>
        <v/>
      </c>
      <c r="C10" s="86" t="n"/>
    </row>
    <row r="11" ht="15" customHeight="1" s="69">
      <c r="A11" s="86" t="n"/>
      <c r="B11" s="86" t="n"/>
      <c r="C11" s="86" t="n"/>
    </row>
    <row r="12" ht="15" customHeight="1" s="69">
      <c r="A12" s="92" t="inlineStr">
        <is>
          <t>Path A – Bridge Round</t>
        </is>
      </c>
      <c r="B12" s="85" t="n"/>
      <c r="C12" s="85" t="n"/>
      <c r="D12" s="85" t="n"/>
    </row>
    <row r="13" ht="15" customHeight="1" s="69">
      <c r="A13" s="87" t="inlineStr">
        <is>
          <t>Bridge Amount (£)</t>
        </is>
      </c>
      <c r="B13" s="100" t="n">
        <v>200000</v>
      </c>
      <c r="C13" s="86" t="n"/>
    </row>
    <row r="14" ht="15" customHeight="1" s="69">
      <c r="A14" s="90" t="inlineStr">
        <is>
          <t>Discount to Last Round (%)</t>
        </is>
      </c>
      <c r="B14" s="102" t="n">
        <v>0.2</v>
      </c>
      <c r="C14" s="86" t="n"/>
    </row>
    <row r="15" ht="15" customHeight="1" s="69">
      <c r="A15" s="87" t="inlineStr">
        <is>
          <t>Bridge Valuation Cap (£)</t>
        </is>
      </c>
      <c r="B15" s="104">
        <f>B7*(1-B14)</f>
        <v/>
      </c>
      <c r="C15" s="86" t="n"/>
    </row>
    <row r="16" ht="15" customHeight="1" s="69">
      <c r="A16" s="90" t="inlineStr">
        <is>
          <t>Founder Dilution from Bridge</t>
        </is>
      </c>
      <c r="B16" s="105">
        <f>B13/(B13+B7)</f>
        <v/>
      </c>
      <c r="C16" s="86" t="n"/>
    </row>
    <row r="17" ht="15" customHeight="1" s="69">
      <c r="A17" s="87" t="inlineStr">
        <is>
          <t>Post-Bridge Runway (months)</t>
        </is>
      </c>
      <c r="B17" s="106">
        <f>ROUND((B5+B13)/B6,1)</f>
        <v/>
      </c>
      <c r="C17" s="86" t="n"/>
    </row>
    <row r="18" ht="15" customHeight="1" s="69">
      <c r="A18" s="90" t="inlineStr">
        <is>
          <t>Founder Ownership Post-Bridge</t>
        </is>
      </c>
      <c r="B18" s="105">
        <f>B9*(1-B15)</f>
        <v/>
      </c>
      <c r="C18" s="86" t="n"/>
    </row>
    <row r="19" ht="15" customHeight="1" s="69">
      <c r="A19" s="86" t="n"/>
      <c r="B19" s="86" t="n"/>
      <c r="C19" s="86" t="n"/>
    </row>
    <row r="20" ht="15" customHeight="1" s="69">
      <c r="A20" s="86" t="n"/>
      <c r="B20" s="86" t="n"/>
      <c r="C20" s="86" t="n"/>
    </row>
    <row r="21" ht="15" customHeight="1" s="69">
      <c r="A21" s="92" t="inlineStr">
        <is>
          <t>Path B – Cost Reduction</t>
        </is>
      </c>
      <c r="B21" s="85" t="n"/>
      <c r="C21" s="85" t="n"/>
      <c r="D21" s="85" t="n"/>
    </row>
    <row r="22" ht="15" customHeight="1" s="69">
      <c r="A22" s="90" t="inlineStr">
        <is>
          <t>Monthly Cost Reduction (£)</t>
        </is>
      </c>
      <c r="B22" s="100" t="n">
        <v>10000</v>
      </c>
      <c r="C22" s="86" t="n"/>
    </row>
    <row r="23" ht="15" customHeight="1" s="69">
      <c r="A23" s="87" t="inlineStr">
        <is>
          <t>New Monthly Burn (£)</t>
        </is>
      </c>
      <c r="B23" s="104">
        <f>B6-B22</f>
        <v/>
      </c>
      <c r="C23" s="86" t="n"/>
    </row>
    <row r="24" ht="15" customHeight="1" s="69">
      <c r="A24" s="90" t="inlineStr">
        <is>
          <t>Extended Runway (months)</t>
        </is>
      </c>
      <c r="B24" s="106">
        <f>ROUND(B5/B23,1)</f>
        <v/>
      </c>
      <c r="C24" s="86" t="n"/>
    </row>
    <row r="25" ht="15" customHeight="1" s="69">
      <c r="A25" s="87" t="inlineStr">
        <is>
          <t>Additional Runway vs Current</t>
        </is>
      </c>
      <c r="B25" s="106">
        <f>B24-B10</f>
        <v/>
      </c>
      <c r="C25" s="86" t="n"/>
    </row>
    <row r="26" ht="15" customHeight="1" s="69">
      <c r="A26" s="90" t="inlineStr">
        <is>
          <t>Headcount Impact</t>
        </is>
      </c>
      <c r="B26" s="109" t="inlineStr">
        <is>
          <t>Enter description</t>
        </is>
      </c>
      <c r="C26" s="86" t="n"/>
    </row>
    <row r="27" ht="15" customHeight="1" s="69">
      <c r="A27" s="86" t="n"/>
      <c r="B27" s="86" t="n"/>
      <c r="C27" s="86" t="n"/>
    </row>
    <row r="28" ht="15" customHeight="1" s="69">
      <c r="A28" s="92" t="inlineStr">
        <is>
          <t>Decision Summary</t>
        </is>
      </c>
      <c r="B28" s="85" t="n"/>
      <c r="C28" s="85" t="n"/>
      <c r="D28" s="85" t="n"/>
    </row>
    <row r="29" ht="15" customHeight="1" s="69">
      <c r="A29" s="87" t="inlineStr">
        <is>
          <t>Bridge runway (months)</t>
        </is>
      </c>
      <c r="B29" s="106">
        <f>B18</f>
        <v/>
      </c>
      <c r="C29" s="86" t="n"/>
    </row>
    <row r="30" ht="15" customHeight="1" s="69">
      <c r="A30" s="87" t="inlineStr">
        <is>
          <t>Cost-cut runway (months)</t>
        </is>
      </c>
      <c r="B30" s="106">
        <f>B24</f>
        <v/>
      </c>
      <c r="C30" s="86" t="n"/>
    </row>
    <row r="31" ht="15" customHeight="1" s="69">
      <c r="A31" s="87" t="inlineStr">
        <is>
          <t>Bridge founder ownership post-round</t>
        </is>
      </c>
      <c r="B31" s="105">
        <f>B19</f>
        <v/>
      </c>
      <c r="C31" s="86" t="n"/>
    </row>
    <row r="32" ht="15" customHeight="1" s="69">
      <c r="A32" s="87" t="inlineStr">
        <is>
          <t>Better on runway?</t>
        </is>
      </c>
      <c r="B32" s="99">
        <f>IF(B29&gt;B30,"Bridge","Cost cut")</f>
        <v/>
      </c>
      <c r="C32" s="86" t="n"/>
    </row>
  </sheetData>
  <mergeCells count="6">
    <mergeCell ref="A2:F2"/>
    <mergeCell ref="A12:D12"/>
    <mergeCell ref="A4:D4"/>
    <mergeCell ref="A1:F1"/>
    <mergeCell ref="A21:D21"/>
    <mergeCell ref="A28:D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1F5C99"/>
    <outlinePr summaryBelow="1" summaryRight="1"/>
    <pageSetUpPr fitToPage="0"/>
  </sheetPr>
  <dimension ref="A1:F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6" customWidth="1" style="68" min="1" max="1"/>
    <col width="20" customWidth="1" style="68" min="2" max="2"/>
    <col width="18" customWidth="1" style="68" min="3" max="4"/>
    <col width="14" customWidth="1" style="68" min="5" max="5"/>
  </cols>
  <sheetData>
    <row r="1" ht="30" customHeight="1" s="69">
      <c r="A1" s="76" t="inlineStr">
        <is>
          <t>Exercise 014 – Valuation Defence</t>
        </is>
      </c>
    </row>
    <row r="2" ht="15" customHeight="1" s="69">
      <c r="A2" s="83" t="inlineStr">
        <is>
          <t>Three methods. Understand where your target sits vs each. Use all three in investor conversations.</t>
        </is>
      </c>
    </row>
    <row r="4" ht="15" customHeight="1" s="69">
      <c r="A4" s="84" t="inlineStr">
        <is>
          <t>Method 1 – Revenue Multiple</t>
        </is>
      </c>
      <c r="B4" s="85" t="n"/>
      <c r="C4" s="85" t="n"/>
      <c r="D4" s="85" t="n"/>
      <c r="E4" s="79" t="n"/>
    </row>
    <row r="5" ht="15" customHeight="1" s="69">
      <c r="A5" s="87" t="inlineStr">
        <is>
          <t>Forward ARR (£)</t>
        </is>
      </c>
      <c r="B5" s="100" t="n">
        <v>500000</v>
      </c>
      <c r="C5" s="86" t="n"/>
      <c r="D5" s="86" t="n"/>
      <c r="E5" s="86" t="n"/>
    </row>
    <row r="6" ht="15" customHeight="1" s="69">
      <c r="A6" s="90" t="inlineStr">
        <is>
          <t>Median SaaS Revenue Multiple</t>
        </is>
      </c>
      <c r="B6" s="115" t="n">
        <v>8</v>
      </c>
      <c r="C6" s="86" t="n"/>
      <c r="D6" s="86" t="n"/>
      <c r="E6" s="86" t="n"/>
    </row>
    <row r="7" ht="15" customHeight="1" s="69">
      <c r="A7" s="87" t="inlineStr">
        <is>
          <t>Implied Valuation (£)</t>
        </is>
      </c>
      <c r="B7" s="104">
        <f>B5*B6</f>
        <v/>
      </c>
      <c r="C7" s="86" t="n"/>
      <c r="D7" s="86" t="n"/>
      <c r="E7" s="86" t="n"/>
    </row>
    <row r="8" ht="15" customHeight="1" s="69">
      <c r="A8" s="90" t="inlineStr">
        <is>
          <t>Your Target Pre-Money (£)</t>
        </is>
      </c>
      <c r="B8" s="100" t="n">
        <v>4000000</v>
      </c>
      <c r="C8" s="86" t="n"/>
      <c r="D8" s="86" t="n"/>
      <c r="E8" s="86" t="n"/>
    </row>
    <row r="9" ht="15" customHeight="1" s="69">
      <c r="A9" s="87" t="inlineStr">
        <is>
          <t>Premium / (Discount) to Method</t>
        </is>
      </c>
      <c r="B9" s="99">
        <f>(B8-B7)/B7</f>
        <v/>
      </c>
      <c r="C9" s="86" t="n"/>
      <c r="D9" s="86" t="n"/>
      <c r="E9" s="86" t="n"/>
    </row>
    <row r="10" ht="15" customHeight="1" s="69">
      <c r="A10" s="86" t="n"/>
      <c r="B10" s="86" t="n"/>
      <c r="C10" s="86" t="n"/>
      <c r="D10" s="86" t="n"/>
      <c r="E10" s="86" t="n"/>
    </row>
    <row r="11" ht="15" customHeight="1" s="69">
      <c r="A11" s="84" t="inlineStr">
        <is>
          <t>Method 2 – Investor Return Math</t>
        </is>
      </c>
      <c r="B11" s="85" t="n"/>
      <c r="C11" s="85" t="n"/>
      <c r="D11" s="85" t="n"/>
      <c r="E11" s="79" t="n"/>
    </row>
    <row r="12" ht="15" customHeight="1" s="69">
      <c r="A12" s="90" t="inlineStr">
        <is>
          <t>Typical Fund Cheque (£)</t>
        </is>
      </c>
      <c r="B12" s="100" t="n">
        <v>1000000</v>
      </c>
      <c r="C12" s="86" t="n"/>
      <c r="D12" s="86" t="n"/>
      <c r="E12" s="86" t="n"/>
    </row>
    <row r="13" ht="15" customHeight="1" s="69">
      <c r="A13" s="87" t="inlineStr">
        <is>
          <t>Target Investor Ownership (%)</t>
        </is>
      </c>
      <c r="B13" s="102" t="n">
        <v>0.2</v>
      </c>
      <c r="C13" s="86" t="n"/>
      <c r="D13" s="86" t="n"/>
      <c r="E13" s="86" t="n"/>
    </row>
    <row r="14" ht="15" customHeight="1" s="69">
      <c r="A14" s="90" t="inlineStr">
        <is>
          <t>Implied Post-Money (£)</t>
        </is>
      </c>
      <c r="B14" s="104">
        <f>B12/B13</f>
        <v/>
      </c>
      <c r="C14" s="86" t="n"/>
      <c r="D14" s="86" t="n"/>
      <c r="E14" s="86" t="n"/>
    </row>
    <row r="15" ht="15" customHeight="1" s="69">
      <c r="A15" s="87" t="inlineStr">
        <is>
          <t>Investment Amount (£)</t>
        </is>
      </c>
      <c r="B15" s="100" t="n">
        <v>1000000</v>
      </c>
      <c r="C15" s="86" t="n"/>
      <c r="D15" s="86" t="n"/>
      <c r="E15" s="86" t="n"/>
    </row>
    <row r="16" ht="15" customHeight="1" s="69">
      <c r="A16" s="90" t="inlineStr">
        <is>
          <t>Implied Pre-Money (£)</t>
        </is>
      </c>
      <c r="B16" s="104">
        <f>B14-B15</f>
        <v/>
      </c>
      <c r="C16" s="86" t="n"/>
      <c r="D16" s="86" t="n"/>
      <c r="E16" s="86" t="n"/>
    </row>
    <row r="17" ht="15" customHeight="1" s="69">
      <c r="A17" s="87" t="inlineStr">
        <is>
          <t>10× Fund Return Target (£)</t>
        </is>
      </c>
      <c r="B17" s="104">
        <f>B12*10</f>
        <v/>
      </c>
      <c r="C17" s="86" t="n"/>
      <c r="D17" s="86" t="n"/>
      <c r="E17" s="86" t="n"/>
    </row>
    <row r="18" ht="15" customHeight="1" s="69">
      <c r="A18" s="90" t="inlineStr">
        <is>
          <t>Exit Needed for 10× (£)</t>
        </is>
      </c>
      <c r="B18" s="104">
        <f>B17/B13</f>
        <v/>
      </c>
      <c r="C18" s="86" t="n"/>
      <c r="D18" s="86" t="n"/>
      <c r="E18" s="86" t="n"/>
    </row>
    <row r="19" ht="15" customHeight="1" s="69">
      <c r="A19" s="86" t="n"/>
      <c r="B19" s="86" t="n"/>
      <c r="C19" s="86" t="n"/>
      <c r="D19" s="86" t="n"/>
      <c r="E19" s="86" t="n"/>
    </row>
    <row r="20" ht="15" customHeight="1" s="69">
      <c r="A20" s="86" t="n"/>
      <c r="B20" s="86" t="n"/>
      <c r="C20" s="86" t="n"/>
      <c r="D20" s="86" t="n"/>
      <c r="E20" s="86" t="n"/>
    </row>
    <row r="21" ht="15" customHeight="1" s="69">
      <c r="A21" s="84" t="inlineStr">
        <is>
          <t>Method 3 – Comparable Transactions</t>
        </is>
      </c>
      <c r="B21" s="85" t="n"/>
      <c r="C21" s="85" t="n"/>
      <c r="D21" s="85" t="n"/>
      <c r="E21" s="79" t="n"/>
    </row>
    <row r="22" ht="15" customHeight="1" s="69">
      <c r="A22" s="93" t="inlineStr">
        <is>
          <t>Company</t>
        </is>
      </c>
      <c r="B22" s="93" t="inlineStr">
        <is>
          <t>Round Stage</t>
        </is>
      </c>
      <c r="C22" s="93" t="inlineStr">
        <is>
          <t>Pre-Money (£)</t>
        </is>
      </c>
      <c r="D22" s="93" t="inlineStr">
        <is>
          <t>ARR (£)</t>
        </is>
      </c>
      <c r="E22" s="93" t="inlineStr">
        <is>
          <t>Multiple</t>
        </is>
      </c>
    </row>
    <row r="23" ht="15" customHeight="1" s="69">
      <c r="A23" s="109" t="n"/>
      <c r="B23" s="109" t="n"/>
      <c r="C23" s="109" t="n"/>
      <c r="D23" s="109" t="n"/>
      <c r="E23" s="117">
        <f>IF(D23=0,"-",C23/D23)</f>
        <v/>
      </c>
    </row>
    <row r="24" ht="15" customHeight="1" s="69">
      <c r="A24" s="109" t="n"/>
      <c r="B24" s="109" t="n"/>
      <c r="C24" s="109" t="n"/>
      <c r="D24" s="109" t="n"/>
      <c r="E24" s="117">
        <f>IF(D24=0,"-",C24/D24)</f>
        <v/>
      </c>
    </row>
    <row r="25" ht="15" customHeight="1" s="69">
      <c r="A25" s="109" t="n"/>
      <c r="B25" s="109" t="n"/>
      <c r="C25" s="109" t="n"/>
      <c r="D25" s="109" t="n"/>
      <c r="E25" s="117">
        <f>IF(D25=0,"-",C25/D25)</f>
        <v/>
      </c>
    </row>
    <row r="26" ht="15" customHeight="1" s="69">
      <c r="A26" s="109" t="n"/>
      <c r="B26" s="109" t="n"/>
      <c r="C26" s="109" t="n"/>
      <c r="D26" s="109" t="n"/>
      <c r="E26" s="117">
        <f>IF(D26=0,"-",C26/D26)</f>
        <v/>
      </c>
    </row>
    <row r="27" ht="15" customHeight="1" s="69">
      <c r="A27" s="86" t="n"/>
      <c r="B27" s="86" t="n"/>
      <c r="C27" s="86" t="n"/>
      <c r="D27" s="87" t="inlineStr">
        <is>
          <t>Median Multiple</t>
        </is>
      </c>
      <c r="E27" s="117">
        <f>IFERROR(AVERAGE(E23:E26),"-")</f>
        <v/>
      </c>
    </row>
    <row r="28" ht="15" customHeight="1" s="69">
      <c r="A28" s="86" t="n"/>
      <c r="B28" s="86" t="n"/>
      <c r="C28" s="86" t="n"/>
      <c r="D28" s="86" t="n"/>
      <c r="E28" s="86" t="n"/>
    </row>
    <row r="29" ht="15" customHeight="1" s="69">
      <c r="A29" s="84" t="inlineStr">
        <is>
          <t>Summary</t>
        </is>
      </c>
      <c r="B29" s="85" t="n"/>
      <c r="C29" s="79" t="n"/>
      <c r="D29" s="86" t="n"/>
      <c r="E29" s="86" t="n"/>
    </row>
    <row r="30" ht="15" customHeight="1" s="69">
      <c r="A30" s="87" t="inlineStr">
        <is>
          <t>Method 1 Implied Pre-Money (£)</t>
        </is>
      </c>
      <c r="B30" s="104">
        <f>B7</f>
        <v/>
      </c>
      <c r="C30" s="86" t="n"/>
      <c r="D30" s="86" t="n"/>
      <c r="E30" s="86" t="n"/>
    </row>
    <row r="31" ht="15" customHeight="1" s="69">
      <c r="A31" s="87" t="inlineStr">
        <is>
          <t>Method 2 Implied Pre-Money (£)</t>
        </is>
      </c>
      <c r="B31" s="104">
        <f>B16</f>
        <v/>
      </c>
      <c r="C31" s="86" t="n"/>
      <c r="D31" s="86" t="n"/>
      <c r="E31" s="86" t="n"/>
    </row>
    <row r="32" ht="23.25" customHeight="1" s="69">
      <c r="A32" s="87" t="inlineStr">
        <is>
          <t>Method 3 (comps) – median multiple × ARR (£)</t>
        </is>
      </c>
      <c r="B32" s="104">
        <f>IFERROR(E27*B5,"-")</f>
        <v/>
      </c>
      <c r="C32" s="86" t="n"/>
      <c r="D32" s="86" t="n"/>
      <c r="E32" s="86" t="n"/>
    </row>
    <row r="33" ht="15" customHeight="1" s="69">
      <c r="A33" s="87" t="inlineStr">
        <is>
          <t>Your Target Pre-Money (£)</t>
        </is>
      </c>
      <c r="B33" s="104">
        <f>B8</f>
        <v/>
      </c>
      <c r="C33" s="86" t="n"/>
      <c r="D33" s="86" t="n"/>
      <c r="E33" s="86" t="n"/>
    </row>
  </sheetData>
  <mergeCells count="6">
    <mergeCell ref="A21:E21"/>
    <mergeCell ref="A2:F2"/>
    <mergeCell ref="A4:E4"/>
    <mergeCell ref="A1:F1"/>
    <mergeCell ref="A11:E11"/>
    <mergeCell ref="A29:C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1F5C99"/>
    <outlinePr summaryBelow="1" summaryRight="1"/>
    <pageSetUpPr fitToPage="0"/>
  </sheetPr>
  <dimension ref="A1:E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2" customWidth="1" style="68" min="1" max="1"/>
    <col width="16" customWidth="1" style="68" min="2" max="2"/>
    <col width="18" customWidth="1" style="68" min="3" max="3"/>
    <col width="14" customWidth="1" style="68" min="4" max="4"/>
    <col width="28" customWidth="1" style="68" min="5" max="5"/>
  </cols>
  <sheetData>
    <row r="1" ht="30" customHeight="1" s="69">
      <c r="A1" s="76" t="inlineStr">
        <is>
          <t>Exercise 016 – Data Room Checklist</t>
        </is>
      </c>
    </row>
    <row r="2" ht="15" customHeight="1" s="69">
      <c r="A2" s="83" t="inlineStr">
        <is>
          <t>Mark each item Ready / In Progress / Missing. Track owner and due date for gaps.</t>
        </is>
      </c>
    </row>
    <row r="4" ht="15" customHeight="1" s="69">
      <c r="A4" s="84" t="inlineStr">
        <is>
          <t>1. Corporate &amp; Legal</t>
        </is>
      </c>
      <c r="B4" s="85" t="n"/>
      <c r="C4" s="85" t="n"/>
      <c r="D4" s="85" t="n"/>
      <c r="E4" s="79" t="n"/>
    </row>
    <row r="5" ht="15" customHeight="1" s="69">
      <c r="A5" s="93" t="inlineStr">
        <is>
          <t>Document</t>
        </is>
      </c>
      <c r="B5" s="93" t="inlineStr">
        <is>
          <t>Status</t>
        </is>
      </c>
      <c r="C5" s="93" t="inlineStr">
        <is>
          <t>Owner</t>
        </is>
      </c>
      <c r="D5" s="93" t="inlineStr">
        <is>
          <t>Due Date</t>
        </is>
      </c>
      <c r="E5" s="93" t="inlineStr">
        <is>
          <t>Notes</t>
        </is>
      </c>
    </row>
    <row r="6" ht="15" customHeight="1" s="69">
      <c r="A6" s="90" t="inlineStr">
        <is>
          <t>Certificate / Articles of Incorporation</t>
        </is>
      </c>
      <c r="B6" s="109" t="inlineStr">
        <is>
          <t>Missing</t>
        </is>
      </c>
      <c r="C6" s="109" t="n"/>
      <c r="D6" s="95" t="n"/>
      <c r="E6" s="109" t="n"/>
    </row>
    <row r="7" ht="15" customHeight="1" s="69">
      <c r="A7" s="87" t="inlineStr">
        <is>
          <t>All amendments to articles</t>
        </is>
      </c>
      <c r="B7" s="109" t="inlineStr">
        <is>
          <t>Missing</t>
        </is>
      </c>
      <c r="C7" s="109" t="n"/>
      <c r="D7" s="95" t="n"/>
      <c r="E7" s="109" t="n"/>
    </row>
    <row r="8" ht="15" customHeight="1" s="69">
      <c r="A8" s="90" t="inlineStr">
        <is>
          <t>Shareholders agreement</t>
        </is>
      </c>
      <c r="B8" s="109" t="inlineStr">
        <is>
          <t>Missing</t>
        </is>
      </c>
      <c r="C8" s="109" t="n"/>
      <c r="D8" s="95" t="n"/>
      <c r="E8" s="109" t="n"/>
    </row>
    <row r="9" ht="15" customHeight="1" s="69">
      <c r="A9" s="87" t="inlineStr">
        <is>
          <t>Board meeting minutes (all)</t>
        </is>
      </c>
      <c r="B9" s="109" t="inlineStr">
        <is>
          <t>Missing</t>
        </is>
      </c>
      <c r="C9" s="109" t="n"/>
      <c r="D9" s="95" t="n"/>
      <c r="E9" s="109" t="n"/>
    </row>
    <row r="10" ht="15" customHeight="1" s="69">
      <c r="A10" s="90" t="inlineStr">
        <is>
          <t>IP assignment agreements</t>
        </is>
      </c>
      <c r="B10" s="109" t="inlineStr">
        <is>
          <t>Missing</t>
        </is>
      </c>
      <c r="C10" s="109" t="n"/>
      <c r="D10" s="95" t="n"/>
      <c r="E10" s="109" t="n"/>
    </row>
    <row r="11" ht="15" customHeight="1" s="69">
      <c r="A11" s="87" t="inlineStr">
        <is>
          <t>Material customer contracts</t>
        </is>
      </c>
      <c r="B11" s="109" t="inlineStr">
        <is>
          <t>Missing</t>
        </is>
      </c>
      <c r="C11" s="109" t="n"/>
      <c r="D11" s="95" t="n"/>
      <c r="E11" s="109" t="n"/>
    </row>
    <row r="12" ht="15" customHeight="1" s="69">
      <c r="A12" s="90" t="inlineStr">
        <is>
          <t>Material vendor contracts</t>
        </is>
      </c>
      <c r="B12" s="109" t="inlineStr">
        <is>
          <t>Missing</t>
        </is>
      </c>
      <c r="C12" s="109" t="n"/>
      <c r="D12" s="95" t="n"/>
      <c r="E12" s="109" t="n"/>
    </row>
    <row r="13" ht="15" customHeight="1" s="69">
      <c r="A13" s="87" t="inlineStr">
        <is>
          <t>Privacy policy &amp; terms of service</t>
        </is>
      </c>
      <c r="B13" s="109" t="inlineStr">
        <is>
          <t>Missing</t>
        </is>
      </c>
      <c r="C13" s="109" t="n"/>
      <c r="D13" s="95" t="n"/>
      <c r="E13" s="109" t="n"/>
    </row>
    <row r="14" ht="15" customHeight="1" s="69">
      <c r="A14" s="86" t="n"/>
      <c r="B14" s="86" t="n"/>
      <c r="C14" s="86" t="n"/>
      <c r="D14" s="86" t="n"/>
      <c r="E14" s="86" t="n"/>
    </row>
    <row r="15" ht="15" customHeight="1" s="69">
      <c r="A15" s="84" t="inlineStr">
        <is>
          <t>2. Capitalization</t>
        </is>
      </c>
      <c r="B15" s="85" t="n"/>
      <c r="C15" s="85" t="n"/>
      <c r="D15" s="85" t="n"/>
      <c r="E15" s="79" t="n"/>
    </row>
    <row r="16" ht="15" customHeight="1" s="69">
      <c r="A16" s="93" t="inlineStr">
        <is>
          <t>Document</t>
        </is>
      </c>
      <c r="B16" s="93" t="inlineStr">
        <is>
          <t>Status</t>
        </is>
      </c>
      <c r="C16" s="93" t="inlineStr">
        <is>
          <t>Owner</t>
        </is>
      </c>
      <c r="D16" s="93" t="inlineStr">
        <is>
          <t>Due Date</t>
        </is>
      </c>
      <c r="E16" s="93" t="inlineStr">
        <is>
          <t>Notes</t>
        </is>
      </c>
    </row>
    <row r="17" ht="15" customHeight="1" s="69">
      <c r="A17" s="90" t="inlineStr">
        <is>
          <t>Fully diluted cap table (current)</t>
        </is>
      </c>
      <c r="B17" s="109" t="inlineStr">
        <is>
          <t>Missing</t>
        </is>
      </c>
      <c r="C17" s="109" t="n"/>
      <c r="D17" s="95" t="n"/>
      <c r="E17" s="109" t="n"/>
    </row>
    <row r="18" ht="15" customHeight="1" s="69">
      <c r="A18" s="87" t="inlineStr">
        <is>
          <t>Stock option plan document</t>
        </is>
      </c>
      <c r="B18" s="109" t="inlineStr">
        <is>
          <t>Missing</t>
        </is>
      </c>
      <c r="C18" s="109" t="n"/>
      <c r="D18" s="95" t="n"/>
      <c r="E18" s="109" t="n"/>
    </row>
    <row r="19" ht="15" customHeight="1" s="69">
      <c r="A19" s="90" t="inlineStr">
        <is>
          <t>Individual option grant agreements</t>
        </is>
      </c>
      <c r="B19" s="109" t="inlineStr">
        <is>
          <t>Missing</t>
        </is>
      </c>
      <c r="C19" s="109" t="n"/>
      <c r="D19" s="95" t="n"/>
      <c r="E19" s="109" t="n"/>
    </row>
    <row r="20" ht="15" customHeight="1" s="69">
      <c r="A20" s="87" t="inlineStr">
        <is>
          <t>SAFE / convertible note agreements</t>
        </is>
      </c>
      <c r="B20" s="109" t="inlineStr">
        <is>
          <t>Missing</t>
        </is>
      </c>
      <c r="C20" s="109" t="n"/>
      <c r="D20" s="95" t="n"/>
      <c r="E20" s="109" t="n"/>
    </row>
    <row r="21" ht="15" customHeight="1" s="69">
      <c r="A21" s="90" t="inlineStr">
        <is>
          <t>Warrant agreements</t>
        </is>
      </c>
      <c r="B21" s="109" t="inlineStr">
        <is>
          <t>Missing</t>
        </is>
      </c>
      <c r="C21" s="109" t="n"/>
      <c r="D21" s="95" t="n"/>
      <c r="E21" s="109" t="n"/>
    </row>
    <row r="22" ht="15" customHeight="1" s="69">
      <c r="A22" s="87" t="inlineStr">
        <is>
          <t>Waterfall analysis (2–3 exit scenarios)</t>
        </is>
      </c>
      <c r="B22" s="109" t="inlineStr">
        <is>
          <t>Missing</t>
        </is>
      </c>
      <c r="C22" s="109" t="n"/>
      <c r="D22" s="95" t="n"/>
      <c r="E22" s="109" t="n"/>
    </row>
    <row r="23" ht="15" customHeight="1" s="69">
      <c r="A23" s="90" t="inlineStr">
        <is>
          <t>Pro-forma cap table post-round</t>
        </is>
      </c>
      <c r="B23" s="109" t="inlineStr">
        <is>
          <t>Missing</t>
        </is>
      </c>
      <c r="C23" s="109" t="n"/>
      <c r="D23" s="95" t="n"/>
      <c r="E23" s="109" t="n"/>
    </row>
    <row r="24" ht="15" customHeight="1" s="69">
      <c r="A24" s="86" t="n"/>
      <c r="B24" s="86" t="n"/>
      <c r="C24" s="86" t="n"/>
      <c r="D24" s="86" t="n"/>
      <c r="E24" s="86" t="n"/>
    </row>
    <row r="25" ht="15" customHeight="1" s="69">
      <c r="A25" s="84" t="inlineStr">
        <is>
          <t>3. Financial</t>
        </is>
      </c>
      <c r="B25" s="85" t="n"/>
      <c r="C25" s="85" t="n"/>
      <c r="D25" s="85" t="n"/>
      <c r="E25" s="79" t="n"/>
    </row>
    <row r="26" ht="15" customHeight="1" s="69">
      <c r="A26" s="93" t="inlineStr">
        <is>
          <t>Document</t>
        </is>
      </c>
      <c r="B26" s="93" t="inlineStr">
        <is>
          <t>Status</t>
        </is>
      </c>
      <c r="C26" s="93" t="inlineStr">
        <is>
          <t>Owner</t>
        </is>
      </c>
      <c r="D26" s="93" t="inlineStr">
        <is>
          <t>Due Date</t>
        </is>
      </c>
      <c r="E26" s="93" t="inlineStr">
        <is>
          <t>Notes</t>
        </is>
      </c>
    </row>
    <row r="27" ht="15" customHeight="1" s="69">
      <c r="A27" s="90" t="inlineStr">
        <is>
          <t>Financial model (working spreadsheet)</t>
        </is>
      </c>
      <c r="B27" s="109" t="inlineStr">
        <is>
          <t>Missing</t>
        </is>
      </c>
      <c r="C27" s="109" t="n"/>
      <c r="D27" s="95" t="n"/>
      <c r="E27" s="109" t="n"/>
    </row>
    <row r="28" ht="15" customHeight="1" s="69">
      <c r="A28" s="87" t="inlineStr">
        <is>
          <t>P&amp;L: last 2–3 years or since inception</t>
        </is>
      </c>
      <c r="B28" s="109" t="inlineStr">
        <is>
          <t>Missing</t>
        </is>
      </c>
      <c r="C28" s="109" t="n"/>
      <c r="D28" s="95" t="n"/>
      <c r="E28" s="109" t="n"/>
    </row>
    <row r="29" ht="15" customHeight="1" s="69">
      <c r="A29" s="90" t="inlineStr">
        <is>
          <t>Balance sheet: last 2–3 years</t>
        </is>
      </c>
      <c r="B29" s="109" t="inlineStr">
        <is>
          <t>Missing</t>
        </is>
      </c>
      <c r="C29" s="109" t="n"/>
      <c r="D29" s="95" t="n"/>
      <c r="E29" s="109" t="n"/>
    </row>
    <row r="30" ht="15" customHeight="1" s="69">
      <c r="A30" s="87" t="inlineStr">
        <is>
          <t>Cash flow statement: last 2–3 years</t>
        </is>
      </c>
      <c r="B30" s="109" t="inlineStr">
        <is>
          <t>Missing</t>
        </is>
      </c>
      <c r="C30" s="109" t="n"/>
      <c r="D30" s="95" t="n"/>
      <c r="E30" s="109" t="n"/>
    </row>
    <row r="31" ht="15" customHeight="1" s="69">
      <c r="A31" s="90" t="inlineStr">
        <is>
          <t>Current month management accounts</t>
        </is>
      </c>
      <c r="B31" s="109" t="inlineStr">
        <is>
          <t>Missing</t>
        </is>
      </c>
      <c r="C31" s="109" t="n"/>
      <c r="D31" s="95" t="n"/>
      <c r="E31" s="109" t="n"/>
    </row>
    <row r="32" ht="15" customHeight="1" s="69">
      <c r="A32" s="87" t="inlineStr">
        <is>
          <t>Bank statements: last 6–12 months</t>
        </is>
      </c>
      <c r="B32" s="109" t="inlineStr">
        <is>
          <t>Missing</t>
        </is>
      </c>
      <c r="C32" s="109" t="n"/>
      <c r="D32" s="95" t="n"/>
      <c r="E32" s="109" t="n"/>
    </row>
    <row r="33" ht="15" customHeight="1" s="69">
      <c r="A33" s="90" t="inlineStr">
        <is>
          <t>Tax returns: all filed years</t>
        </is>
      </c>
      <c r="B33" s="109" t="inlineStr">
        <is>
          <t>Missing</t>
        </is>
      </c>
      <c r="C33" s="109" t="n"/>
      <c r="D33" s="95" t="n"/>
      <c r="E33" s="109" t="n"/>
    </row>
    <row r="34" ht="15" customHeight="1" s="69">
      <c r="A34" s="87" t="inlineStr">
        <is>
          <t>AR &amp; AP aging reports</t>
        </is>
      </c>
      <c r="B34" s="109" t="inlineStr">
        <is>
          <t>Missing</t>
        </is>
      </c>
      <c r="C34" s="109" t="n"/>
      <c r="D34" s="95" t="n"/>
      <c r="E34" s="109" t="n"/>
    </row>
    <row r="35" ht="15" customHeight="1" s="69">
      <c r="A35" s="90" t="inlineStr">
        <is>
          <t>Venture debt / loan agreements (if any)</t>
        </is>
      </c>
      <c r="B35" s="109" t="inlineStr">
        <is>
          <t>Missing</t>
        </is>
      </c>
      <c r="C35" s="109" t="n"/>
      <c r="D35" s="95" t="n"/>
      <c r="E35" s="109" t="n"/>
    </row>
    <row r="36" ht="15" customHeight="1" s="69">
      <c r="A36" s="86" t="n"/>
      <c r="B36" s="86" t="n"/>
      <c r="C36" s="86" t="n"/>
      <c r="D36" s="86" t="n"/>
      <c r="E36" s="86" t="n"/>
    </row>
    <row r="37" ht="15" customHeight="1" s="69">
      <c r="A37" s="84" t="inlineStr">
        <is>
          <t>4. Metrics &amp; KPIs</t>
        </is>
      </c>
      <c r="B37" s="85" t="n"/>
      <c r="C37" s="85" t="n"/>
      <c r="D37" s="85" t="n"/>
      <c r="E37" s="79" t="n"/>
    </row>
    <row r="38" ht="15" customHeight="1" s="69">
      <c r="A38" s="93" t="inlineStr">
        <is>
          <t>Document</t>
        </is>
      </c>
      <c r="B38" s="93" t="inlineStr">
        <is>
          <t>Status</t>
        </is>
      </c>
      <c r="C38" s="93" t="inlineStr">
        <is>
          <t>Owner</t>
        </is>
      </c>
      <c r="D38" s="93" t="inlineStr">
        <is>
          <t>Due Date</t>
        </is>
      </c>
      <c r="E38" s="93" t="inlineStr">
        <is>
          <t>Notes</t>
        </is>
      </c>
    </row>
    <row r="39" ht="23.25" customHeight="1" s="69">
      <c r="A39" s="90" t="inlineStr">
        <is>
          <t>Monthly KPI dashboard (MRR, ARR, churn, CAC, LTV, NRR)</t>
        </is>
      </c>
      <c r="B39" s="109" t="inlineStr">
        <is>
          <t>Missing</t>
        </is>
      </c>
      <c r="C39" s="109" t="n"/>
      <c r="D39" s="95" t="n"/>
      <c r="E39" s="109" t="n"/>
    </row>
    <row r="40" ht="15" customHeight="1" s="69">
      <c r="A40" s="87" t="inlineStr">
        <is>
          <t>Cohort retention analysis</t>
        </is>
      </c>
      <c r="B40" s="109" t="inlineStr">
        <is>
          <t>Missing</t>
        </is>
      </c>
      <c r="C40" s="109" t="n"/>
      <c r="D40" s="95" t="n"/>
      <c r="E40" s="109" t="n"/>
    </row>
    <row r="41" ht="15" customHeight="1" s="69">
      <c r="A41" s="90" t="inlineStr">
        <is>
          <t>Customer list with contract values</t>
        </is>
      </c>
      <c r="B41" s="109" t="inlineStr">
        <is>
          <t>Missing</t>
        </is>
      </c>
      <c r="C41" s="109" t="n"/>
      <c r="D41" s="95" t="n"/>
      <c r="E41" s="109" t="n"/>
    </row>
    <row r="42" ht="15" customHeight="1" s="69">
      <c r="A42" s="87" t="inlineStr">
        <is>
          <t>CRM pipeline data</t>
        </is>
      </c>
      <c r="B42" s="109" t="inlineStr">
        <is>
          <t>Missing</t>
        </is>
      </c>
      <c r="C42" s="109" t="n"/>
      <c r="D42" s="95" t="n"/>
      <c r="E42" s="109" t="n"/>
    </row>
    <row r="43" ht="15" customHeight="1" s="69">
      <c r="A43" s="90" t="inlineStr">
        <is>
          <t>Unit economics by channel / segment</t>
        </is>
      </c>
      <c r="B43" s="109" t="inlineStr">
        <is>
          <t>Missing</t>
        </is>
      </c>
      <c r="C43" s="109" t="n"/>
      <c r="D43" s="95" t="n"/>
      <c r="E43" s="109" t="n"/>
    </row>
    <row r="44" ht="15" customHeight="1" s="69">
      <c r="A44" s="86" t="n"/>
      <c r="B44" s="86" t="n"/>
      <c r="C44" s="86" t="n"/>
      <c r="D44" s="86" t="n"/>
      <c r="E44" s="86" t="n"/>
    </row>
    <row r="45" ht="15" customHeight="1" s="69">
      <c r="A45" s="84" t="inlineStr">
        <is>
          <t>5. Team &amp; Culture</t>
        </is>
      </c>
      <c r="B45" s="85" t="n"/>
      <c r="C45" s="85" t="n"/>
      <c r="D45" s="85" t="n"/>
      <c r="E45" s="79" t="n"/>
    </row>
    <row r="46" ht="15" customHeight="1" s="69">
      <c r="A46" s="93" t="inlineStr">
        <is>
          <t>Document</t>
        </is>
      </c>
      <c r="B46" s="93" t="inlineStr">
        <is>
          <t>Status</t>
        </is>
      </c>
      <c r="C46" s="93" t="inlineStr">
        <is>
          <t>Owner</t>
        </is>
      </c>
      <c r="D46" s="93" t="inlineStr">
        <is>
          <t>Due Date</t>
        </is>
      </c>
      <c r="E46" s="93" t="inlineStr">
        <is>
          <t>Notes</t>
        </is>
      </c>
    </row>
    <row r="47" ht="15" customHeight="1" s="69">
      <c r="A47" s="90" t="inlineStr">
        <is>
          <t>Org chart</t>
        </is>
      </c>
      <c r="B47" s="109" t="inlineStr">
        <is>
          <t>Missing</t>
        </is>
      </c>
      <c r="C47" s="109" t="n"/>
      <c r="D47" s="95" t="n"/>
      <c r="E47" s="109" t="n"/>
    </row>
    <row r="48" ht="15" customHeight="1" s="69">
      <c r="A48" s="87" t="inlineStr">
        <is>
          <t>Key employee contracts</t>
        </is>
      </c>
      <c r="B48" s="109" t="inlineStr">
        <is>
          <t>Missing</t>
        </is>
      </c>
      <c r="C48" s="109" t="n"/>
      <c r="D48" s="95" t="n"/>
      <c r="E48" s="109" t="n"/>
    </row>
    <row r="49" ht="15" customHeight="1" s="69">
      <c r="A49" s="90" t="inlineStr">
        <is>
          <t>Founder employment / service agreements</t>
        </is>
      </c>
      <c r="B49" s="109" t="inlineStr">
        <is>
          <t>Missing</t>
        </is>
      </c>
      <c r="C49" s="109" t="n"/>
      <c r="D49" s="95" t="n"/>
      <c r="E49" s="109" t="n"/>
    </row>
    <row r="50" ht="15" customHeight="1" s="69">
      <c r="A50" s="87" t="inlineStr">
        <is>
          <t>Benefits and compensation summary</t>
        </is>
      </c>
      <c r="B50" s="109" t="inlineStr">
        <is>
          <t>Missing</t>
        </is>
      </c>
      <c r="C50" s="109" t="n"/>
      <c r="D50" s="95" t="n"/>
      <c r="E50" s="109" t="n"/>
    </row>
    <row r="51" ht="15" customHeight="1" s="69">
      <c r="A51" s="86" t="n"/>
      <c r="B51" s="86" t="n"/>
      <c r="C51" s="86" t="n"/>
      <c r="D51" s="86" t="n"/>
      <c r="E51" s="86" t="n"/>
    </row>
    <row r="52" ht="15" customHeight="1" s="69">
      <c r="A52" s="84" t="inlineStr">
        <is>
          <t>6. Product &amp; Technology</t>
        </is>
      </c>
      <c r="B52" s="85" t="n"/>
      <c r="C52" s="85" t="n"/>
      <c r="D52" s="85" t="n"/>
      <c r="E52" s="79" t="n"/>
    </row>
    <row r="53" ht="15" customHeight="1" s="69">
      <c r="A53" s="93" t="inlineStr">
        <is>
          <t>Document</t>
        </is>
      </c>
      <c r="B53" s="93" t="inlineStr">
        <is>
          <t>Status</t>
        </is>
      </c>
      <c r="C53" s="93" t="inlineStr">
        <is>
          <t>Owner</t>
        </is>
      </c>
      <c r="D53" s="93" t="inlineStr">
        <is>
          <t>Due Date</t>
        </is>
      </c>
      <c r="E53" s="93" t="inlineStr">
        <is>
          <t>Notes</t>
        </is>
      </c>
    </row>
    <row r="54" ht="15" customHeight="1" s="69">
      <c r="A54" s="90" t="inlineStr">
        <is>
          <t>Product roadmap</t>
        </is>
      </c>
      <c r="B54" s="109" t="inlineStr">
        <is>
          <t>Missing</t>
        </is>
      </c>
      <c r="C54" s="109" t="n"/>
      <c r="D54" s="95" t="n"/>
      <c r="E54" s="109" t="n"/>
    </row>
    <row r="55" ht="15" customHeight="1" s="69">
      <c r="A55" s="87" t="inlineStr">
        <is>
          <t>Technical architecture overview</t>
        </is>
      </c>
      <c r="B55" s="109" t="inlineStr">
        <is>
          <t>Missing</t>
        </is>
      </c>
      <c r="C55" s="109" t="n"/>
      <c r="D55" s="95" t="n"/>
      <c r="E55" s="109" t="n"/>
    </row>
    <row r="56" ht="23.25" customHeight="1" s="69">
      <c r="A56" s="90" t="inlineStr">
        <is>
          <t>Security &amp; compliance certifications (SOC2, ISO etc.)</t>
        </is>
      </c>
      <c r="B56" s="109" t="inlineStr">
        <is>
          <t>Missing</t>
        </is>
      </c>
      <c r="C56" s="109" t="n"/>
      <c r="D56" s="95" t="n"/>
      <c r="E56" s="109" t="n"/>
    </row>
    <row r="57" ht="15" customHeight="1" s="69">
      <c r="A57" s="87" t="inlineStr">
        <is>
          <t>Key vendor / infrastructure agreements</t>
        </is>
      </c>
      <c r="B57" s="109" t="inlineStr">
        <is>
          <t>Missing</t>
        </is>
      </c>
      <c r="C57" s="109" t="n"/>
      <c r="D57" s="95" t="n"/>
      <c r="E57" s="109" t="n"/>
    </row>
    <row r="58" ht="15" customHeight="1" s="69">
      <c r="A58" s="86" t="n"/>
      <c r="B58" s="86" t="n"/>
      <c r="C58" s="86" t="n"/>
      <c r="D58" s="86" t="n"/>
      <c r="E58" s="86" t="n"/>
    </row>
    <row r="59" ht="15" customHeight="1" s="69">
      <c r="A59" s="84" t="inlineStr">
        <is>
          <t>7. Market &amp; Competitive</t>
        </is>
      </c>
      <c r="B59" s="85" t="n"/>
      <c r="C59" s="85" t="n"/>
      <c r="D59" s="85" t="n"/>
      <c r="E59" s="79" t="n"/>
    </row>
    <row r="60" ht="15" customHeight="1" s="69">
      <c r="A60" s="93" t="inlineStr">
        <is>
          <t>Document</t>
        </is>
      </c>
      <c r="B60" s="93" t="inlineStr">
        <is>
          <t>Status</t>
        </is>
      </c>
      <c r="C60" s="93" t="inlineStr">
        <is>
          <t>Owner</t>
        </is>
      </c>
      <c r="D60" s="93" t="inlineStr">
        <is>
          <t>Due Date</t>
        </is>
      </c>
      <c r="E60" s="93" t="inlineStr">
        <is>
          <t>Notes</t>
        </is>
      </c>
    </row>
    <row r="61" ht="15" customHeight="1" s="69">
      <c r="A61" s="90" t="inlineStr">
        <is>
          <t>Market sizing analysis</t>
        </is>
      </c>
      <c r="B61" s="109" t="inlineStr">
        <is>
          <t>Missing</t>
        </is>
      </c>
      <c r="C61" s="109" t="n"/>
      <c r="D61" s="95" t="n"/>
      <c r="E61" s="109" t="n"/>
    </row>
    <row r="62" ht="15" customHeight="1" s="69">
      <c r="A62" s="87" t="inlineStr">
        <is>
          <t>Competitive landscape overview</t>
        </is>
      </c>
      <c r="B62" s="109" t="inlineStr">
        <is>
          <t>Missing</t>
        </is>
      </c>
      <c r="C62" s="109" t="n"/>
      <c r="D62" s="95" t="n"/>
      <c r="E62" s="109" t="n"/>
    </row>
    <row r="63" ht="15" customHeight="1" s="69">
      <c r="A63" s="90" t="inlineStr">
        <is>
          <t>Key customer references / case studies</t>
        </is>
      </c>
      <c r="B63" s="109" t="inlineStr">
        <is>
          <t>Missing</t>
        </is>
      </c>
      <c r="C63" s="109" t="n"/>
      <c r="D63" s="95" t="n"/>
      <c r="E63" s="109" t="n"/>
    </row>
    <row r="64" ht="15" customHeight="1" s="69">
      <c r="A64" s="86" t="n"/>
      <c r="B64" s="86" t="n"/>
      <c r="C64" s="86" t="n"/>
      <c r="D64" s="86" t="n"/>
      <c r="E64" s="86" t="n"/>
    </row>
    <row r="65" ht="15" customHeight="1" s="69">
      <c r="A65" s="84" t="inlineStr">
        <is>
          <t>Completion Summary</t>
        </is>
      </c>
      <c r="B65" s="85" t="n"/>
      <c r="C65" s="79" t="n"/>
      <c r="D65" s="86" t="n"/>
      <c r="E65" s="86" t="n"/>
    </row>
    <row r="66" ht="15" customHeight="1" s="69">
      <c r="A66" s="87" t="inlineStr">
        <is>
          <t>Ready</t>
        </is>
      </c>
      <c r="B66" s="107">
        <f>COUNTIF(B5:B200,"Ready")</f>
        <v/>
      </c>
      <c r="C66" s="86" t="n"/>
      <c r="D66" s="86" t="n"/>
      <c r="E66" s="86" t="n"/>
    </row>
    <row r="67" ht="15" customHeight="1" s="69">
      <c r="A67" s="87" t="inlineStr">
        <is>
          <t>In Progress</t>
        </is>
      </c>
      <c r="B67" s="107">
        <f>COUNTIF(B5:B200,"In Progress")</f>
        <v/>
      </c>
      <c r="C67" s="86" t="n"/>
      <c r="D67" s="86" t="n"/>
      <c r="E67" s="86" t="n"/>
    </row>
    <row r="68" ht="15" customHeight="1" s="69">
      <c r="A68" s="87" t="inlineStr">
        <is>
          <t>Missing</t>
        </is>
      </c>
      <c r="B68" s="107">
        <f>COUNTIF(B5:B200,"Missing")</f>
        <v/>
      </c>
      <c r="C68" s="86" t="n"/>
      <c r="D68" s="86" t="n"/>
      <c r="E68" s="86" t="n"/>
    </row>
  </sheetData>
  <mergeCells count="10">
    <mergeCell ref="A59:E59"/>
    <mergeCell ref="A4:E4"/>
    <mergeCell ref="A2:E2"/>
    <mergeCell ref="A15:E15"/>
    <mergeCell ref="A52:E52"/>
    <mergeCell ref="A25:E25"/>
    <mergeCell ref="A1:E1"/>
    <mergeCell ref="A37:E37"/>
    <mergeCell ref="A45:E45"/>
    <mergeCell ref="A65:C6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1F5C99"/>
    <outlinePr summaryBelow="1" summaryRight="1"/>
    <pageSetUpPr fitToPage="0"/>
  </sheetPr>
  <dimension ref="A1: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68" min="1" max="1"/>
    <col width="12" customWidth="1" style="68" min="2" max="2"/>
    <col width="16" customWidth="1" style="68" min="3" max="4"/>
    <col width="40" customWidth="1" style="68" min="5" max="5"/>
    <col width="16" customWidth="1" style="68" min="6" max="6"/>
  </cols>
  <sheetData>
    <row r="1" ht="30" customHeight="1" s="69">
      <c r="A1" s="76" t="inlineStr">
        <is>
          <t>Exercise 017 – Fundraising Timeline</t>
        </is>
      </c>
    </row>
    <row r="2" ht="15" customHeight="1" s="69">
      <c r="A2" s="83" t="inlineStr">
        <is>
          <t>Enter your target close date. All start dates calculate backward automatically.</t>
        </is>
      </c>
    </row>
    <row r="4" ht="15" customHeight="1" s="69">
      <c r="A4" s="84" t="inlineStr">
        <is>
          <t>Key Dates</t>
        </is>
      </c>
      <c r="B4" s="85" t="n"/>
      <c r="C4" s="79" t="n"/>
      <c r="D4" s="86" t="n"/>
      <c r="E4" s="86" t="n"/>
      <c r="F4" s="86" t="n"/>
    </row>
    <row r="5" ht="15" customHeight="1" s="69">
      <c r="A5" s="87" t="inlineStr">
        <is>
          <t>Target Close Date</t>
        </is>
      </c>
      <c r="B5" s="95" t="n"/>
      <c r="C5" s="86" t="n"/>
      <c r="D5" s="86" t="n"/>
      <c r="E5" s="86" t="n"/>
      <c r="F5" s="86" t="n"/>
    </row>
    <row r="6" ht="15" customHeight="1" s="69">
      <c r="A6" s="87" t="inlineStr">
        <is>
          <t>Today's Date</t>
        </is>
      </c>
      <c r="B6" s="96">
        <f>TODAY()</f>
        <v/>
      </c>
      <c r="C6" s="86" t="n"/>
      <c r="D6" s="86" t="n"/>
      <c r="E6" s="86" t="n"/>
      <c r="F6" s="86" t="n"/>
    </row>
    <row r="7" ht="15" customHeight="1" s="69">
      <c r="A7" s="87" t="inlineStr">
        <is>
          <t>Weeks Until Close</t>
        </is>
      </c>
      <c r="B7" s="107">
        <f>ROUND((B5-B6)/7,0)</f>
        <v/>
      </c>
      <c r="C7" s="86" t="n"/>
      <c r="D7" s="86" t="n"/>
      <c r="E7" s="86" t="n"/>
      <c r="F7" s="86" t="n"/>
    </row>
    <row r="8" ht="15" customHeight="1" s="69">
      <c r="A8" s="86" t="n"/>
      <c r="B8" s="86" t="n"/>
      <c r="C8" s="86" t="n"/>
      <c r="D8" s="86" t="n"/>
      <c r="E8" s="86" t="n"/>
      <c r="F8" s="86" t="n"/>
    </row>
    <row r="9" ht="15" customHeight="1" s="69">
      <c r="A9" s="84" t="inlineStr">
        <is>
          <t>Phase Timeline (works backward from close date)</t>
        </is>
      </c>
      <c r="B9" s="85" t="n"/>
      <c r="C9" s="85" t="n"/>
      <c r="D9" s="85" t="n"/>
      <c r="E9" s="85" t="n"/>
      <c r="F9" s="79" t="n"/>
    </row>
    <row r="10" ht="36" customHeight="1" s="69">
      <c r="A10" s="112" t="inlineStr">
        <is>
          <t>Phase</t>
        </is>
      </c>
      <c r="B10" s="112" t="inlineStr">
        <is>
          <t>Duration
(weeks)</t>
        </is>
      </c>
      <c r="C10" s="112" t="inlineStr">
        <is>
          <t>Start Date</t>
        </is>
      </c>
      <c r="D10" s="112" t="inlineStr">
        <is>
          <t>End Date</t>
        </is>
      </c>
      <c r="E10" s="112" t="inlineStr">
        <is>
          <t>Key Activities</t>
        </is>
      </c>
      <c r="F10" s="112" t="inlineStr">
        <is>
          <t>Status</t>
        </is>
      </c>
    </row>
    <row r="11" ht="23.25" customHeight="1" s="69">
      <c r="A11" s="90" t="inlineStr">
        <is>
          <t>1. Materials prep &amp; outreach</t>
        </is>
      </c>
      <c r="B11" s="103" t="n">
        <v>4</v>
      </c>
      <c r="C11" s="96">
        <f>$B$5-140</f>
        <v/>
      </c>
      <c r="D11" s="96">
        <f>$B$5-168</f>
        <v/>
      </c>
      <c r="E11" s="90" t="inlineStr">
        <is>
          <t>Pitch deck, model, data room. Warm intro outreach.</t>
        </is>
      </c>
      <c r="F11" s="109" t="inlineStr">
        <is>
          <t>Not started</t>
        </is>
      </c>
    </row>
    <row r="12" ht="15" customHeight="1" s="69">
      <c r="A12" s="87" t="inlineStr">
        <is>
          <t>2. First meetings</t>
        </is>
      </c>
      <c r="B12" s="103" t="n">
        <v>4</v>
      </c>
      <c r="C12" s="96">
        <f>$B$5-112</f>
        <v/>
      </c>
      <c r="D12" s="96">
        <f>$B$5-140</f>
        <v/>
      </c>
      <c r="E12" s="87" t="inlineStr">
        <is>
          <t>20–30 first meetings across Tier 1 &amp; 2.</t>
        </is>
      </c>
      <c r="F12" s="109" t="inlineStr">
        <is>
          <t>Not started</t>
        </is>
      </c>
    </row>
    <row r="13" ht="15" customHeight="1" s="69">
      <c r="A13" s="90" t="inlineStr">
        <is>
          <t>3. Second meetings &amp; follow-ups</t>
        </is>
      </c>
      <c r="B13" s="103" t="n">
        <v>4</v>
      </c>
      <c r="C13" s="96">
        <f>$B$5-84</f>
        <v/>
      </c>
      <c r="D13" s="96">
        <f>$B$5-112</f>
        <v/>
      </c>
      <c r="E13" s="90" t="inlineStr">
        <is>
          <t>Deeper dives, model Q&amp;A, reference calls.</t>
        </is>
      </c>
      <c r="F13" s="109" t="inlineStr">
        <is>
          <t>Not started</t>
        </is>
      </c>
    </row>
    <row r="14" ht="15" customHeight="1" s="69">
      <c r="A14" s="87" t="inlineStr">
        <is>
          <t>4. Partner meetings</t>
        </is>
      </c>
      <c r="B14" s="103" t="n">
        <v>3</v>
      </c>
      <c r="C14" s="96">
        <f>$B$5-63</f>
        <v/>
      </c>
      <c r="D14" s="96">
        <f>$B$5-84</f>
        <v/>
      </c>
      <c r="E14" s="87" t="inlineStr">
        <is>
          <t>Full partnership presentations. Narrow to 2–3.</t>
        </is>
      </c>
      <c r="F14" s="109" t="inlineStr">
        <is>
          <t>Not started</t>
        </is>
      </c>
    </row>
    <row r="15" ht="15" customHeight="1" s="69">
      <c r="A15" s="90" t="inlineStr">
        <is>
          <t>5. Due diligence</t>
        </is>
      </c>
      <c r="B15" s="103" t="n">
        <v>4</v>
      </c>
      <c r="C15" s="96">
        <f>$B$5-35</f>
        <v/>
      </c>
      <c r="D15" s="96">
        <f>$B$5-63</f>
        <v/>
      </c>
      <c r="E15" s="90" t="inlineStr">
        <is>
          <t>Data room review, legal, financial audit.</t>
        </is>
      </c>
      <c r="F15" s="109" t="inlineStr">
        <is>
          <t>Not started</t>
        </is>
      </c>
    </row>
    <row r="16" ht="15" customHeight="1" s="69">
      <c r="A16" s="87" t="inlineStr">
        <is>
          <t>6. Term sheet &amp; negotiation</t>
        </is>
      </c>
      <c r="B16" s="103" t="n">
        <v>2</v>
      </c>
      <c r="C16" s="96">
        <f>$B$5-21</f>
        <v/>
      </c>
      <c r="D16" s="96">
        <f>$B$5-35</f>
        <v/>
      </c>
      <c r="E16" s="87" t="inlineStr">
        <is>
          <t>Term sheet received, negotiate, countersign.</t>
        </is>
      </c>
      <c r="F16" s="109" t="inlineStr">
        <is>
          <t>Not started</t>
        </is>
      </c>
    </row>
    <row r="17" ht="15" customHeight="1" s="69">
      <c r="A17" s="90" t="inlineStr">
        <is>
          <t>7. Legal documentation &amp; closing</t>
        </is>
      </c>
      <c r="B17" s="103" t="n">
        <v>3</v>
      </c>
      <c r="C17" s="96">
        <f>$B$5-0</f>
        <v/>
      </c>
      <c r="D17" s="96">
        <f>$B$5-21</f>
        <v/>
      </c>
      <c r="E17" s="90" t="inlineStr">
        <is>
          <t>Draft docs, signing, wire transfer.</t>
        </is>
      </c>
      <c r="F17" s="109" t="inlineStr">
        <is>
          <t>Not started</t>
        </is>
      </c>
    </row>
    <row r="18" ht="15" customHeight="1" s="69">
      <c r="A18" s="86" t="n"/>
      <c r="B18" s="86" t="n"/>
      <c r="C18" s="86" t="n"/>
      <c r="D18" s="86" t="n"/>
      <c r="E18" s="86" t="n"/>
      <c r="F18" s="86" t="n"/>
    </row>
    <row r="19" ht="15" customHeight="1" s="69">
      <c r="A19" s="87" t="inlineStr">
        <is>
          <t>Recommended raise start date</t>
        </is>
      </c>
      <c r="B19" s="96">
        <f>B5-168</f>
        <v/>
      </c>
      <c r="C19" s="86" t="n"/>
      <c r="D19" s="86" t="n"/>
      <c r="E19" s="86" t="n"/>
      <c r="F19" s="86" t="n"/>
    </row>
    <row r="20" ht="15" customHeight="1" s="69">
      <c r="A20" s="87" t="inlineStr">
        <is>
          <t>Minimum start (tight, 20 weeks)</t>
        </is>
      </c>
      <c r="B20" s="96">
        <f>B5-140</f>
        <v/>
      </c>
      <c r="C20" s="86" t="n"/>
      <c r="D20" s="86" t="n"/>
      <c r="E20" s="86" t="n"/>
      <c r="F20" s="86" t="n"/>
    </row>
    <row r="21" ht="15" customHeight="1" s="69">
      <c r="A21" s="87" t="inlineStr">
        <is>
          <t>Start date status</t>
        </is>
      </c>
      <c r="B21" s="99">
        <f>IF(B6&lt;=B20,"⚠ Behind schedule – start immediately","✓ On track")</f>
        <v/>
      </c>
      <c r="C21" s="86" t="n"/>
      <c r="D21" s="86" t="n"/>
      <c r="E21" s="86" t="n"/>
      <c r="F21" s="86" t="n"/>
    </row>
  </sheetData>
  <mergeCells count="4">
    <mergeCell ref="A4:C4"/>
    <mergeCell ref="A2:H2"/>
    <mergeCell ref="A9:F9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1F5C99"/>
    <outlinePr summaryBelow="1" summaryRight="1"/>
    <pageSetUpPr fitToPage="0"/>
  </sheetPr>
  <dimension ref="A1:G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68" min="1" max="1"/>
    <col width="18" customWidth="1" style="68" min="2" max="4"/>
    <col width="12" customWidth="1" style="68" min="5" max="5"/>
    <col width="18" customWidth="1" style="68" min="6" max="6"/>
    <col width="20" customWidth="1" style="68" min="7" max="7"/>
  </cols>
  <sheetData>
    <row r="1" ht="30" customHeight="1" s="69">
      <c r="A1" s="76" t="inlineStr">
        <is>
          <t>Exercise 019 – Investor Update Metrics Table</t>
        </is>
      </c>
    </row>
    <row r="2" ht="15" customHeight="1" s="69">
      <c r="A2" s="83" t="inlineStr">
        <is>
          <t>Fill in actuals monthly. Sends with every investor update. MoM change is auto-calculated.</t>
        </is>
      </c>
    </row>
    <row r="4" ht="15" customHeight="1" s="69">
      <c r="A4" s="84" t="inlineStr">
        <is>
          <t>Monthly KPI Dashboard</t>
        </is>
      </c>
      <c r="B4" s="85" t="n"/>
      <c r="C4" s="85" t="n"/>
      <c r="D4" s="85" t="n"/>
      <c r="E4" s="85" t="n"/>
      <c r="F4" s="85" t="n"/>
      <c r="G4" s="79" t="n"/>
    </row>
    <row r="5" ht="15" customHeight="1" s="69">
      <c r="A5" s="93" t="inlineStr">
        <is>
          <t>Metric</t>
        </is>
      </c>
      <c r="B5" s="93" t="inlineStr">
        <is>
          <t>This Month</t>
        </is>
      </c>
      <c r="C5" s="93" t="inlineStr">
        <is>
          <t>Last Month</t>
        </is>
      </c>
      <c r="D5" s="93" t="inlineStr">
        <is>
          <t>MoM Change</t>
        </is>
      </c>
      <c r="E5" s="93" t="inlineStr">
        <is>
          <t>MoM %</t>
        </is>
      </c>
      <c r="F5" s="93" t="inlineStr">
        <is>
          <t>Target</t>
        </is>
      </c>
      <c r="G5" s="93" t="inlineStr">
        <is>
          <t>Status</t>
        </is>
      </c>
    </row>
    <row r="6" ht="15" customHeight="1" s="69">
      <c r="A6" s="90" t="inlineStr">
        <is>
          <t>MRR (£)</t>
        </is>
      </c>
      <c r="B6" s="100" t="n"/>
      <c r="C6" s="100" t="n"/>
      <c r="D6" s="104">
        <f>IF(B6="","-",B6-C6)</f>
        <v/>
      </c>
      <c r="E6" s="111">
        <f>IF(OR(C6=0,C6="",B6=""),"-",(B6-C6)/ABS(C6))</f>
        <v/>
      </c>
      <c r="F6" s="100" t="n"/>
      <c r="G6" s="99">
        <f>IF(OR(B6="",F6=""),"-",IF(B6&gt;=F6,"✓ On target","⚠ Below target"))</f>
        <v/>
      </c>
    </row>
    <row r="7" ht="15" customHeight="1" s="69">
      <c r="A7" s="87" t="inlineStr">
        <is>
          <t>ARR (£)</t>
        </is>
      </c>
      <c r="B7" s="100" t="n"/>
      <c r="C7" s="100" t="n"/>
      <c r="D7" s="104">
        <f>IF(B7="","-",B7-C7)</f>
        <v/>
      </c>
      <c r="E7" s="111">
        <f>IF(OR(C7=0,C7="",B7=""),"-",(B7-C7)/ABS(C7))</f>
        <v/>
      </c>
      <c r="F7" s="100" t="n"/>
      <c r="G7" s="99">
        <f>IF(OR(B7="",F7=""),"-",IF(B7&gt;=F7,"✓ On target","⚠ Below target"))</f>
        <v/>
      </c>
    </row>
    <row r="8" ht="15" customHeight="1" s="69">
      <c r="A8" s="90" t="inlineStr">
        <is>
          <t>Net New MRR (£)</t>
        </is>
      </c>
      <c r="B8" s="100" t="n"/>
      <c r="C8" s="100" t="n"/>
      <c r="D8" s="104">
        <f>IF(B8="","-",B8-C8)</f>
        <v/>
      </c>
      <c r="E8" s="111">
        <f>IF(OR(C8=0,C8="",B8=""),"-",(B8-C8)/ABS(C8))</f>
        <v/>
      </c>
      <c r="F8" s="100" t="n"/>
      <c r="G8" s="99">
        <f>IF(OR(B8="",F8=""),"-",IF(B8&gt;=F8,"✓ On target","⚠ Below target"))</f>
        <v/>
      </c>
    </row>
    <row r="9" ht="15" customHeight="1" s="69">
      <c r="A9" s="87" t="inlineStr">
        <is>
          <t>Monthly Churn Rate (%)</t>
        </is>
      </c>
      <c r="B9" s="102" t="n"/>
      <c r="C9" s="102" t="n"/>
      <c r="D9" s="105">
        <f>IF(B9="","-",B9-C9)</f>
        <v/>
      </c>
      <c r="E9" s="111">
        <f>IF(OR(C9=0,C9="",B9=""),"-",(B9-C9)/ABS(C9))</f>
        <v/>
      </c>
      <c r="F9" s="102" t="n"/>
      <c r="G9" s="99">
        <f>IF(OR(B9="",F9=""),"-",IF(B9&gt;=F9,"✓ On target","⚠ Below target"))</f>
        <v/>
      </c>
    </row>
    <row r="10" ht="15" customHeight="1" s="69">
      <c r="A10" s="90" t="inlineStr">
        <is>
          <t>NRR – trailing 12mo (%)</t>
        </is>
      </c>
      <c r="B10" s="102" t="n"/>
      <c r="C10" s="102" t="n"/>
      <c r="D10" s="105">
        <f>IF(B10="","-",B10-C10)</f>
        <v/>
      </c>
      <c r="E10" s="111">
        <f>IF(OR(C10=0,C10="",B10=""),"-",(B10-C10)/ABS(C10))</f>
        <v/>
      </c>
      <c r="F10" s="102" t="n"/>
      <c r="G10" s="99">
        <f>IF(OR(B10="",F10=""),"-",IF(B10&gt;=F10,"✓ On target","⚠ Below target"))</f>
        <v/>
      </c>
    </row>
    <row r="11" ht="15" customHeight="1" s="69">
      <c r="A11" s="87" t="inlineStr">
        <is>
          <t>CAC – blended (£)</t>
        </is>
      </c>
      <c r="B11" s="100" t="n"/>
      <c r="C11" s="100" t="n"/>
      <c r="D11" s="104">
        <f>IF(B11="","-",B11-C11)</f>
        <v/>
      </c>
      <c r="E11" s="111">
        <f>IF(OR(C11=0,C11="",B11=""),"-",(B11-C11)/ABS(C11))</f>
        <v/>
      </c>
      <c r="F11" s="100" t="n"/>
      <c r="G11" s="99">
        <f>IF(OR(B11="",F11=""),"-",IF(B11&gt;=F11,"✓ On target","⚠ Below target"))</f>
        <v/>
      </c>
    </row>
    <row r="12" ht="15" customHeight="1" s="69">
      <c r="A12" s="90" t="inlineStr">
        <is>
          <t>LTV (£)</t>
        </is>
      </c>
      <c r="B12" s="100" t="n"/>
      <c r="C12" s="100" t="n"/>
      <c r="D12" s="104">
        <f>IF(B12="","-",B12-C12)</f>
        <v/>
      </c>
      <c r="E12" s="111">
        <f>IF(OR(C12=0,C12="",B12=""),"-",(B12-C12)/ABS(C12))</f>
        <v/>
      </c>
      <c r="F12" s="100" t="n"/>
      <c r="G12" s="99">
        <f>IF(OR(B12="",F12=""),"-",IF(B12&gt;=F12,"✓ On target","⚠ Below target"))</f>
        <v/>
      </c>
    </row>
    <row r="13" ht="15" customHeight="1" s="69">
      <c r="A13" s="87" t="inlineStr">
        <is>
          <t>LTV:CAC ratio</t>
        </is>
      </c>
      <c r="B13" s="115" t="n"/>
      <c r="C13" s="115" t="n"/>
      <c r="D13" s="117">
        <f>IF(B13="","-",B13-C13)</f>
        <v/>
      </c>
      <c r="E13" s="111">
        <f>IF(OR(C13=0,C13="",B13=""),"-",(B13-C13)/ABS(C13))</f>
        <v/>
      </c>
      <c r="F13" s="115" t="n"/>
      <c r="G13" s="99">
        <f>IF(OR(B13="",F13=""),"-",IF(B13&gt;=F13,"✓ On target","⚠ Below target"))</f>
        <v/>
      </c>
    </row>
    <row r="14" ht="15" customHeight="1" s="69">
      <c r="A14" s="90" t="inlineStr">
        <is>
          <t>Payback period (months)</t>
        </is>
      </c>
      <c r="B14" s="119" t="n"/>
      <c r="C14" s="119" t="n"/>
      <c r="D14" s="106">
        <f>IF(B14="","-",B14-C14)</f>
        <v/>
      </c>
      <c r="E14" s="111">
        <f>IF(OR(C14=0,C14="",B14=""),"-",(B14-C14)/ABS(C14))</f>
        <v/>
      </c>
      <c r="F14" s="119" t="n"/>
      <c r="G14" s="99">
        <f>IF(OR(B14="",F14=""),"-",IF(B14&gt;=F14,"✓ On target","⚠ Below target"))</f>
        <v/>
      </c>
    </row>
    <row r="15" ht="15" customHeight="1" s="69">
      <c r="A15" s="87" t="inlineStr">
        <is>
          <t>Gross Margin (%)</t>
        </is>
      </c>
      <c r="B15" s="102" t="n"/>
      <c r="C15" s="102" t="n"/>
      <c r="D15" s="105">
        <f>IF(B15="","-",B15-C15)</f>
        <v/>
      </c>
      <c r="E15" s="111">
        <f>IF(OR(C15=0,C15="",B15=""),"-",(B15-C15)/ABS(C15))</f>
        <v/>
      </c>
      <c r="F15" s="102" t="n"/>
      <c r="G15" s="99">
        <f>IF(OR(B15="",F15=""),"-",IF(B15&gt;=F15,"✓ On target","⚠ Below target"))</f>
        <v/>
      </c>
    </row>
    <row r="16" ht="15" customHeight="1" s="69">
      <c r="A16" s="90" t="inlineStr">
        <is>
          <t>Cash Balance (£)</t>
        </is>
      </c>
      <c r="B16" s="100" t="n"/>
      <c r="C16" s="100" t="n"/>
      <c r="D16" s="104">
        <f>IF(B16="","-",B16-C16)</f>
        <v/>
      </c>
      <c r="E16" s="111">
        <f>IF(OR(C16=0,C16="",B16=""),"-",(B16-C16)/ABS(C16))</f>
        <v/>
      </c>
      <c r="F16" s="100" t="n"/>
      <c r="G16" s="99">
        <f>IF(OR(B16="",F16=""),"-",IF(B16&gt;=F16,"✓ On target","⚠ Below target"))</f>
        <v/>
      </c>
    </row>
    <row r="17" ht="15" customHeight="1" s="69">
      <c r="A17" s="87" t="inlineStr">
        <is>
          <t>Monthly Burn (£)</t>
        </is>
      </c>
      <c r="B17" s="100" t="n"/>
      <c r="C17" s="100" t="n"/>
      <c r="D17" s="104">
        <f>IF(B17="","-",B17-C17)</f>
        <v/>
      </c>
      <c r="E17" s="111">
        <f>IF(OR(C17=0,C17="",B17=""),"-",(B17-C17)/ABS(C17))</f>
        <v/>
      </c>
      <c r="F17" s="100" t="n"/>
      <c r="G17" s="99">
        <f>IF(OR(B17="",F17=""),"-",IF(B17&gt;=F17,"✓ On target","⚠ Below target"))</f>
        <v/>
      </c>
    </row>
    <row r="18" ht="15" customHeight="1" s="69">
      <c r="A18" s="90" t="inlineStr">
        <is>
          <t>Runway (months)</t>
        </is>
      </c>
      <c r="B18" s="119" t="n"/>
      <c r="C18" s="119" t="n"/>
      <c r="D18" s="106">
        <f>IF(B18="","-",B18-C18)</f>
        <v/>
      </c>
      <c r="E18" s="111">
        <f>IF(OR(C18=0,C18="",B18=""),"-",(B18-C18)/ABS(C18))</f>
        <v/>
      </c>
      <c r="F18" s="119" t="n"/>
      <c r="G18" s="99">
        <f>IF(OR(B18="",F18=""),"-",IF(B18&gt;=F18,"✓ On target","⚠ Below target"))</f>
        <v/>
      </c>
    </row>
    <row r="19" ht="15" customHeight="1" s="69">
      <c r="A19" s="87" t="inlineStr">
        <is>
          <t>Headcount</t>
        </is>
      </c>
      <c r="B19" s="103" t="n"/>
      <c r="C19" s="103" t="n"/>
      <c r="D19" s="107">
        <f>IF(B19="","-",B19-C19)</f>
        <v/>
      </c>
      <c r="E19" s="111">
        <f>IF(OR(C19=0,C19="",B19=""),"-",(B19-C19)/ABS(C19))</f>
        <v/>
      </c>
      <c r="F19" s="103" t="n"/>
      <c r="G19" s="99">
        <f>IF(OR(B19="",F19=""),"-",IF(B19&gt;=F19,"✓ On target","⚠ Below target"))</f>
        <v/>
      </c>
    </row>
    <row r="20" ht="15" customHeight="1" s="69">
      <c r="A20" s="90" t="inlineStr">
        <is>
          <t>Active Customers</t>
        </is>
      </c>
      <c r="B20" s="103" t="n"/>
      <c r="C20" s="103" t="n"/>
      <c r="D20" s="107">
        <f>IF(B20="","-",B20-C20)</f>
        <v/>
      </c>
      <c r="E20" s="111">
        <f>IF(OR(C20=0,C20="",B20=""),"-",(B20-C20)/ABS(C20))</f>
        <v/>
      </c>
      <c r="F20" s="103" t="n"/>
      <c r="G20" s="99">
        <f>IF(OR(B20="",F20=""),"-",IF(B20&gt;=F20,"✓ On target","⚠ Below target"))</f>
        <v/>
      </c>
    </row>
    <row r="21" ht="15" customHeight="1" s="69">
      <c r="A21" s="87" t="inlineStr">
        <is>
          <t>Pipeline Value (£)</t>
        </is>
      </c>
      <c r="B21" s="100" t="n"/>
      <c r="C21" s="100" t="n"/>
      <c r="D21" s="104">
        <f>IF(B21="","-",B21-C21)</f>
        <v/>
      </c>
      <c r="E21" s="111">
        <f>IF(OR(C21=0,C21="",B21=""),"-",(B21-C21)/ABS(C21))</f>
        <v/>
      </c>
      <c r="F21" s="100" t="n"/>
      <c r="G21" s="99">
        <f>IF(OR(B21="",F21=""),"-",IF(B21&gt;=F21,"✓ On target","⚠ Below target"))</f>
        <v/>
      </c>
    </row>
    <row r="22" ht="15" customHeight="1" s="69">
      <c r="A22" s="86" t="n"/>
      <c r="B22" s="86" t="n"/>
      <c r="C22" s="86" t="n"/>
      <c r="D22" s="86" t="n"/>
      <c r="E22" s="86" t="n"/>
      <c r="F22" s="86" t="n"/>
      <c r="G22" s="86" t="n"/>
    </row>
    <row r="23" ht="15" customHeight="1" s="69">
      <c r="A23" s="86" t="n"/>
      <c r="B23" s="86" t="n"/>
      <c r="C23" s="86" t="n"/>
      <c r="D23" s="86" t="n"/>
      <c r="E23" s="86" t="n"/>
      <c r="F23" s="86" t="n"/>
      <c r="G23" s="86" t="n"/>
    </row>
    <row r="24" ht="15" customHeight="1" s="69">
      <c r="A24" s="84" t="inlineStr">
        <is>
          <t>What Did Not Go Well This Month</t>
        </is>
      </c>
      <c r="B24" s="85" t="n"/>
      <c r="C24" s="85" t="n"/>
      <c r="D24" s="85" t="n"/>
      <c r="E24" s="79" t="n"/>
      <c r="F24" s="86" t="n"/>
      <c r="G24" s="86" t="n"/>
    </row>
    <row r="25" ht="15" customHeight="1" s="69">
      <c r="A25" s="120" t="inlineStr">
        <is>
          <t>Enter honest commentary on what missed plan and why...</t>
        </is>
      </c>
      <c r="B25" s="121" t="n"/>
      <c r="C25" s="121" t="n"/>
      <c r="D25" s="121" t="n"/>
      <c r="E25" s="122" t="n"/>
      <c r="F25" s="86" t="n"/>
      <c r="G25" s="86" t="n"/>
    </row>
    <row r="26" ht="15" customHeight="1" s="69">
      <c r="A26" s="123" t="n"/>
      <c r="E26" s="124" t="n"/>
      <c r="F26" s="86" t="n"/>
      <c r="G26" s="86" t="n"/>
    </row>
    <row r="27" ht="15" customHeight="1" s="69">
      <c r="A27" s="123" t="n"/>
      <c r="E27" s="124" t="n"/>
      <c r="F27" s="86" t="n"/>
      <c r="G27" s="86" t="n"/>
    </row>
    <row r="28" ht="15" customHeight="1" s="69">
      <c r="A28" s="123" t="n"/>
      <c r="E28" s="124" t="n"/>
      <c r="F28" s="86" t="n"/>
      <c r="G28" s="86" t="n"/>
    </row>
    <row r="29" ht="15" customHeight="1" s="69">
      <c r="A29" s="123" t="n"/>
      <c r="E29" s="124" t="n"/>
      <c r="F29" s="86" t="n"/>
      <c r="G29" s="86" t="n"/>
    </row>
    <row r="30" ht="15" customHeight="1" s="69">
      <c r="A30" s="125" t="n"/>
      <c r="B30" s="126" t="n"/>
      <c r="C30" s="126" t="n"/>
      <c r="D30" s="126" t="n"/>
      <c r="E30" s="127" t="n"/>
      <c r="F30" s="86" t="n"/>
      <c r="G30" s="86" t="n"/>
    </row>
    <row r="31" ht="15" customHeight="1" s="69">
      <c r="A31" s="86" t="n"/>
      <c r="B31" s="86" t="n"/>
      <c r="C31" s="86" t="n"/>
      <c r="D31" s="86" t="n"/>
      <c r="E31" s="86" t="n"/>
      <c r="F31" s="86" t="n"/>
      <c r="G31" s="86" t="n"/>
    </row>
    <row r="32" ht="15" customHeight="1" s="69">
      <c r="A32" s="84" t="inlineStr">
        <is>
          <t>Specific Ask This Month</t>
        </is>
      </c>
      <c r="B32" s="85" t="n"/>
      <c r="C32" s="85" t="n"/>
      <c r="D32" s="85" t="n"/>
      <c r="E32" s="79" t="n"/>
      <c r="F32" s="86" t="n"/>
      <c r="G32" s="86" t="n"/>
    </row>
    <row r="33" ht="15" customHeight="1" s="69">
      <c r="A33" s="120" t="inlineStr">
        <is>
          <t>One specific, actionable ask for investors/advisors...</t>
        </is>
      </c>
      <c r="B33" s="121" t="n"/>
      <c r="C33" s="121" t="n"/>
      <c r="D33" s="121" t="n"/>
      <c r="E33" s="122" t="n"/>
      <c r="F33" s="86" t="n"/>
      <c r="G33" s="86" t="n"/>
    </row>
    <row r="34" ht="15" customHeight="1" s="69">
      <c r="A34" s="123" t="n"/>
      <c r="E34" s="124" t="n"/>
      <c r="F34" s="86" t="n"/>
      <c r="G34" s="86" t="n"/>
    </row>
    <row r="35" ht="15" customHeight="1" s="69">
      <c r="A35" s="125" t="n"/>
      <c r="B35" s="126" t="n"/>
      <c r="C35" s="126" t="n"/>
      <c r="D35" s="126" t="n"/>
      <c r="E35" s="127" t="n"/>
      <c r="F35" s="86" t="n"/>
      <c r="G35" s="86" t="n"/>
    </row>
  </sheetData>
  <mergeCells count="7">
    <mergeCell ref="A1:G1"/>
    <mergeCell ref="A33:E35"/>
    <mergeCell ref="A24:E24"/>
    <mergeCell ref="A25:E30"/>
    <mergeCell ref="A4:G4"/>
    <mergeCell ref="A2:G2"/>
    <mergeCell ref="A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1F5C99"/>
    <outlinePr summaryBelow="1" summaryRight="1"/>
    <pageSetUpPr fitToPage="0"/>
  </sheetPr>
  <dimension ref="A1:G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68" min="1" max="1"/>
    <col width="20" customWidth="1" style="68" min="2" max="3"/>
    <col width="18" customWidth="1" style="68" min="4" max="4"/>
    <col width="16" customWidth="1" style="68" min="5" max="5"/>
    <col width="22" customWidth="1" style="68" min="6" max="6"/>
  </cols>
  <sheetData>
    <row r="1" ht="30" customHeight="1" s="69">
      <c r="A1" s="76" t="inlineStr">
        <is>
          <t>Exercise 020 – Cap Table &amp; Dilution Model</t>
        </is>
      </c>
    </row>
    <row r="2" ht="15" customHeight="1" s="69">
      <c r="A2" s="83" t="inlineStr">
        <is>
          <t>Build fully diluted ownership. Model dilution at floor / target / stretch round valuations.</t>
        </is>
      </c>
    </row>
    <row r="4" ht="15" customHeight="1" s="69">
      <c r="A4" s="84" t="inlineStr">
        <is>
          <t>Current Cap Table (Fully Diluted)</t>
        </is>
      </c>
      <c r="B4" s="85" t="n"/>
      <c r="C4" s="85" t="n"/>
      <c r="D4" s="85" t="n"/>
      <c r="E4" s="85" t="n"/>
      <c r="F4" s="79" t="n"/>
    </row>
    <row r="5" ht="15" customHeight="1" s="69">
      <c r="A5" s="93" t="inlineStr">
        <is>
          <t>Shareholder</t>
        </is>
      </c>
      <c r="B5" s="93" t="inlineStr">
        <is>
          <t>Type</t>
        </is>
      </c>
      <c r="C5" s="93" t="inlineStr">
        <is>
          <t>Shares</t>
        </is>
      </c>
      <c r="D5" s="93" t="inlineStr">
        <is>
          <t>Ownership %</t>
        </is>
      </c>
      <c r="E5" s="93" t="inlineStr">
        <is>
          <t>Notes</t>
        </is>
      </c>
      <c r="F5" s="86" t="n"/>
    </row>
    <row r="6" ht="15" customHeight="1" s="69">
      <c r="A6" s="109" t="inlineStr">
        <is>
          <t>Founder 1</t>
        </is>
      </c>
      <c r="B6" s="109" t="inlineStr">
        <is>
          <t>Common</t>
        </is>
      </c>
      <c r="C6" s="128" t="n"/>
      <c r="D6" s="111">
        <f>IF(C6=0,"-",C6/$C$14)</f>
        <v/>
      </c>
      <c r="E6" s="109" t="n"/>
      <c r="F6" s="86" t="n"/>
    </row>
    <row r="7" ht="15" customHeight="1" s="69">
      <c r="A7" s="109" t="inlineStr">
        <is>
          <t>Founder 2</t>
        </is>
      </c>
      <c r="B7" s="109" t="inlineStr">
        <is>
          <t>Common</t>
        </is>
      </c>
      <c r="C7" s="128" t="n"/>
      <c r="D7" s="111">
        <f>IF(C7=0,"-",C7/$C$14)</f>
        <v/>
      </c>
      <c r="E7" s="109" t="n"/>
      <c r="F7" s="86" t="n"/>
    </row>
    <row r="8" ht="15" customHeight="1" s="69">
      <c r="A8" s="109" t="inlineStr">
        <is>
          <t>Angel 1</t>
        </is>
      </c>
      <c r="B8" s="109" t="inlineStr">
        <is>
          <t>Common / Preferred</t>
        </is>
      </c>
      <c r="C8" s="128" t="n"/>
      <c r="D8" s="111">
        <f>IF(C8=0,"-",C8/$C$14)</f>
        <v/>
      </c>
      <c r="E8" s="109" t="n"/>
      <c r="F8" s="86" t="n"/>
    </row>
    <row r="9" ht="15" customHeight="1" s="69">
      <c r="A9" s="109" t="inlineStr">
        <is>
          <t>SAFE Holder 1</t>
        </is>
      </c>
      <c r="B9" s="109" t="inlineStr">
        <is>
          <t>SAFE</t>
        </is>
      </c>
      <c r="C9" s="128" t="n"/>
      <c r="D9" s="111">
        <f>IF(C9=0,"-",C9/$C$14)</f>
        <v/>
      </c>
      <c r="E9" s="109" t="n"/>
      <c r="F9" s="86" t="n"/>
    </row>
    <row r="10" ht="15" customHeight="1" s="69">
      <c r="A10" s="109" t="inlineStr">
        <is>
          <t>Option Pool</t>
        </is>
      </c>
      <c r="B10" s="109" t="inlineStr">
        <is>
          <t>Options Reserved</t>
        </is>
      </c>
      <c r="C10" s="128" t="n"/>
      <c r="D10" s="111">
        <f>IF(C10=0,"-",C10/$C$14)</f>
        <v/>
      </c>
      <c r="E10" s="109" t="n"/>
      <c r="F10" s="86" t="n"/>
    </row>
    <row r="11" ht="15" customHeight="1" s="69">
      <c r="A11" s="109" t="inlineStr">
        <is>
          <t>Options Granted</t>
        </is>
      </c>
      <c r="B11" s="109" t="inlineStr">
        <is>
          <t>Options Issued</t>
        </is>
      </c>
      <c r="C11" s="128" t="n"/>
      <c r="D11" s="111">
        <f>IF(C11=0,"-",C11/$C$14)</f>
        <v/>
      </c>
      <c r="E11" s="109" t="n"/>
      <c r="F11" s="86" t="n"/>
    </row>
    <row r="12" ht="15" customHeight="1" s="69">
      <c r="A12" s="109" t="n"/>
      <c r="B12" s="109" t="n"/>
      <c r="C12" s="128" t="n"/>
      <c r="D12" s="111">
        <f>IF(C12=0,"-",C12/$C$14)</f>
        <v/>
      </c>
      <c r="E12" s="109" t="n"/>
      <c r="F12" s="86" t="n"/>
    </row>
    <row r="13" ht="15" customHeight="1" s="69">
      <c r="A13" s="86" t="n"/>
      <c r="B13" s="86" t="n"/>
      <c r="C13" s="86" t="n"/>
      <c r="D13" s="86" t="n"/>
      <c r="E13" s="86" t="n"/>
      <c r="F13" s="86" t="n"/>
    </row>
    <row r="14" ht="15" customHeight="1" s="69">
      <c r="A14" s="129" t="inlineStr">
        <is>
          <t>TOTAL</t>
        </is>
      </c>
      <c r="B14" s="86" t="n"/>
      <c r="C14" s="130">
        <f>SUM(C6:C13)</f>
        <v/>
      </c>
      <c r="D14" s="105">
        <f>SUM(D6:D13)</f>
        <v/>
      </c>
      <c r="E14" s="86" t="n"/>
      <c r="F14" s="86" t="n"/>
    </row>
    <row r="15" ht="15" customHeight="1" s="69">
      <c r="A15" s="86" t="n"/>
      <c r="B15" s="86" t="n"/>
      <c r="C15" s="86" t="n"/>
      <c r="D15" s="86" t="n"/>
      <c r="E15" s="86" t="n"/>
      <c r="F15" s="86" t="n"/>
    </row>
    <row r="16" ht="15" customHeight="1" s="69">
      <c r="A16" s="84" t="inlineStr">
        <is>
          <t>Round Dilution Model</t>
        </is>
      </c>
      <c r="B16" s="85" t="n"/>
      <c r="C16" s="85" t="n"/>
      <c r="D16" s="85" t="n"/>
      <c r="E16" s="85" t="n"/>
      <c r="F16" s="79" t="n"/>
    </row>
    <row r="17" ht="15" customHeight="1" s="69">
      <c r="A17" s="93" t="inlineStr">
        <is>
          <t>Scenario</t>
        </is>
      </c>
      <c r="B17" s="93" t="inlineStr">
        <is>
          <t>Pre-Money (£)</t>
        </is>
      </c>
      <c r="C17" s="93" t="inlineStr">
        <is>
          <t>Round Size (£)</t>
        </is>
      </c>
      <c r="D17" s="93" t="inlineStr">
        <is>
          <t>Post-Money (£)</t>
        </is>
      </c>
      <c r="E17" s="93" t="inlineStr">
        <is>
          <t>New Investor %</t>
        </is>
      </c>
      <c r="F17" s="93" t="inlineStr">
        <is>
          <t>Founder 1 % Post-Round</t>
        </is>
      </c>
    </row>
    <row r="18" ht="15" customHeight="1" s="69">
      <c r="A18" s="90" t="inlineStr">
        <is>
          <t>Floor</t>
        </is>
      </c>
      <c r="B18" s="100" t="n"/>
      <c r="C18" s="100" t="n"/>
      <c r="D18" s="104">
        <f>B18+C18</f>
        <v/>
      </c>
      <c r="E18" s="105">
        <f>IF(D18=0,"-",C18/D18)</f>
        <v/>
      </c>
      <c r="F18" s="105">
        <f>IF(D18=0,"-",D6/C14*(1-E18))</f>
        <v/>
      </c>
    </row>
    <row r="19" ht="15" customHeight="1" s="69">
      <c r="A19" s="87" t="inlineStr">
        <is>
          <t>Target</t>
        </is>
      </c>
      <c r="B19" s="100" t="n"/>
      <c r="C19" s="100" t="n"/>
      <c r="D19" s="104">
        <f>B19+C19</f>
        <v/>
      </c>
      <c r="E19" s="105">
        <f>IF(D19=0,"-",C19/D19)</f>
        <v/>
      </c>
      <c r="F19" s="105">
        <f>IF(D19=0,"-",D6/C14*(1-E19))</f>
        <v/>
      </c>
    </row>
    <row r="20" ht="15" customHeight="1" s="69">
      <c r="A20" s="90" t="inlineStr">
        <is>
          <t>Stretch</t>
        </is>
      </c>
      <c r="B20" s="100" t="n"/>
      <c r="C20" s="100" t="n"/>
      <c r="D20" s="104">
        <f>B20+C20</f>
        <v/>
      </c>
      <c r="E20" s="105">
        <f>IF(D20=0,"-",C20/D20)</f>
        <v/>
      </c>
      <c r="F20" s="105">
        <f>IF(D20=0,"-",D6/C14*(1-E20))</f>
        <v/>
      </c>
    </row>
    <row r="21" ht="15" customHeight="1" s="69">
      <c r="A21" s="86" t="n"/>
      <c r="B21" s="86" t="n"/>
      <c r="C21" s="86" t="n"/>
      <c r="D21" s="86" t="n"/>
      <c r="E21" s="86" t="n"/>
      <c r="F21" s="86" t="n"/>
    </row>
  </sheetData>
  <mergeCells count="4">
    <mergeCell ref="A16:F16"/>
    <mergeCell ref="A2:G2"/>
    <mergeCell ref="A1:G1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1F6B4F"/>
    <outlinePr summaryBelow="1" summaryRight="1"/>
    <pageSetUpPr fitToPage="0"/>
  </sheetPr>
  <dimension ref="A1:Z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0" topLeftCell="C21" activePane="bottomRight" state="frozen"/>
      <selection pane="topLeft" activeCell="A1" activeCellId="0" sqref="A1"/>
      <selection pane="topRight" activeCell="C1" activeCellId="0" sqref="C1"/>
      <selection pane="bottomLeft" activeCell="A21" activeCellId="0" sqref="A21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68" min="1" max="1"/>
    <col width="30" customWidth="1" style="68" min="2" max="2"/>
    <col width="28" customWidth="1" style="68" min="3" max="3"/>
    <col width="9" customWidth="1" style="68" min="4" max="27"/>
  </cols>
  <sheetData>
    <row r="1" ht="30" customHeight="1" s="69">
      <c r="A1" s="131" t="inlineStr">
        <is>
          <t>Exercise 021 – Financial Model Architecture</t>
        </is>
      </c>
    </row>
    <row r="2" ht="15" customHeight="1" s="69">
      <c r="A2" s="83" t="inlineStr">
        <is>
          <t>This sheet is the skeleton. Each section maps to a dedicated tab in a full model.</t>
        </is>
      </c>
    </row>
    <row r="4" ht="15" customHeight="1" s="69">
      <c r="A4" s="84" t="inlineStr">
        <is>
          <t>Tab Structure</t>
        </is>
      </c>
      <c r="B4" s="85" t="n"/>
      <c r="C4" s="79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</row>
    <row r="5" ht="15" customHeight="1" s="69">
      <c r="A5" s="93" t="inlineStr">
        <is>
          <t>Tab Name</t>
        </is>
      </c>
      <c r="B5" s="93" t="inlineStr">
        <is>
          <t>Purpose</t>
        </is>
      </c>
      <c r="C5" s="93" t="inlineStr">
        <is>
          <t>Key Outputs → Feeds Into</t>
        </is>
      </c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</row>
    <row r="6" ht="34.5" customHeight="1" s="69">
      <c r="A6" s="132" t="inlineStr">
        <is>
          <t>ASSUMPTIONS</t>
        </is>
      </c>
      <c r="B6" s="90" t="inlineStr">
        <is>
          <t>Central home for every editable input. Nothing should be hardcoded elsewhere.</t>
        </is>
      </c>
      <c r="C6" s="90" t="inlineStr">
        <is>
          <t>All other tabs</t>
        </is>
      </c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</row>
    <row r="7" ht="23.25" customHeight="1" s="69">
      <c r="A7" s="133" t="inlineStr">
        <is>
          <t>REVENUE</t>
        </is>
      </c>
      <c r="B7" s="87" t="inlineStr">
        <is>
          <t>Driver-based revenue build. Outputs feed to P&amp;L.</t>
        </is>
      </c>
      <c r="C7" s="87" t="inlineStr">
        <is>
          <t>P&amp;L, Scenarios, Summary</t>
        </is>
      </c>
      <c r="D7" s="86" t="n"/>
      <c r="E7" s="86" t="n"/>
      <c r="F7" s="86" t="n"/>
      <c r="G7" s="86" t="n"/>
      <c r="H7" s="86" t="n"/>
      <c r="I7" s="86" t="n"/>
      <c r="J7" s="86" t="n"/>
      <c r="K7" s="86" t="n"/>
      <c r="L7" s="86" t="n"/>
      <c r="M7" s="86" t="n"/>
      <c r="N7" s="86" t="n"/>
    </row>
    <row r="8" ht="23.25" customHeight="1" s="69">
      <c r="A8" s="132" t="inlineStr">
        <is>
          <t>HEADCOUNT</t>
        </is>
      </c>
      <c r="B8" s="90" t="inlineStr">
        <is>
          <t>Role-by-role hiring plan with fully loaded costs.</t>
        </is>
      </c>
      <c r="C8" s="90" t="inlineStr">
        <is>
          <t>P&amp;L (OpEx), Scenarios</t>
        </is>
      </c>
      <c r="D8" s="86" t="n"/>
      <c r="E8" s="86" t="n"/>
      <c r="F8" s="86" t="n"/>
      <c r="G8" s="86" t="n"/>
      <c r="H8" s="86" t="n"/>
      <c r="I8" s="86" t="n"/>
      <c r="J8" s="86" t="n"/>
      <c r="K8" s="86" t="n"/>
      <c r="L8" s="86" t="n"/>
      <c r="M8" s="86" t="n"/>
      <c r="N8" s="86" t="n"/>
    </row>
    <row r="9" ht="23.25" customHeight="1" s="69">
      <c r="A9" s="133" t="inlineStr">
        <is>
          <t>COGS</t>
        </is>
      </c>
      <c r="B9" s="87" t="inlineStr">
        <is>
          <t>Cost of goods sold: all delivery costs, separate from OpEx.</t>
        </is>
      </c>
      <c r="C9" s="87" t="inlineStr">
        <is>
          <t>P&amp;L (COGS), Scenarios</t>
        </is>
      </c>
      <c r="D9" s="86" t="n"/>
      <c r="E9" s="86" t="n"/>
      <c r="F9" s="86" t="n"/>
      <c r="G9" s="86" t="n"/>
      <c r="H9" s="86" t="n"/>
      <c r="I9" s="86" t="n"/>
      <c r="J9" s="86" t="n"/>
      <c r="K9" s="86" t="n"/>
      <c r="L9" s="86" t="n"/>
      <c r="M9" s="86" t="n"/>
      <c r="N9" s="86" t="n"/>
    </row>
    <row r="10" ht="23.25" customHeight="1" s="69">
      <c r="A10" s="132" t="inlineStr">
        <is>
          <t>OPEX</t>
        </is>
      </c>
      <c r="B10" s="90" t="inlineStr">
        <is>
          <t>Operating expenses: S&amp;M, R&amp;D, G&amp;A by line item.</t>
        </is>
      </c>
      <c r="C10" s="90" t="inlineStr">
        <is>
          <t>P&amp;L (OpEx), Scenarios</t>
        </is>
      </c>
      <c r="D10" s="86" t="n"/>
      <c r="E10" s="86" t="n"/>
      <c r="F10" s="86" t="n"/>
      <c r="G10" s="86" t="n"/>
      <c r="H10" s="86" t="n"/>
      <c r="I10" s="86" t="n"/>
      <c r="J10" s="86" t="n"/>
      <c r="K10" s="86" t="n"/>
      <c r="L10" s="86" t="n"/>
      <c r="M10" s="86" t="n"/>
      <c r="N10" s="86" t="n"/>
    </row>
    <row r="11" ht="23.25" customHeight="1" s="69">
      <c r="A11" s="133" t="inlineStr">
        <is>
          <t>P&amp;L</t>
        </is>
      </c>
      <c r="B11" s="87" t="inlineStr">
        <is>
          <t>Profit &amp; Loss statement pulling from Revenue, COGS, OpEx.</t>
        </is>
      </c>
      <c r="C11" s="87" t="inlineStr">
        <is>
          <t>Cash Flow, Summary</t>
        </is>
      </c>
      <c r="D11" s="86" t="n"/>
      <c r="E11" s="86" t="n"/>
      <c r="F11" s="86" t="n"/>
      <c r="G11" s="86" t="n"/>
      <c r="H11" s="86" t="n"/>
      <c r="I11" s="86" t="n"/>
      <c r="J11" s="86" t="n"/>
      <c r="K11" s="86" t="n"/>
      <c r="L11" s="86" t="n"/>
      <c r="M11" s="86" t="n"/>
      <c r="N11" s="86" t="n"/>
    </row>
    <row r="12" ht="23.25" customHeight="1" s="69">
      <c r="A12" s="132" t="inlineStr">
        <is>
          <t>CASH FLOW</t>
        </is>
      </c>
      <c r="B12" s="90" t="inlineStr">
        <is>
          <t>Cash flow statement: operating, investing, financing.</t>
        </is>
      </c>
      <c r="C12" s="90" t="inlineStr">
        <is>
          <t>Balance Sheet, Summary</t>
        </is>
      </c>
      <c r="D12" s="86" t="n"/>
      <c r="E12" s="86" t="n"/>
      <c r="F12" s="86" t="n"/>
      <c r="G12" s="86" t="n"/>
      <c r="H12" s="86" t="n"/>
      <c r="I12" s="86" t="n"/>
      <c r="J12" s="86" t="n"/>
      <c r="K12" s="86" t="n"/>
      <c r="L12" s="86" t="n"/>
      <c r="M12" s="86" t="n"/>
      <c r="N12" s="86" t="n"/>
    </row>
    <row r="13" ht="23.25" customHeight="1" s="69">
      <c r="A13" s="133" t="inlineStr">
        <is>
          <t>BALANCE SHEET</t>
        </is>
      </c>
      <c r="B13" s="87" t="inlineStr">
        <is>
          <t>Balance sheet: assets = liabilities + equity. Must balance.</t>
        </is>
      </c>
      <c r="C13" s="87" t="inlineStr">
        <is>
          <t>Validates P&amp;L + Cash Flow</t>
        </is>
      </c>
      <c r="D13" s="86" t="n"/>
      <c r="E13" s="86" t="n"/>
      <c r="F13" s="86" t="n"/>
      <c r="G13" s="86" t="n"/>
      <c r="H13" s="86" t="n"/>
      <c r="I13" s="86" t="n"/>
      <c r="J13" s="86" t="n"/>
      <c r="K13" s="86" t="n"/>
      <c r="L13" s="86" t="n"/>
      <c r="M13" s="86" t="n"/>
      <c r="N13" s="86" t="n"/>
    </row>
    <row r="14" ht="23.25" customHeight="1" s="69">
      <c r="A14" s="132" t="inlineStr">
        <is>
          <t>SCENARIOS</t>
        </is>
      </c>
      <c r="B14" s="90" t="inlineStr">
        <is>
          <t>Base / conservative / aggressive. Driven by Assumptions tab.</t>
        </is>
      </c>
      <c r="C14" s="90" t="inlineStr">
        <is>
          <t>Summary</t>
        </is>
      </c>
      <c r="D14" s="86" t="n"/>
      <c r="E14" s="86" t="n"/>
      <c r="F14" s="86" t="n"/>
      <c r="G14" s="86" t="n"/>
      <c r="H14" s="86" t="n"/>
      <c r="I14" s="86" t="n"/>
      <c r="J14" s="86" t="n"/>
      <c r="K14" s="86" t="n"/>
      <c r="L14" s="86" t="n"/>
      <c r="M14" s="86" t="n"/>
      <c r="N14" s="86" t="n"/>
    </row>
    <row r="15" ht="23.25" customHeight="1" s="69">
      <c r="A15" s="133" t="inlineStr">
        <is>
          <t>SUMMARY</t>
        </is>
      </c>
      <c r="B15" s="87" t="inlineStr">
        <is>
          <t>One-page investor view: key outputs, runway, KPIs.</t>
        </is>
      </c>
      <c r="C15" s="87" t="inlineStr">
        <is>
          <t>Investor deck</t>
        </is>
      </c>
      <c r="D15" s="86" t="n"/>
      <c r="E15" s="86" t="n"/>
      <c r="F15" s="86" t="n"/>
      <c r="G15" s="86" t="n"/>
      <c r="H15" s="86" t="n"/>
      <c r="I15" s="86" t="n"/>
      <c r="J15" s="86" t="n"/>
      <c r="K15" s="86" t="n"/>
      <c r="L15" s="86" t="n"/>
      <c r="M15" s="86" t="n"/>
      <c r="N15" s="86" t="n"/>
    </row>
    <row r="16" ht="15" customHeight="1" s="69">
      <c r="A16" s="86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</row>
    <row r="17" ht="15" customHeight="1" s="69">
      <c r="A17" s="86" t="n"/>
      <c r="B17" s="86" t="n"/>
      <c r="C17" s="86" t="n"/>
      <c r="D17" s="86" t="n"/>
      <c r="E17" s="86" t="n"/>
      <c r="F17" s="86" t="n"/>
      <c r="G17" s="86" t="n"/>
      <c r="H17" s="86" t="n"/>
      <c r="I17" s="86" t="n"/>
      <c r="J17" s="86" t="n"/>
      <c r="K17" s="86" t="n"/>
      <c r="L17" s="86" t="n"/>
      <c r="M17" s="86" t="n"/>
      <c r="N17" s="86" t="n"/>
    </row>
    <row r="18" ht="15" customHeight="1" s="69">
      <c r="A18" s="84" t="inlineStr">
        <is>
          <t>Month Headers (Assumptions)</t>
        </is>
      </c>
      <c r="B18" s="85" t="n"/>
      <c r="C18" s="85" t="n"/>
      <c r="D18" s="85" t="n"/>
      <c r="E18" s="85" t="n"/>
      <c r="F18" s="85" t="n"/>
      <c r="G18" s="85" t="n"/>
      <c r="H18" s="85" t="n"/>
      <c r="I18" s="85" t="n"/>
      <c r="J18" s="85" t="n"/>
      <c r="K18" s="85" t="n"/>
      <c r="L18" s="85" t="n"/>
      <c r="M18" s="85" t="n"/>
      <c r="N18" s="79" t="n"/>
    </row>
    <row r="19" ht="15" customHeight="1" s="69">
      <c r="A19" s="97" t="inlineStr">
        <is>
          <t>Build columns for 36 months. Enter start date once; all other headers are formulas.</t>
        </is>
      </c>
      <c r="B19" s="85" t="n"/>
      <c r="C19" s="85" t="n"/>
      <c r="D19" s="85" t="n"/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79" t="n"/>
    </row>
    <row r="20" ht="15" customHeight="1" s="69">
      <c r="A20" s="93" t="inlineStr">
        <is>
          <t>Model Start Date</t>
        </is>
      </c>
      <c r="B20" s="134" t="n"/>
      <c r="C20" s="135">
        <f>EDATE($B$20,0)</f>
        <v/>
      </c>
      <c r="D20" s="135">
        <f>EDATE($B$20,1)</f>
        <v/>
      </c>
      <c r="E20" s="135">
        <f>EDATE($B$20,2)</f>
        <v/>
      </c>
      <c r="F20" s="135">
        <f>EDATE($B$20,3)</f>
        <v/>
      </c>
      <c r="G20" s="135">
        <f>EDATE($B$20,4)</f>
        <v/>
      </c>
      <c r="H20" s="135">
        <f>EDATE($B$20,5)</f>
        <v/>
      </c>
      <c r="I20" s="135">
        <f>EDATE($B$20,6)</f>
        <v/>
      </c>
      <c r="J20" s="135">
        <f>EDATE($B$20,7)</f>
        <v/>
      </c>
      <c r="K20" s="135">
        <f>EDATE($B$20,8)</f>
        <v/>
      </c>
      <c r="L20" s="135">
        <f>EDATE($B$20,9)</f>
        <v/>
      </c>
      <c r="M20" s="135">
        <f>EDATE($B$20,10)</f>
        <v/>
      </c>
      <c r="N20" s="135">
        <f>EDATE($B$20,11)</f>
        <v/>
      </c>
      <c r="O20" s="135">
        <f>EDATE($B$20,12)</f>
        <v/>
      </c>
      <c r="P20" s="135">
        <f>EDATE($B$20,13)</f>
        <v/>
      </c>
      <c r="Q20" s="135">
        <f>EDATE($B$20,14)</f>
        <v/>
      </c>
      <c r="R20" s="135">
        <f>EDATE($B$20,15)</f>
        <v/>
      </c>
      <c r="S20" s="135">
        <f>EDATE($B$20,16)</f>
        <v/>
      </c>
      <c r="T20" s="135">
        <f>EDATE($B$20,17)</f>
        <v/>
      </c>
      <c r="U20" s="135">
        <f>EDATE($B$20,18)</f>
        <v/>
      </c>
      <c r="V20" s="135">
        <f>EDATE($B$20,19)</f>
        <v/>
      </c>
      <c r="W20" s="135">
        <f>EDATE($B$20,20)</f>
        <v/>
      </c>
      <c r="X20" s="135">
        <f>EDATE($B$20,21)</f>
        <v/>
      </c>
      <c r="Y20" s="135">
        <f>EDATE($B$20,22)</f>
        <v/>
      </c>
      <c r="Z20" s="135">
        <f>EDATE($B$20,23)</f>
        <v/>
      </c>
    </row>
  </sheetData>
  <mergeCells count="5">
    <mergeCell ref="A18:N18"/>
    <mergeCell ref="A2:F2"/>
    <mergeCell ref="A1:F1"/>
    <mergeCell ref="A19:N19"/>
    <mergeCell ref="A4:C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1F6B4F"/>
    <outlinePr summaryBelow="1" summaryRight="1"/>
    <pageSetUpPr fitToPage="0"/>
  </sheetPr>
  <dimension ref="A1:N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68" min="1" max="1"/>
    <col width="12" customWidth="1" style="68" min="2" max="3"/>
    <col width="14" customWidth="1" style="68" min="4" max="4"/>
    <col width="16" customWidth="1" style="68" min="5" max="5"/>
    <col width="18" customWidth="1" style="68" min="6" max="7"/>
    <col width="14" customWidth="1" style="68" min="8" max="8"/>
    <col width="18" customWidth="1" style="68" min="9" max="9"/>
  </cols>
  <sheetData>
    <row r="1" ht="30" customHeight="1" s="69">
      <c r="A1" s="131" t="inlineStr">
        <is>
          <t>Exercise 022 – Driver-Based Revenue Model (SaaS)</t>
        </is>
      </c>
    </row>
    <row r="2" ht="15" customHeight="1" s="69">
      <c r="A2" s="83" t="inlineStr">
        <is>
          <t>Revenue builds from leads → conversion → ACV → churn. Replace any blue cell with your actuals.</t>
        </is>
      </c>
    </row>
    <row r="4" ht="15" customHeight="1" s="69">
      <c r="A4" s="84" t="inlineStr">
        <is>
          <t>Assumptions</t>
        </is>
      </c>
      <c r="B4" s="85" t="n"/>
      <c r="C4" s="85" t="n"/>
      <c r="D4" s="85" t="n"/>
      <c r="E4" s="79" t="n"/>
      <c r="F4" s="86" t="n"/>
      <c r="G4" s="86" t="n"/>
      <c r="H4" s="86" t="n"/>
      <c r="I4" s="86" t="n"/>
    </row>
    <row r="5" ht="34.5" customHeight="1" s="69">
      <c r="A5" s="87" t="inlineStr">
        <is>
          <t>Monthly New Leads</t>
        </is>
      </c>
      <c r="B5" s="103" t="n">
        <v>100</v>
      </c>
      <c r="C5" s="101" t="inlineStr">
        <is>
          <t xml:space="preserve">Source: </t>
        </is>
      </c>
      <c r="D5" s="86" t="n"/>
      <c r="E5" s="86" t="n"/>
      <c r="F5" s="86" t="n"/>
      <c r="G5" s="86" t="n"/>
      <c r="H5" s="86" t="n"/>
      <c r="I5" s="86" t="n"/>
    </row>
    <row r="6" ht="34.5" customHeight="1" s="69">
      <c r="A6" s="90" t="inlineStr">
        <is>
          <t>Lead → Qual. Opp (%)</t>
        </is>
      </c>
      <c r="B6" s="102" t="n">
        <v>0.25</v>
      </c>
      <c r="C6" s="101" t="inlineStr">
        <is>
          <t xml:space="preserve">Source: </t>
        </is>
      </c>
      <c r="D6" s="86" t="n"/>
      <c r="E6" s="86" t="n"/>
      <c r="F6" s="86" t="n"/>
      <c r="G6" s="86" t="n"/>
      <c r="H6" s="86" t="n"/>
      <c r="I6" s="86" t="n"/>
    </row>
    <row r="7" ht="34.5" customHeight="1" s="69">
      <c r="A7" s="87" t="inlineStr">
        <is>
          <t>Opp → Closed Won (%)</t>
        </is>
      </c>
      <c r="B7" s="102" t="n">
        <v>0.2</v>
      </c>
      <c r="C7" s="101" t="inlineStr">
        <is>
          <t xml:space="preserve">Source: </t>
        </is>
      </c>
      <c r="D7" s="86" t="n"/>
      <c r="E7" s="86" t="n"/>
      <c r="F7" s="86" t="n"/>
      <c r="G7" s="86" t="n"/>
      <c r="H7" s="86" t="n"/>
      <c r="I7" s="86" t="n"/>
    </row>
    <row r="8" ht="45.75" customHeight="1" s="69">
      <c r="A8" s="90" t="inlineStr">
        <is>
          <t>Average Contract Value (£/yr)</t>
        </is>
      </c>
      <c r="B8" s="100" t="n">
        <v>6000</v>
      </c>
      <c r="C8" s="101" t="inlineStr">
        <is>
          <t xml:space="preserve">Source: </t>
        </is>
      </c>
      <c r="D8" s="86" t="n"/>
      <c r="E8" s="86" t="n"/>
      <c r="F8" s="86" t="n"/>
      <c r="G8" s="86" t="n"/>
      <c r="H8" s="86" t="n"/>
      <c r="I8" s="86" t="n"/>
    </row>
    <row r="9" ht="34.5" customHeight="1" s="69">
      <c r="A9" s="87" t="inlineStr">
        <is>
          <t>Monthly Churn Rate (%)</t>
        </is>
      </c>
      <c r="B9" s="102" t="n">
        <v>0.015</v>
      </c>
      <c r="C9" s="101" t="inlineStr">
        <is>
          <t xml:space="preserve">Source: </t>
        </is>
      </c>
      <c r="D9" s="86" t="n"/>
      <c r="E9" s="86" t="n"/>
      <c r="F9" s="86" t="n"/>
      <c r="G9" s="86" t="n"/>
      <c r="H9" s="86" t="n"/>
      <c r="I9" s="86" t="n"/>
    </row>
    <row r="10" ht="45.75" customHeight="1" s="69">
      <c r="A10" s="90" t="inlineStr">
        <is>
          <t>Expansion Revenue Rate (%)</t>
        </is>
      </c>
      <c r="B10" s="102" t="n">
        <v>0.005</v>
      </c>
      <c r="C10" s="101" t="inlineStr">
        <is>
          <t xml:space="preserve">Source: </t>
        </is>
      </c>
      <c r="D10" s="86" t="n"/>
      <c r="E10" s="86" t="n"/>
      <c r="F10" s="86" t="n"/>
      <c r="G10" s="86" t="n"/>
      <c r="H10" s="86" t="n"/>
      <c r="I10" s="86" t="n"/>
    </row>
    <row r="11" ht="15" customHeight="1" s="69">
      <c r="A11" s="86" t="n"/>
      <c r="B11" s="86" t="n"/>
      <c r="C11" s="86" t="n"/>
      <c r="D11" s="86" t="n"/>
      <c r="E11" s="86" t="n"/>
      <c r="F11" s="86" t="n"/>
      <c r="G11" s="86" t="n"/>
      <c r="H11" s="86" t="n"/>
      <c r="I11" s="86" t="n"/>
    </row>
    <row r="12" ht="15" customHeight="1" s="69">
      <c r="A12" s="86" t="n"/>
      <c r="B12" s="86" t="n"/>
      <c r="C12" s="86" t="n"/>
      <c r="D12" s="86" t="n"/>
      <c r="E12" s="86" t="n"/>
      <c r="F12" s="86" t="n"/>
      <c r="G12" s="86" t="n"/>
      <c r="H12" s="86" t="n"/>
      <c r="I12" s="86" t="n"/>
    </row>
    <row r="13" ht="15" customHeight="1" s="69">
      <c r="A13" s="92" t="inlineStr">
        <is>
          <t>12-Month Revenue Build</t>
        </is>
      </c>
      <c r="B13" s="85" t="n"/>
      <c r="C13" s="85" t="n"/>
      <c r="D13" s="85" t="n"/>
      <c r="E13" s="85" t="n"/>
      <c r="F13" s="85" t="n"/>
      <c r="G13" s="85" t="n"/>
      <c r="H13" s="85" t="n"/>
      <c r="I13" s="85" t="n"/>
      <c r="J13" s="85" t="n"/>
      <c r="K13" s="85" t="n"/>
      <c r="L13" s="85" t="n"/>
      <c r="M13" s="85" t="n"/>
      <c r="N13" s="85" t="n"/>
    </row>
    <row r="14" ht="39.75" customHeight="1" s="69">
      <c r="A14" s="112" t="inlineStr">
        <is>
          <t>Month</t>
        </is>
      </c>
      <c r="B14" s="112" t="inlineStr">
        <is>
          <t>New Leads</t>
        </is>
      </c>
      <c r="C14" s="112" t="inlineStr">
        <is>
          <t>New Opps</t>
        </is>
      </c>
      <c r="D14" s="112" t="inlineStr">
        <is>
          <t>New Customers</t>
        </is>
      </c>
      <c r="E14" s="112" t="inlineStr">
        <is>
          <t>Churned Customers</t>
        </is>
      </c>
      <c r="F14" s="112" t="inlineStr">
        <is>
          <t>Expansion Customers</t>
        </is>
      </c>
      <c r="G14" s="112" t="inlineStr">
        <is>
          <t>Cumulative Customers</t>
        </is>
      </c>
      <c r="H14" s="112" t="inlineStr">
        <is>
          <t>MRR (£)</t>
        </is>
      </c>
      <c r="I14" s="112" t="inlineStr">
        <is>
          <t>ARR run rate (£)</t>
        </is>
      </c>
    </row>
    <row r="15" ht="15" customHeight="1" s="69">
      <c r="A15" s="107" t="inlineStr">
        <is>
          <t>1</t>
        </is>
      </c>
      <c r="B15" s="107">
        <f>$B$5</f>
        <v/>
      </c>
      <c r="C15" s="106">
        <f>B15*$B$6</f>
        <v/>
      </c>
      <c r="D15" s="106">
        <f>C15*$B$7</f>
        <v/>
      </c>
      <c r="E15" s="106">
        <f>0</f>
        <v/>
      </c>
      <c r="F15" s="106">
        <f>0</f>
        <v/>
      </c>
      <c r="G15" s="106">
        <f>D15</f>
        <v/>
      </c>
      <c r="H15" s="104">
        <f>G15*($B$8/12)</f>
        <v/>
      </c>
      <c r="I15" s="104">
        <f>H15*12</f>
        <v/>
      </c>
    </row>
    <row r="16" ht="15" customHeight="1" s="69">
      <c r="A16" s="108" t="inlineStr">
        <is>
          <t>2</t>
        </is>
      </c>
      <c r="B16" s="107">
        <f>$B$5</f>
        <v/>
      </c>
      <c r="C16" s="106">
        <f>B16*$B$6</f>
        <v/>
      </c>
      <c r="D16" s="106">
        <f>C16*$B$7</f>
        <v/>
      </c>
      <c r="E16" s="106">
        <f>IF(G15=0,0,G15*$B$9)</f>
        <v/>
      </c>
      <c r="F16" s="106">
        <f>IF(G15=0,0,G15*$B$10)</f>
        <v/>
      </c>
      <c r="G16" s="106">
        <f>G15+D16-E16+F16</f>
        <v/>
      </c>
      <c r="H16" s="104">
        <f>G16*($B$8/12)</f>
        <v/>
      </c>
      <c r="I16" s="104">
        <f>H16*12</f>
        <v/>
      </c>
    </row>
    <row r="17" ht="15" customHeight="1" s="69">
      <c r="A17" s="107" t="inlineStr">
        <is>
          <t>3</t>
        </is>
      </c>
      <c r="B17" s="107">
        <f>$B$5</f>
        <v/>
      </c>
      <c r="C17" s="106">
        <f>B17*$B$6</f>
        <v/>
      </c>
      <c r="D17" s="106">
        <f>C17*$B$7</f>
        <v/>
      </c>
      <c r="E17" s="106">
        <f>IF(G16=0,0,G16*$B$9)</f>
        <v/>
      </c>
      <c r="F17" s="106">
        <f>IF(G16=0,0,G16*$B$10)</f>
        <v/>
      </c>
      <c r="G17" s="106">
        <f>G16+D17-E17+F17</f>
        <v/>
      </c>
      <c r="H17" s="104">
        <f>G17*($B$8/12)</f>
        <v/>
      </c>
      <c r="I17" s="104">
        <f>H17*12</f>
        <v/>
      </c>
    </row>
    <row r="18" ht="15" customHeight="1" s="69">
      <c r="A18" s="108" t="inlineStr">
        <is>
          <t>4</t>
        </is>
      </c>
      <c r="B18" s="107">
        <f>$B$5</f>
        <v/>
      </c>
      <c r="C18" s="106">
        <f>B18*$B$6</f>
        <v/>
      </c>
      <c r="D18" s="106">
        <f>C18*$B$7</f>
        <v/>
      </c>
      <c r="E18" s="106">
        <f>IF(G17=0,0,G17*$B$9)</f>
        <v/>
      </c>
      <c r="F18" s="106">
        <f>IF(G17=0,0,G17*$B$10)</f>
        <v/>
      </c>
      <c r="G18" s="106">
        <f>G17+D18-E18+F18</f>
        <v/>
      </c>
      <c r="H18" s="104">
        <f>G18*($B$8/12)</f>
        <v/>
      </c>
      <c r="I18" s="104">
        <f>H18*12</f>
        <v/>
      </c>
    </row>
    <row r="19" ht="15" customHeight="1" s="69">
      <c r="A19" s="107" t="inlineStr">
        <is>
          <t>5</t>
        </is>
      </c>
      <c r="B19" s="107">
        <f>$B$5</f>
        <v/>
      </c>
      <c r="C19" s="106">
        <f>B19*$B$6</f>
        <v/>
      </c>
      <c r="D19" s="106">
        <f>C19*$B$7</f>
        <v/>
      </c>
      <c r="E19" s="106">
        <f>IF(G18=0,0,G18*$B$9)</f>
        <v/>
      </c>
      <c r="F19" s="106">
        <f>IF(G18=0,0,G18*$B$10)</f>
        <v/>
      </c>
      <c r="G19" s="106">
        <f>G18+D19-E19+F19</f>
        <v/>
      </c>
      <c r="H19" s="104">
        <f>G19*($B$8/12)</f>
        <v/>
      </c>
      <c r="I19" s="104">
        <f>H19*12</f>
        <v/>
      </c>
    </row>
    <row r="20" ht="15" customHeight="1" s="69">
      <c r="A20" s="108" t="inlineStr">
        <is>
          <t>6</t>
        </is>
      </c>
      <c r="B20" s="107">
        <f>$B$5</f>
        <v/>
      </c>
      <c r="C20" s="106">
        <f>B20*$B$6</f>
        <v/>
      </c>
      <c r="D20" s="106">
        <f>C20*$B$7</f>
        <v/>
      </c>
      <c r="E20" s="106">
        <f>IF(G19=0,0,G19*$B$9)</f>
        <v/>
      </c>
      <c r="F20" s="106">
        <f>IF(G19=0,0,G19*$B$10)</f>
        <v/>
      </c>
      <c r="G20" s="106">
        <f>G19+D20-E20+F20</f>
        <v/>
      </c>
      <c r="H20" s="104">
        <f>G20*($B$8/12)</f>
        <v/>
      </c>
      <c r="I20" s="104">
        <f>H20*12</f>
        <v/>
      </c>
    </row>
    <row r="21" ht="15" customHeight="1" s="69">
      <c r="A21" s="107" t="inlineStr">
        <is>
          <t>7</t>
        </is>
      </c>
      <c r="B21" s="107">
        <f>$B$5</f>
        <v/>
      </c>
      <c r="C21" s="106">
        <f>B21*$B$6</f>
        <v/>
      </c>
      <c r="D21" s="106">
        <f>C21*$B$7</f>
        <v/>
      </c>
      <c r="E21" s="106">
        <f>IF(G20=0,0,G20*$B$9)</f>
        <v/>
      </c>
      <c r="F21" s="106">
        <f>IF(G20=0,0,G20*$B$10)</f>
        <v/>
      </c>
      <c r="G21" s="106">
        <f>G20+D21-E21+F21</f>
        <v/>
      </c>
      <c r="H21" s="104">
        <f>G21*($B$8/12)</f>
        <v/>
      </c>
      <c r="I21" s="104">
        <f>H21*12</f>
        <v/>
      </c>
    </row>
    <row r="22" ht="15" customHeight="1" s="69">
      <c r="A22" s="108" t="inlineStr">
        <is>
          <t>8</t>
        </is>
      </c>
      <c r="B22" s="107">
        <f>$B$5</f>
        <v/>
      </c>
      <c r="C22" s="106">
        <f>B22*$B$6</f>
        <v/>
      </c>
      <c r="D22" s="106">
        <f>C22*$B$7</f>
        <v/>
      </c>
      <c r="E22" s="106">
        <f>IF(G21=0,0,G21*$B$9)</f>
        <v/>
      </c>
      <c r="F22" s="106">
        <f>IF(G21=0,0,G21*$B$10)</f>
        <v/>
      </c>
      <c r="G22" s="106">
        <f>G21+D22-E22+F22</f>
        <v/>
      </c>
      <c r="H22" s="104">
        <f>G22*($B$8/12)</f>
        <v/>
      </c>
      <c r="I22" s="104">
        <f>H22*12</f>
        <v/>
      </c>
    </row>
    <row r="23" ht="15" customHeight="1" s="69">
      <c r="A23" s="107" t="inlineStr">
        <is>
          <t>9</t>
        </is>
      </c>
      <c r="B23" s="107">
        <f>$B$5</f>
        <v/>
      </c>
      <c r="C23" s="106">
        <f>B23*$B$6</f>
        <v/>
      </c>
      <c r="D23" s="106">
        <f>C23*$B$7</f>
        <v/>
      </c>
      <c r="E23" s="106">
        <f>IF(G22=0,0,G22*$B$9)</f>
        <v/>
      </c>
      <c r="F23" s="106">
        <f>IF(G22=0,0,G22*$B$10)</f>
        <v/>
      </c>
      <c r="G23" s="106">
        <f>G22+D23-E23+F23</f>
        <v/>
      </c>
      <c r="H23" s="104">
        <f>G23*($B$8/12)</f>
        <v/>
      </c>
      <c r="I23" s="104">
        <f>H23*12</f>
        <v/>
      </c>
    </row>
    <row r="24" ht="15" customHeight="1" s="69">
      <c r="A24" s="108" t="inlineStr">
        <is>
          <t>10</t>
        </is>
      </c>
      <c r="B24" s="107">
        <f>$B$5</f>
        <v/>
      </c>
      <c r="C24" s="106">
        <f>B24*$B$6</f>
        <v/>
      </c>
      <c r="D24" s="106">
        <f>C24*$B$7</f>
        <v/>
      </c>
      <c r="E24" s="106">
        <f>IF(G23=0,0,G23*$B$9)</f>
        <v/>
      </c>
      <c r="F24" s="106">
        <f>IF(G23=0,0,G23*$B$10)</f>
        <v/>
      </c>
      <c r="G24" s="106">
        <f>G23+D24-E24+F24</f>
        <v/>
      </c>
      <c r="H24" s="104">
        <f>G24*($B$8/12)</f>
        <v/>
      </c>
      <c r="I24" s="104">
        <f>H24*12</f>
        <v/>
      </c>
    </row>
    <row r="25" ht="15" customHeight="1" s="69">
      <c r="A25" s="107" t="inlineStr">
        <is>
          <t>11</t>
        </is>
      </c>
      <c r="B25" s="107">
        <f>$B$5</f>
        <v/>
      </c>
      <c r="C25" s="106">
        <f>B25*$B$6</f>
        <v/>
      </c>
      <c r="D25" s="106">
        <f>C25*$B$7</f>
        <v/>
      </c>
      <c r="E25" s="106">
        <f>IF(G24=0,0,G24*$B$9)</f>
        <v/>
      </c>
      <c r="F25" s="106">
        <f>IF(G24=0,0,G24*$B$10)</f>
        <v/>
      </c>
      <c r="G25" s="106">
        <f>G24+D25-E25+F25</f>
        <v/>
      </c>
      <c r="H25" s="104">
        <f>G25*($B$8/12)</f>
        <v/>
      </c>
      <c r="I25" s="104">
        <f>H25*12</f>
        <v/>
      </c>
    </row>
    <row r="26" ht="15" customHeight="1" s="69">
      <c r="A26" s="108" t="inlineStr">
        <is>
          <t>12</t>
        </is>
      </c>
      <c r="B26" s="107">
        <f>$B$5</f>
        <v/>
      </c>
      <c r="C26" s="106">
        <f>B26*$B$6</f>
        <v/>
      </c>
      <c r="D26" s="106">
        <f>C26*$B$7</f>
        <v/>
      </c>
      <c r="E26" s="106">
        <f>IF(G25=0,0,G25*$B$9)</f>
        <v/>
      </c>
      <c r="F26" s="106">
        <f>IF(G25=0,0,G25*$B$10)</f>
        <v/>
      </c>
      <c r="G26" s="106">
        <f>G25+D26-E26+F26</f>
        <v/>
      </c>
      <c r="H26" s="104">
        <f>G26*($B$8/12)</f>
        <v/>
      </c>
      <c r="I26" s="104">
        <f>H26*12</f>
        <v/>
      </c>
    </row>
    <row r="27" ht="34.5" customHeight="1" s="69">
      <c r="A27" s="87" t="inlineStr">
        <is>
          <t>ARR at Month 12</t>
        </is>
      </c>
      <c r="B27" s="104">
        <f>I26</f>
        <v/>
      </c>
      <c r="C27" s="79" t="n"/>
      <c r="D27" s="86" t="n"/>
      <c r="E27" s="86" t="n"/>
      <c r="F27" s="86" t="n"/>
      <c r="G27" s="86" t="n"/>
      <c r="H27" s="86" t="n"/>
      <c r="I27" s="86" t="n"/>
    </row>
  </sheetData>
  <mergeCells count="5">
    <mergeCell ref="A4:E4"/>
    <mergeCell ref="A2:N2"/>
    <mergeCell ref="B27:C27"/>
    <mergeCell ref="A13:N13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1F6B4F"/>
    <outlinePr summaryBelow="1" summaryRight="1"/>
    <pageSetUpPr fitToPage="0"/>
  </sheetPr>
  <dimension ref="A1:N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68" min="1" max="2"/>
    <col width="14" customWidth="1" style="68" min="3" max="8"/>
  </cols>
  <sheetData>
    <row r="1" ht="30" customHeight="1" s="69">
      <c r="A1" s="131" t="inlineStr">
        <is>
          <t>Exercise 023 – Cohort Revenue Retention Model</t>
        </is>
      </c>
    </row>
    <row r="2" ht="15" customHeight="1" s="69">
      <c r="A2" s="83" t="inlineStr">
        <is>
          <t>Enter new customers per cohort (blue). Retention % in row 5. Revenue auto-calculates.</t>
        </is>
      </c>
    </row>
    <row r="4" ht="15" customHeight="1" s="69">
      <c r="A4" s="92" t="inlineStr">
        <is>
          <t>Retention Assumptions by Month-Since-Acquisition</t>
        </is>
      </c>
      <c r="B4" s="85" t="n"/>
      <c r="C4" s="85" t="n"/>
      <c r="D4" s="85" t="n"/>
      <c r="E4" s="85" t="n"/>
      <c r="F4" s="85" t="n"/>
      <c r="G4" s="85" t="n"/>
      <c r="H4" s="85" t="n"/>
      <c r="I4" s="85" t="n"/>
      <c r="J4" s="85" t="n"/>
      <c r="K4" s="85" t="n"/>
      <c r="L4" s="85" t="n"/>
      <c r="M4" s="85" t="n"/>
    </row>
    <row r="5" ht="15" customHeight="1" s="69">
      <c r="A5" s="93" t="inlineStr">
        <is>
          <t>Retention %</t>
        </is>
      </c>
      <c r="B5" s="93" t="inlineStr">
        <is>
          <t>Mo 0</t>
        </is>
      </c>
      <c r="C5" s="93" t="inlineStr">
        <is>
          <t>Mo 1</t>
        </is>
      </c>
      <c r="D5" s="93" t="inlineStr">
        <is>
          <t>Mo 2</t>
        </is>
      </c>
      <c r="E5" s="93" t="inlineStr">
        <is>
          <t>Mo 3</t>
        </is>
      </c>
      <c r="F5" s="93" t="inlineStr">
        <is>
          <t>Mo 6</t>
        </is>
      </c>
      <c r="G5" s="93" t="inlineStr">
        <is>
          <t>Mo 9</t>
        </is>
      </c>
      <c r="H5" s="93" t="inlineStr">
        <is>
          <t>Mo 12</t>
        </is>
      </c>
    </row>
    <row r="6" ht="15" customHeight="1" s="69">
      <c r="A6" s="86" t="n"/>
      <c r="B6" s="136" t="n">
        <v>1</v>
      </c>
      <c r="C6" s="136" t="n">
        <v>0.85</v>
      </c>
      <c r="D6" s="136" t="n">
        <v>0.8</v>
      </c>
      <c r="E6" s="136" t="n">
        <v>0.78</v>
      </c>
      <c r="F6" s="136" t="n">
        <v>0.72</v>
      </c>
      <c r="G6" s="136" t="n">
        <v>0.7</v>
      </c>
      <c r="H6" s="136" t="n">
        <v>0.68</v>
      </c>
    </row>
    <row r="7" ht="15" customHeight="1" s="69">
      <c r="A7" s="86" t="n"/>
      <c r="B7" s="86" t="n"/>
      <c r="C7" s="86" t="n"/>
      <c r="D7" s="86" t="n"/>
      <c r="E7" s="86" t="n"/>
      <c r="F7" s="86" t="n"/>
      <c r="G7" s="86" t="n"/>
      <c r="H7" s="86" t="n"/>
    </row>
    <row r="8" ht="15" customHeight="1" s="69">
      <c r="A8" s="84" t="inlineStr">
        <is>
          <t>Cohort New Customer Count</t>
        </is>
      </c>
      <c r="B8" s="85" t="n"/>
      <c r="C8" s="85" t="n"/>
      <c r="D8" s="85" t="n"/>
      <c r="E8" s="85" t="n"/>
      <c r="F8" s="85" t="n"/>
      <c r="G8" s="85" t="n"/>
      <c r="H8" s="79" t="n"/>
    </row>
    <row r="9" ht="15" customHeight="1" s="69">
      <c r="A9" s="93" t="inlineStr">
        <is>
          <t>Cohort Month</t>
        </is>
      </c>
      <c r="B9" s="93" t="inlineStr">
        <is>
          <t>New Customers</t>
        </is>
      </c>
      <c r="C9" s="93" t="inlineStr">
        <is>
          <t>ACV (£/yr)</t>
        </is>
      </c>
      <c r="D9" s="93" t="inlineStr">
        <is>
          <t>Mo 0 Rev (£)</t>
        </is>
      </c>
      <c r="E9" s="93" t="inlineStr">
        <is>
          <t>Mo 1 Rev (£)</t>
        </is>
      </c>
      <c r="F9" s="93" t="inlineStr">
        <is>
          <t>Mo 3 Rev (£)</t>
        </is>
      </c>
      <c r="G9" s="93" t="inlineStr">
        <is>
          <t>Mo 6 Rev (£)</t>
        </is>
      </c>
      <c r="H9" s="93" t="inlineStr">
        <is>
          <t>Mo 12 Rev (£)</t>
        </is>
      </c>
    </row>
    <row r="10" ht="15" customHeight="1" s="69">
      <c r="A10" s="109" t="inlineStr">
        <is>
          <t>Month 1</t>
        </is>
      </c>
      <c r="B10" s="103" t="n"/>
      <c r="C10" s="100" t="n"/>
      <c r="D10" s="91">
        <f>IF(B10=0,"-",B10*C10*B6/12)</f>
        <v/>
      </c>
      <c r="E10" s="91">
        <f>IF(B10=0,"-",B10*C10*C6/12)</f>
        <v/>
      </c>
      <c r="F10" s="91">
        <f>IF(B10=0,"-",B10*C10*E6/12)</f>
        <v/>
      </c>
      <c r="G10" s="91">
        <f>IF(B10=0,"-",B10*C10*G6/12)</f>
        <v/>
      </c>
      <c r="H10" s="91">
        <f>IF(B10=0,"-",B10*C10*H6/12)</f>
        <v/>
      </c>
    </row>
    <row r="11" ht="15" customHeight="1" s="69">
      <c r="A11" s="109" t="inlineStr">
        <is>
          <t>Month 2</t>
        </is>
      </c>
      <c r="B11" s="103" t="n"/>
      <c r="C11" s="100" t="n"/>
      <c r="D11" s="91">
        <f>IF(B11=0,"-",B11*C11*B6/12)</f>
        <v/>
      </c>
      <c r="E11" s="91">
        <f>IF(B11=0,"-",B11*C11*C6/12)</f>
        <v/>
      </c>
      <c r="F11" s="91">
        <f>IF(B11=0,"-",B11*C11*E6/12)</f>
        <v/>
      </c>
      <c r="G11" s="91">
        <f>IF(B11=0,"-",B11*C11*G6/12)</f>
        <v/>
      </c>
      <c r="H11" s="91">
        <f>IF(B11=0,"-",B11*C11*H6/12)</f>
        <v/>
      </c>
    </row>
    <row r="12" ht="15" customHeight="1" s="69">
      <c r="A12" s="109" t="inlineStr">
        <is>
          <t>Month 3</t>
        </is>
      </c>
      <c r="B12" s="103" t="n"/>
      <c r="C12" s="100" t="n"/>
      <c r="D12" s="91">
        <f>IF(B12=0,"-",B12*C12*B6/12)</f>
        <v/>
      </c>
      <c r="E12" s="91">
        <f>IF(B12=0,"-",B12*C12*C6/12)</f>
        <v/>
      </c>
      <c r="F12" s="91">
        <f>IF(B12=0,"-",B12*C12*E6/12)</f>
        <v/>
      </c>
      <c r="G12" s="91">
        <f>IF(B12=0,"-",B12*C12*G6/12)</f>
        <v/>
      </c>
      <c r="H12" s="91">
        <f>IF(B12=0,"-",B12*C12*H6/12)</f>
        <v/>
      </c>
    </row>
    <row r="13" ht="15" customHeight="1" s="69">
      <c r="A13" s="109" t="inlineStr">
        <is>
          <t>Month 4</t>
        </is>
      </c>
      <c r="B13" s="103" t="n"/>
      <c r="C13" s="100" t="n"/>
      <c r="D13" s="91">
        <f>IF(B13=0,"-",B13*C13*B6/12)</f>
        <v/>
      </c>
      <c r="E13" s="91">
        <f>IF(B13=0,"-",B13*C13*C6/12)</f>
        <v/>
      </c>
      <c r="F13" s="91">
        <f>IF(B13=0,"-",B13*C13*E6/12)</f>
        <v/>
      </c>
      <c r="G13" s="91">
        <f>IF(B13=0,"-",B13*C13*G6/12)</f>
        <v/>
      </c>
      <c r="H13" s="91">
        <f>IF(B13=0,"-",B13*C13*H6/12)</f>
        <v/>
      </c>
    </row>
    <row r="14" ht="15" customHeight="1" s="69">
      <c r="A14" s="109" t="inlineStr">
        <is>
          <t>Month 5</t>
        </is>
      </c>
      <c r="B14" s="103" t="n"/>
      <c r="C14" s="100" t="n"/>
      <c r="D14" s="91">
        <f>IF(B14=0,"-",B14*C14*B6/12)</f>
        <v/>
      </c>
      <c r="E14" s="91">
        <f>IF(B14=0,"-",B14*C14*C6/12)</f>
        <v/>
      </c>
      <c r="F14" s="91">
        <f>IF(B14=0,"-",B14*C14*E6/12)</f>
        <v/>
      </c>
      <c r="G14" s="91">
        <f>IF(B14=0,"-",B14*C14*G6/12)</f>
        <v/>
      </c>
      <c r="H14" s="91">
        <f>IF(B14=0,"-",B14*C14*H6/12)</f>
        <v/>
      </c>
    </row>
    <row r="15" ht="15" customHeight="1" s="69">
      <c r="A15" s="109" t="inlineStr">
        <is>
          <t>Month 6</t>
        </is>
      </c>
      <c r="B15" s="103" t="n"/>
      <c r="C15" s="100" t="n"/>
      <c r="D15" s="91">
        <f>IF(B15=0,"-",B15*C15*B6/12)</f>
        <v/>
      </c>
      <c r="E15" s="91">
        <f>IF(B15=0,"-",B15*C15*C6/12)</f>
        <v/>
      </c>
      <c r="F15" s="91">
        <f>IF(B15=0,"-",B15*C15*E6/12)</f>
        <v/>
      </c>
      <c r="G15" s="91">
        <f>IF(B15=0,"-",B15*C15*G6/12)</f>
        <v/>
      </c>
      <c r="H15" s="91">
        <f>IF(B15=0,"-",B15*C15*H6/12)</f>
        <v/>
      </c>
    </row>
    <row r="16" ht="15" customHeight="1" s="69">
      <c r="A16" s="109" t="inlineStr">
        <is>
          <t>Month 7</t>
        </is>
      </c>
      <c r="B16" s="103" t="n"/>
      <c r="C16" s="100" t="n"/>
      <c r="D16" s="91">
        <f>IF(B16=0,"-",B16*C16*B6/12)</f>
        <v/>
      </c>
      <c r="E16" s="91">
        <f>IF(B16=0,"-",B16*C16*C6/12)</f>
        <v/>
      </c>
      <c r="F16" s="91">
        <f>IF(B16=0,"-",B16*C16*E6/12)</f>
        <v/>
      </c>
      <c r="G16" s="91">
        <f>IF(B16=0,"-",B16*C16*G6/12)</f>
        <v/>
      </c>
      <c r="H16" s="91">
        <f>IF(B16=0,"-",B16*C16*H6/12)</f>
        <v/>
      </c>
    </row>
    <row r="17" ht="15" customHeight="1" s="69">
      <c r="A17" s="109" t="inlineStr">
        <is>
          <t>Month 8</t>
        </is>
      </c>
      <c r="B17" s="103" t="n"/>
      <c r="C17" s="100" t="n"/>
      <c r="D17" s="91">
        <f>IF(B17=0,"-",B17*C17*B6/12)</f>
        <v/>
      </c>
      <c r="E17" s="91">
        <f>IF(B17=0,"-",B17*C17*C6/12)</f>
        <v/>
      </c>
      <c r="F17" s="91">
        <f>IF(B17=0,"-",B17*C17*E6/12)</f>
        <v/>
      </c>
      <c r="G17" s="91">
        <f>IF(B17=0,"-",B17*C17*G6/12)</f>
        <v/>
      </c>
      <c r="H17" s="91">
        <f>IF(B17=0,"-",B17*C17*H6/12)</f>
        <v/>
      </c>
    </row>
    <row r="18" ht="15" customHeight="1" s="69">
      <c r="A18" s="109" t="inlineStr">
        <is>
          <t>Month 9</t>
        </is>
      </c>
      <c r="B18" s="103" t="n"/>
      <c r="C18" s="100" t="n"/>
      <c r="D18" s="91">
        <f>IF(B18=0,"-",B18*C18*B6/12)</f>
        <v/>
      </c>
      <c r="E18" s="91">
        <f>IF(B18=0,"-",B18*C18*C6/12)</f>
        <v/>
      </c>
      <c r="F18" s="91">
        <f>IF(B18=0,"-",B18*C18*E6/12)</f>
        <v/>
      </c>
      <c r="G18" s="91">
        <f>IF(B18=0,"-",B18*C18*G6/12)</f>
        <v/>
      </c>
      <c r="H18" s="91">
        <f>IF(B18=0,"-",B18*C18*H6/12)</f>
        <v/>
      </c>
    </row>
    <row r="19" ht="15" customHeight="1" s="69">
      <c r="A19" s="109" t="inlineStr">
        <is>
          <t>Month 10</t>
        </is>
      </c>
      <c r="B19" s="103" t="n"/>
      <c r="C19" s="100" t="n"/>
      <c r="D19" s="91">
        <f>IF(B19=0,"-",B19*C19*B6/12)</f>
        <v/>
      </c>
      <c r="E19" s="91">
        <f>IF(B19=0,"-",B19*C19*C6/12)</f>
        <v/>
      </c>
      <c r="F19" s="91">
        <f>IF(B19=0,"-",B19*C19*E6/12)</f>
        <v/>
      </c>
      <c r="G19" s="91">
        <f>IF(B19=0,"-",B19*C19*G6/12)</f>
        <v/>
      </c>
      <c r="H19" s="91">
        <f>IF(B19=0,"-",B19*C19*H6/12)</f>
        <v/>
      </c>
    </row>
    <row r="20" ht="15" customHeight="1" s="69">
      <c r="A20" s="109" t="inlineStr">
        <is>
          <t>Month 11</t>
        </is>
      </c>
      <c r="B20" s="103" t="n"/>
      <c r="C20" s="100" t="n"/>
      <c r="D20" s="91">
        <f>IF(B20=0,"-",B20*C20*B6/12)</f>
        <v/>
      </c>
      <c r="E20" s="91">
        <f>IF(B20=0,"-",B20*C20*C6/12)</f>
        <v/>
      </c>
      <c r="F20" s="91">
        <f>IF(B20=0,"-",B20*C20*E6/12)</f>
        <v/>
      </c>
      <c r="G20" s="91">
        <f>IF(B20=0,"-",B20*C20*G6/12)</f>
        <v/>
      </c>
      <c r="H20" s="91">
        <f>IF(B20=0,"-",B20*C20*H6/12)</f>
        <v/>
      </c>
    </row>
    <row r="21" ht="15" customHeight="1" s="69">
      <c r="A21" s="109" t="inlineStr">
        <is>
          <t>Month 12</t>
        </is>
      </c>
      <c r="B21" s="103" t="n"/>
      <c r="C21" s="100" t="n"/>
      <c r="D21" s="91">
        <f>IF(B21=0,"-",B21*C21*B6/12)</f>
        <v/>
      </c>
      <c r="E21" s="91">
        <f>IF(B21=0,"-",B21*C21*C6/12)</f>
        <v/>
      </c>
      <c r="F21" s="91">
        <f>IF(B21=0,"-",B21*C21*E6/12)</f>
        <v/>
      </c>
      <c r="G21" s="91">
        <f>IF(B21=0,"-",B21*C21*G6/12)</f>
        <v/>
      </c>
      <c r="H21" s="91">
        <f>IF(B21=0,"-",B21*C21*H6/12)</f>
        <v/>
      </c>
    </row>
    <row r="22" ht="23.25" customHeight="1" s="69">
      <c r="A22" s="87" t="inlineStr">
        <is>
          <t>Total Revenue by Cohort-Month</t>
        </is>
      </c>
      <c r="B22" s="86" t="n"/>
      <c r="C22" s="86" t="n"/>
      <c r="D22" s="104">
        <f>SUM(D10:D21)</f>
        <v/>
      </c>
      <c r="E22" s="104">
        <f>SUM(E10:E21)</f>
        <v/>
      </c>
      <c r="F22" s="104">
        <f>SUM(F10:F21)</f>
        <v/>
      </c>
      <c r="G22" s="104">
        <f>SUM(G10:G21)</f>
        <v/>
      </c>
      <c r="H22" s="104">
        <f>SUM(H10:H21)</f>
        <v/>
      </c>
    </row>
  </sheetData>
  <mergeCells count="4">
    <mergeCell ref="A4:M4"/>
    <mergeCell ref="A8:H8"/>
    <mergeCell ref="A2:N2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1F6B4F"/>
    <outlinePr summaryBelow="1" summaryRight="1"/>
    <pageSetUpPr fitToPage="0"/>
  </sheetPr>
  <dimension ref="A1:F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68" min="1" max="1"/>
    <col width="36" customWidth="1" style="68" min="2" max="2"/>
    <col width="16" customWidth="1" style="68" min="3" max="3"/>
    <col width="10" customWidth="1" style="68" min="4" max="4"/>
    <col width="55" customWidth="1" style="68" min="5" max="5"/>
  </cols>
  <sheetData>
    <row r="1" ht="30" customHeight="1" s="69">
      <c r="A1" s="131" t="inlineStr">
        <is>
          <t>Exercise 024 – Central Assumptions Tab</t>
        </is>
      </c>
    </row>
    <row r="2" ht="15" customHeight="1" s="69">
      <c r="A2" s="83" t="inlineStr">
        <is>
          <t>Every key input lives here. Reference these cells everywhere else. Never hardcode.</t>
        </is>
      </c>
    </row>
    <row r="4" ht="15" customHeight="1" s="69">
      <c r="A4" s="137" t="inlineStr">
        <is>
          <t>Revenue Assumptions</t>
        </is>
      </c>
    </row>
    <row r="5" ht="15" customHeight="1" s="69">
      <c r="A5" s="71" t="inlineStr">
        <is>
          <t>Named Range</t>
        </is>
      </c>
      <c r="B5" s="71" t="inlineStr">
        <is>
          <t>Label</t>
        </is>
      </c>
      <c r="C5" s="71" t="inlineStr">
        <is>
          <t>Value</t>
        </is>
      </c>
      <c r="D5" s="71" t="inlineStr">
        <is>
          <t>Format</t>
        </is>
      </c>
      <c r="E5" s="71" t="inlineStr">
        <is>
          <t>Source / Research Basis</t>
        </is>
      </c>
    </row>
    <row r="6" ht="15" customHeight="1" s="69">
      <c r="A6" s="138" t="inlineStr">
        <is>
          <t>rev_growth_y1</t>
        </is>
      </c>
      <c r="B6" s="90" t="inlineStr">
        <is>
          <t>Year 1 Revenue Growth Rate (%)</t>
        </is>
      </c>
      <c r="C6" s="136" t="n">
        <v>0.8</v>
      </c>
      <c r="D6" s="90" t="inlineStr">
        <is>
          <t>0%</t>
        </is>
      </c>
      <c r="E6" s="139" t="inlineStr">
        <is>
          <t>Source: comparable SaaS at seed stage; Bessemer State of Cloud 2024</t>
        </is>
      </c>
    </row>
    <row r="7" ht="21.75" customHeight="1" s="69">
      <c r="A7" s="140" t="inlineStr">
        <is>
          <t>rev_growth_y2</t>
        </is>
      </c>
      <c r="B7" s="87" t="inlineStr">
        <is>
          <t>Year 2 Revenue Growth Rate (%)</t>
        </is>
      </c>
      <c r="C7" s="136" t="n">
        <v>1.2</v>
      </c>
      <c r="D7" s="87" t="inlineStr">
        <is>
          <t>0%</t>
        </is>
      </c>
      <c r="E7" s="139" t="inlineStr">
        <is>
          <t>Source: assumes sales motion established; benchmark 100–150% for PMF stage</t>
        </is>
      </c>
    </row>
    <row r="8" ht="15" customHeight="1" s="69">
      <c r="A8" s="138" t="inlineStr">
        <is>
          <t>acv</t>
        </is>
      </c>
      <c r="B8" s="90" t="inlineStr">
        <is>
          <t>Average Contract Value (£/yr)</t>
        </is>
      </c>
      <c r="C8" s="100" t="n">
        <v>6000</v>
      </c>
      <c r="D8" s="90" t="inlineStr">
        <is>
          <t>£#,##0</t>
        </is>
      </c>
      <c r="E8" s="139" t="inlineStr">
        <is>
          <t>Source: pricing research with 12 prospect conversations; WTP median</t>
        </is>
      </c>
    </row>
    <row r="9" ht="15" customHeight="1" s="69">
      <c r="A9" s="140" t="inlineStr">
        <is>
          <t>monthly_churn</t>
        </is>
      </c>
      <c r="B9" s="87" t="inlineStr">
        <is>
          <t>Monthly Churn Rate (%)</t>
        </is>
      </c>
      <c r="C9" s="102" t="n">
        <v>0.015</v>
      </c>
      <c r="D9" s="87" t="inlineStr">
        <is>
          <t>0.0%</t>
        </is>
      </c>
      <c r="E9" s="139" t="inlineStr">
        <is>
          <t>Source: comparable B2B SaaS benchmark; Bessemer 1.0–2.0% monthly</t>
        </is>
      </c>
    </row>
    <row r="10" ht="21.75" customHeight="1" s="69">
      <c r="A10" s="138" t="inlineStr">
        <is>
          <t>nrr</t>
        </is>
      </c>
      <c r="B10" s="90" t="inlineStr">
        <is>
          <t>Net Revenue Retention (%)</t>
        </is>
      </c>
      <c r="C10" s="102" t="n">
        <v>0.105</v>
      </c>
      <c r="D10" s="90" t="inlineStr">
        <is>
          <t>0.0%</t>
        </is>
      </c>
      <c r="E10" s="139" t="inlineStr">
        <is>
          <t>Source: expansion target based on upsell roadmap; benchmark &gt;100% at Series A</t>
        </is>
      </c>
    </row>
    <row r="12" ht="15" customHeight="1" s="69">
      <c r="A12" s="137" t="inlineStr">
        <is>
          <t>CAC &amp; Growth</t>
        </is>
      </c>
    </row>
    <row r="13" ht="15" customHeight="1" s="69">
      <c r="A13" s="71" t="inlineStr">
        <is>
          <t>Named Range</t>
        </is>
      </c>
      <c r="B13" s="71" t="inlineStr">
        <is>
          <t>Label</t>
        </is>
      </c>
      <c r="C13" s="71" t="inlineStr">
        <is>
          <t>Value</t>
        </is>
      </c>
      <c r="D13" s="71" t="inlineStr">
        <is>
          <t>Format</t>
        </is>
      </c>
      <c r="E13" s="71" t="inlineStr">
        <is>
          <t>Source / Research Basis</t>
        </is>
      </c>
    </row>
    <row r="14" ht="15" customHeight="1" s="69">
      <c r="A14" s="138" t="inlineStr">
        <is>
          <t>cac_blended</t>
        </is>
      </c>
      <c r="B14" s="90" t="inlineStr">
        <is>
          <t>Blended CAC (£)</t>
        </is>
      </c>
      <c r="C14" s="100" t="n">
        <v>420</v>
      </c>
      <c r="D14" s="90" t="inlineStr">
        <is>
          <t>£#,##0</t>
        </is>
      </c>
      <c r="E14" s="139" t="inlineStr">
        <is>
          <t>Source: last 90 days paid + outbound; will update monthly</t>
        </is>
      </c>
    </row>
    <row r="15" ht="15" customHeight="1" s="69">
      <c r="A15" s="140" t="inlineStr">
        <is>
          <t>cac_paid</t>
        </is>
      </c>
      <c r="B15" s="87" t="inlineStr">
        <is>
          <t>Paid Channel CAC (£)</t>
        </is>
      </c>
      <c r="C15" s="100" t="n">
        <v>600</v>
      </c>
      <c r="D15" s="87" t="inlineStr">
        <is>
          <t>£#,##0</t>
        </is>
      </c>
      <c r="E15" s="139" t="inlineStr">
        <is>
          <t>Source: LinkedIn + Google paid; last 60 days</t>
        </is>
      </c>
    </row>
    <row r="16" ht="15" customHeight="1" s="69">
      <c r="A16" s="138" t="inlineStr">
        <is>
          <t>cac_organic</t>
        </is>
      </c>
      <c r="B16" s="90" t="inlineStr">
        <is>
          <t>Organic Channel CAC (£)</t>
        </is>
      </c>
      <c r="C16" s="100" t="n">
        <v>180</v>
      </c>
      <c r="D16" s="90" t="inlineStr">
        <is>
          <t>£#,##0</t>
        </is>
      </c>
      <c r="E16" s="139" t="inlineStr">
        <is>
          <t>Source: content + SEO attributed leads; last 60 days</t>
        </is>
      </c>
    </row>
    <row r="17" ht="15" customHeight="1" s="69">
      <c r="A17" s="140" t="inlineStr">
        <is>
          <t>sales_cycle_days</t>
        </is>
      </c>
      <c r="B17" s="87" t="inlineStr">
        <is>
          <t>Average Sales Cycle (days)</t>
        </is>
      </c>
      <c r="C17" s="103" t="n">
        <v>45</v>
      </c>
      <c r="D17" s="87" t="inlineStr">
        <is>
          <t>0</t>
        </is>
      </c>
      <c r="E17" s="139" t="inlineStr">
        <is>
          <t>Source: 20 closed deals analysis; enterprise skews 60–90 days</t>
        </is>
      </c>
    </row>
    <row r="19" ht="15" customHeight="1" s="69">
      <c r="A19" s="137" t="inlineStr">
        <is>
          <t>Gross Margin</t>
        </is>
      </c>
    </row>
    <row r="20" ht="15" customHeight="1" s="69">
      <c r="A20" s="71" t="inlineStr">
        <is>
          <t>Named Range</t>
        </is>
      </c>
      <c r="B20" s="71" t="inlineStr">
        <is>
          <t>Label</t>
        </is>
      </c>
      <c r="C20" s="71" t="inlineStr">
        <is>
          <t>Value</t>
        </is>
      </c>
      <c r="D20" s="71" t="inlineStr">
        <is>
          <t>Format</t>
        </is>
      </c>
      <c r="E20" s="71" t="inlineStr">
        <is>
          <t>Source / Research Basis</t>
        </is>
      </c>
    </row>
    <row r="21" ht="21.75" customHeight="1" s="69">
      <c r="A21" s="138" t="inlineStr">
        <is>
          <t>gross_margin</t>
        </is>
      </c>
      <c r="B21" s="90" t="inlineStr">
        <is>
          <t>Gross Margin Target (%)</t>
        </is>
      </c>
      <c r="C21" s="102" t="n">
        <v>0.72</v>
      </c>
      <c r="D21" s="90" t="inlineStr">
        <is>
          <t>0.0%</t>
        </is>
      </c>
      <c r="E21" s="139" t="inlineStr">
        <is>
          <t>Source: SaaS benchmark 70–85%; current actual 68%, improving with scale</t>
        </is>
      </c>
    </row>
    <row r="22" ht="15" customHeight="1" s="69">
      <c r="A22" s="140" t="inlineStr">
        <is>
          <t>hosting_pct_rev</t>
        </is>
      </c>
      <c r="B22" s="87" t="inlineStr">
        <is>
          <t>Hosting as % of Revenue</t>
        </is>
      </c>
      <c r="C22" s="102" t="n">
        <v>0.06</v>
      </c>
      <c r="D22" s="87" t="inlineStr">
        <is>
          <t>0.0%</t>
        </is>
      </c>
      <c r="E22" s="139" t="inlineStr">
        <is>
          <t>Source: AWS bill last 3 months; scales at 0.8× revenue growth</t>
        </is>
      </c>
    </row>
    <row r="23" ht="15" customHeight="1" s="69">
      <c r="A23" s="138" t="inlineStr">
        <is>
          <t>cs_cogs_pct</t>
        </is>
      </c>
      <c r="B23" s="90" t="inlineStr">
        <is>
          <t>Customer Success in COGS (%)</t>
        </is>
      </c>
      <c r="C23" s="136" t="n">
        <v>0.4</v>
      </c>
      <c r="D23" s="90" t="inlineStr">
        <is>
          <t>0%</t>
        </is>
      </c>
      <c r="E23" s="139" t="inlineStr">
        <is>
          <t>Source: 40% of CS time is delivery; 60% is expansion (OpEx)</t>
        </is>
      </c>
    </row>
    <row r="25" ht="15" customHeight="1" s="69">
      <c r="A25" s="137" t="inlineStr">
        <is>
          <t>Headcount</t>
        </is>
      </c>
    </row>
    <row r="26" ht="15" customHeight="1" s="69">
      <c r="A26" s="71" t="inlineStr">
        <is>
          <t>Named Range</t>
        </is>
      </c>
      <c r="B26" s="71" t="inlineStr">
        <is>
          <t>Label</t>
        </is>
      </c>
      <c r="C26" s="71" t="inlineStr">
        <is>
          <t>Value</t>
        </is>
      </c>
      <c r="D26" s="71" t="inlineStr">
        <is>
          <t>Format</t>
        </is>
      </c>
      <c r="E26" s="71" t="inlineStr">
        <is>
          <t>Source / Research Basis</t>
        </is>
      </c>
    </row>
    <row r="27" ht="15" customHeight="1" s="69">
      <c r="A27" s="138" t="inlineStr">
        <is>
          <t>eng_salary</t>
        </is>
      </c>
      <c r="B27" s="90" t="inlineStr">
        <is>
          <t>Avg Engineer Salary (£)</t>
        </is>
      </c>
      <c r="C27" s="100" t="n">
        <v>75000</v>
      </c>
      <c r="D27" s="90" t="inlineStr">
        <is>
          <t>£#,##0</t>
        </is>
      </c>
      <c r="E27" s="139" t="inlineStr">
        <is>
          <t>Source: Levels.fyi UK 2024; mid-senior band</t>
        </is>
      </c>
    </row>
    <row r="28" ht="15" customHeight="1" s="69">
      <c r="A28" s="140" t="inlineStr">
        <is>
          <t>sales_salary</t>
        </is>
      </c>
      <c r="B28" s="87" t="inlineStr">
        <is>
          <t>Avg Sales AE Salary (£)</t>
        </is>
      </c>
      <c r="C28" s="100" t="n">
        <v>55000</v>
      </c>
      <c r="D28" s="87" t="inlineStr">
        <is>
          <t>£#,##0</t>
        </is>
      </c>
      <c r="E28" s="139" t="inlineStr">
        <is>
          <t>Source: Glassdoor UK SaaS AE 2024; base only</t>
        </is>
      </c>
    </row>
    <row r="29" ht="15" customHeight="1" s="69">
      <c r="A29" s="138" t="inlineStr">
        <is>
          <t>employer_overhead</t>
        </is>
      </c>
      <c r="B29" s="90" t="inlineStr">
        <is>
          <t>Employer Overhead (% of salary)</t>
        </is>
      </c>
      <c r="C29" s="136" t="n">
        <v>0.14</v>
      </c>
      <c r="D29" s="90" t="inlineStr">
        <is>
          <t>0%</t>
        </is>
      </c>
      <c r="E29" s="139" t="inlineStr">
        <is>
          <t>Source: UK NIC + pension; 13.8% NIC + 0.5–3% pension</t>
        </is>
      </c>
    </row>
    <row r="30" ht="15" customHeight="1" s="69">
      <c r="A30" s="140" t="inlineStr">
        <is>
          <t>hire_ramp_months</t>
        </is>
      </c>
      <c r="B30" s="87" t="inlineStr">
        <is>
          <t>Hire Productivity Ramp (months)</t>
        </is>
      </c>
      <c r="C30" s="103" t="n">
        <v>3</v>
      </c>
      <c r="D30" s="87" t="inlineStr">
        <is>
          <t>0</t>
        </is>
      </c>
      <c r="E30" s="139" t="inlineStr">
        <is>
          <t>Source: standard assumption; engineering 3–4mo, sales 4–6mo</t>
        </is>
      </c>
    </row>
    <row r="32" ht="15" customHeight="1" s="69">
      <c r="A32" s="137" t="inlineStr">
        <is>
          <t>Cash &amp; Funding</t>
        </is>
      </c>
    </row>
    <row r="33" ht="15" customHeight="1" s="69">
      <c r="A33" s="71" t="inlineStr">
        <is>
          <t>Named Range</t>
        </is>
      </c>
      <c r="B33" s="71" t="inlineStr">
        <is>
          <t>Label</t>
        </is>
      </c>
      <c r="C33" s="71" t="inlineStr">
        <is>
          <t>Value</t>
        </is>
      </c>
      <c r="D33" s="71" t="inlineStr">
        <is>
          <t>Format</t>
        </is>
      </c>
      <c r="E33" s="71" t="inlineStr">
        <is>
          <t>Source / Research Basis</t>
        </is>
      </c>
    </row>
    <row r="34" ht="15" customHeight="1" s="69">
      <c r="A34" s="138" t="inlineStr">
        <is>
          <t>target_raise</t>
        </is>
      </c>
      <c r="B34" s="90" t="inlineStr">
        <is>
          <t>Target Raise Amount (£)</t>
        </is>
      </c>
      <c r="C34" s="100" t="n">
        <v>1500000</v>
      </c>
      <c r="D34" s="90" t="inlineStr">
        <is>
          <t>£#,##0</t>
        </is>
      </c>
      <c r="E34" s="139" t="inlineStr">
        <is>
          <t>Source: 18 months runway at base burn + milestone capital</t>
        </is>
      </c>
    </row>
    <row r="35" ht="15" customHeight="1" s="69">
      <c r="A35" s="140" t="inlineStr">
        <is>
          <t>pre_money</t>
        </is>
      </c>
      <c r="B35" s="87" t="inlineStr">
        <is>
          <t>Target Pre-Money Valuation (£)</t>
        </is>
      </c>
      <c r="C35" s="100" t="n">
        <v>6000000</v>
      </c>
      <c r="D35" s="87" t="inlineStr">
        <is>
          <t>£#,##0</t>
        </is>
      </c>
      <c r="E35" s="139" t="inlineStr">
        <is>
          <t>Source: ARR multiple method + comp transactions</t>
        </is>
      </c>
    </row>
    <row r="36" ht="15" customHeight="1" s="69">
      <c r="A36" s="138" t="inlineStr">
        <is>
          <t>safety_runway_mo</t>
        </is>
      </c>
      <c r="B36" s="90" t="inlineStr">
        <is>
          <t>Minimum Runway Safety Buffer (months)</t>
        </is>
      </c>
      <c r="C36" s="103" t="n">
        <v>6</v>
      </c>
      <c r="D36" s="90" t="inlineStr">
        <is>
          <t>0</t>
        </is>
      </c>
      <c r="E36" s="139" t="inlineStr">
        <is>
          <t>Source: Article 003; raise with 6–9 months minimum</t>
        </is>
      </c>
    </row>
  </sheetData>
  <mergeCells count="7">
    <mergeCell ref="A2:F2"/>
    <mergeCell ref="A19:F19"/>
    <mergeCell ref="A1:F1"/>
    <mergeCell ref="A32:F32"/>
    <mergeCell ref="A12:F12"/>
    <mergeCell ref="A4:F4"/>
    <mergeCell ref="A25:F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1F6B4F"/>
    <outlinePr summaryBelow="1" summaryRight="1"/>
    <pageSetUpPr fitToPage="0"/>
  </sheetPr>
  <dimension ref="A1:L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68" min="1" max="1"/>
    <col width="14" customWidth="1" style="68" min="2" max="2"/>
    <col width="8" customWidth="1" style="68" min="3" max="3"/>
    <col width="14" customWidth="1" style="68" min="4" max="4"/>
    <col width="10" customWidth="1" style="68" min="5" max="5"/>
    <col width="14" customWidth="1" style="68" min="6" max="7"/>
    <col width="12" customWidth="1" style="68" min="8" max="8"/>
    <col width="14" customWidth="1" style="68" min="9" max="9"/>
    <col width="18" customWidth="1" style="68" min="10" max="10"/>
    <col width="28" customWidth="1" style="68" min="11" max="11"/>
    <col width="14" customWidth="1" style="68" min="12" max="12"/>
  </cols>
  <sheetData>
    <row r="1" ht="30" customHeight="1" s="69">
      <c r="A1" s="131" t="inlineStr">
        <is>
          <t>Exercise 025 – Headcount Plan</t>
        </is>
      </c>
    </row>
    <row r="2" ht="15" customHeight="1" s="69">
      <c r="A2" s="83" t="inlineStr">
        <is>
          <t>One row per hire. Fully loaded cost = salary × (1 + overhead %). Ramp reduces effective cost.</t>
        </is>
      </c>
    </row>
    <row r="4" ht="15" customHeight="1" s="69">
      <c r="A4" s="84" t="inlineStr">
        <is>
          <t>Headcount Assumptions (link to E024)</t>
        </is>
      </c>
      <c r="B4" s="85" t="n"/>
      <c r="C4" s="85" t="n"/>
      <c r="D4" s="79" t="n"/>
      <c r="E4" s="86" t="n"/>
      <c r="F4" s="86" t="n"/>
      <c r="G4" s="86" t="n"/>
      <c r="H4" s="86" t="n"/>
      <c r="I4" s="86" t="n"/>
      <c r="J4" s="86" t="n"/>
      <c r="K4" s="86" t="n"/>
      <c r="L4" s="86" t="n"/>
    </row>
    <row r="5" ht="23.25" customHeight="1" s="69">
      <c r="A5" s="87" t="inlineStr">
        <is>
          <t>Employer Overhead Rate (%)</t>
        </is>
      </c>
      <c r="B5" s="136" t="n">
        <v>0.14</v>
      </c>
      <c r="C5" s="101" t="inlineStr">
        <is>
          <t>Source: UK NIC + pension; update for each hire's country</t>
        </is>
      </c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</row>
    <row r="6" ht="15" customHeight="1" s="69">
      <c r="A6" s="86" t="n"/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</row>
    <row r="7" ht="15" customHeight="1" s="69">
      <c r="A7" s="84" t="inlineStr">
        <is>
          <t>Hire-by-Hire Plan</t>
        </is>
      </c>
      <c r="B7" s="85" t="n"/>
      <c r="C7" s="85" t="n"/>
      <c r="D7" s="85" t="n"/>
      <c r="E7" s="85" t="n"/>
      <c r="F7" s="85" t="n"/>
      <c r="G7" s="85" t="n"/>
      <c r="H7" s="85" t="n"/>
      <c r="I7" s="85" t="n"/>
      <c r="J7" s="85" t="n"/>
      <c r="K7" s="85" t="n"/>
      <c r="L7" s="79" t="n"/>
    </row>
    <row r="8" ht="51.75" customHeight="1" s="69">
      <c r="A8" s="112" t="inlineStr">
        <is>
          <t>Role</t>
        </is>
      </c>
      <c r="B8" s="112" t="inlineStr">
        <is>
          <t>Dept</t>
        </is>
      </c>
      <c r="C8" s="112" t="inlineStr">
        <is>
          <t>Start
Month</t>
        </is>
      </c>
      <c r="D8" s="112" t="inlineStr">
        <is>
          <t>Base Salary
(£/yr)</t>
        </is>
      </c>
      <c r="E8" s="112" t="inlineStr">
        <is>
          <t>Overhead
(%)</t>
        </is>
      </c>
      <c r="F8" s="112" t="inlineStr">
        <is>
          <t>Fully Loaded
(£/yr)</t>
        </is>
      </c>
      <c r="G8" s="112" t="inlineStr">
        <is>
          <t>Fully Loaded
(£/mo)</t>
        </is>
      </c>
      <c r="H8" s="112" t="inlineStr">
        <is>
          <t>Productivity
Ramp (mo)</t>
        </is>
      </c>
      <c r="I8" s="112" t="inlineStr">
        <is>
          <t>Month 1
Cost (£)</t>
        </is>
      </c>
      <c r="J8" s="112" t="inlineStr">
        <is>
          <t>Steady State
Cost (£/mo)</t>
        </is>
      </c>
      <c r="K8" s="112" t="inlineStr">
        <is>
          <t>Business
Justification</t>
        </is>
      </c>
      <c r="L8" s="112" t="inlineStr">
        <is>
          <t>Status</t>
        </is>
      </c>
    </row>
    <row r="9" ht="15" customHeight="1" s="69">
      <c r="A9" s="109" t="inlineStr">
        <is>
          <t>CTO / Head of Eng</t>
        </is>
      </c>
      <c r="B9" s="109" t="inlineStr">
        <is>
          <t>Engineering</t>
        </is>
      </c>
      <c r="C9" s="103" t="n">
        <v>1</v>
      </c>
      <c r="D9" s="100" t="n">
        <v>120000</v>
      </c>
      <c r="E9" s="141">
        <f>$B$5</f>
        <v/>
      </c>
      <c r="F9" s="104">
        <f>D9*(1+E9)</f>
        <v/>
      </c>
      <c r="G9" s="104">
        <f>F9/12</f>
        <v/>
      </c>
      <c r="H9" s="103" t="n">
        <v>3</v>
      </c>
      <c r="I9" s="104">
        <f>G9*(1/4)</f>
        <v/>
      </c>
      <c r="J9" s="104">
        <f>G9</f>
        <v/>
      </c>
      <c r="K9" s="109" t="n"/>
      <c r="L9" s="109" t="inlineStr">
        <is>
          <t>Planned</t>
        </is>
      </c>
    </row>
    <row r="10" ht="15" customHeight="1" s="69">
      <c r="A10" s="109" t="inlineStr">
        <is>
          <t>Senior Engineer</t>
        </is>
      </c>
      <c r="B10" s="109" t="inlineStr">
        <is>
          <t>Engineering</t>
        </is>
      </c>
      <c r="C10" s="103" t="n">
        <v>2</v>
      </c>
      <c r="D10" s="100" t="n">
        <v>80000</v>
      </c>
      <c r="E10" s="141">
        <f>$B$5</f>
        <v/>
      </c>
      <c r="F10" s="104">
        <f>D10*(1+E10)</f>
        <v/>
      </c>
      <c r="G10" s="104">
        <f>F10/12</f>
        <v/>
      </c>
      <c r="H10" s="103" t="n">
        <v>3</v>
      </c>
      <c r="I10" s="104">
        <f>G10*(1/4)</f>
        <v/>
      </c>
      <c r="J10" s="104">
        <f>G10</f>
        <v/>
      </c>
      <c r="K10" s="109" t="n"/>
      <c r="L10" s="109" t="inlineStr">
        <is>
          <t>Planned</t>
        </is>
      </c>
    </row>
    <row r="11" ht="15" customHeight="1" s="69">
      <c r="A11" s="109" t="inlineStr">
        <is>
          <t>Senior Engineer</t>
        </is>
      </c>
      <c r="B11" s="109" t="inlineStr">
        <is>
          <t>Engineering</t>
        </is>
      </c>
      <c r="C11" s="103" t="n">
        <v>5</v>
      </c>
      <c r="D11" s="100" t="n">
        <v>80000</v>
      </c>
      <c r="E11" s="141">
        <f>$B$5</f>
        <v/>
      </c>
      <c r="F11" s="104">
        <f>D11*(1+E11)</f>
        <v/>
      </c>
      <c r="G11" s="104">
        <f>F11/12</f>
        <v/>
      </c>
      <c r="H11" s="103" t="n">
        <v>3</v>
      </c>
      <c r="I11" s="104">
        <f>G11*(1/4)</f>
        <v/>
      </c>
      <c r="J11" s="104">
        <f>G11</f>
        <v/>
      </c>
      <c r="K11" s="109" t="n"/>
      <c r="L11" s="109" t="inlineStr">
        <is>
          <t>Planned</t>
        </is>
      </c>
    </row>
    <row r="12" ht="15" customHeight="1" s="69">
      <c r="A12" s="109" t="inlineStr">
        <is>
          <t>Product Manager</t>
        </is>
      </c>
      <c r="B12" s="109" t="inlineStr">
        <is>
          <t>Product</t>
        </is>
      </c>
      <c r="C12" s="103" t="n">
        <v>3</v>
      </c>
      <c r="D12" s="100" t="n">
        <v>75000</v>
      </c>
      <c r="E12" s="141">
        <f>$B$5</f>
        <v/>
      </c>
      <c r="F12" s="104">
        <f>D12*(1+E12)</f>
        <v/>
      </c>
      <c r="G12" s="104">
        <f>F12/12</f>
        <v/>
      </c>
      <c r="H12" s="103" t="n">
        <v>3</v>
      </c>
      <c r="I12" s="104">
        <f>G12*(1/4)</f>
        <v/>
      </c>
      <c r="J12" s="104">
        <f>G12</f>
        <v/>
      </c>
      <c r="K12" s="109" t="n"/>
      <c r="L12" s="109" t="inlineStr">
        <is>
          <t>Planned</t>
        </is>
      </c>
    </row>
    <row r="13" ht="15" customHeight="1" s="69">
      <c r="A13" s="109" t="inlineStr">
        <is>
          <t>Head of Sales</t>
        </is>
      </c>
      <c r="B13" s="109" t="inlineStr">
        <is>
          <t>Sales</t>
        </is>
      </c>
      <c r="C13" s="103" t="n">
        <v>4</v>
      </c>
      <c r="D13" s="100" t="n">
        <v>90000</v>
      </c>
      <c r="E13" s="141">
        <f>$B$5</f>
        <v/>
      </c>
      <c r="F13" s="104">
        <f>D13*(1+E13)</f>
        <v/>
      </c>
      <c r="G13" s="104">
        <f>F13/12</f>
        <v/>
      </c>
      <c r="H13" s="103" t="n">
        <v>3</v>
      </c>
      <c r="I13" s="104">
        <f>G13*(1/4)</f>
        <v/>
      </c>
      <c r="J13" s="104">
        <f>G13</f>
        <v/>
      </c>
      <c r="K13" s="109" t="n"/>
      <c r="L13" s="109" t="inlineStr">
        <is>
          <t>Planned</t>
        </is>
      </c>
    </row>
    <row r="14" ht="15" customHeight="1" s="69">
      <c r="A14" s="109" t="inlineStr">
        <is>
          <t>Sales AE</t>
        </is>
      </c>
      <c r="B14" s="109" t="inlineStr">
        <is>
          <t>Sales</t>
        </is>
      </c>
      <c r="C14" s="103" t="n">
        <v>7</v>
      </c>
      <c r="D14" s="100" t="n">
        <v>55000</v>
      </c>
      <c r="E14" s="141">
        <f>$B$5</f>
        <v/>
      </c>
      <c r="F14" s="104">
        <f>D14*(1+E14)</f>
        <v/>
      </c>
      <c r="G14" s="104">
        <f>F14/12</f>
        <v/>
      </c>
      <c r="H14" s="103" t="n">
        <v>3</v>
      </c>
      <c r="I14" s="104">
        <f>G14*(1/4)</f>
        <v/>
      </c>
      <c r="J14" s="104">
        <f>G14</f>
        <v/>
      </c>
      <c r="K14" s="109" t="n"/>
      <c r="L14" s="109" t="inlineStr">
        <is>
          <t>Planned</t>
        </is>
      </c>
    </row>
    <row r="15" ht="15" customHeight="1" s="69">
      <c r="A15" s="109" t="inlineStr">
        <is>
          <t>Customer Success Mgr</t>
        </is>
      </c>
      <c r="B15" s="109" t="inlineStr">
        <is>
          <t>CS</t>
        </is>
      </c>
      <c r="C15" s="103" t="n">
        <v>6</v>
      </c>
      <c r="D15" s="100" t="n">
        <v>50000</v>
      </c>
      <c r="E15" s="141">
        <f>$B$5</f>
        <v/>
      </c>
      <c r="F15" s="104">
        <f>D15*(1+E15)</f>
        <v/>
      </c>
      <c r="G15" s="104">
        <f>F15/12</f>
        <v/>
      </c>
      <c r="H15" s="103" t="n">
        <v>3</v>
      </c>
      <c r="I15" s="104">
        <f>G15*(1/4)</f>
        <v/>
      </c>
      <c r="J15" s="104">
        <f>G15</f>
        <v/>
      </c>
      <c r="K15" s="109" t="n"/>
      <c r="L15" s="109" t="inlineStr">
        <is>
          <t>Planned</t>
        </is>
      </c>
    </row>
    <row r="16" ht="15" customHeight="1" s="69">
      <c r="A16" s="109" t="inlineStr">
        <is>
          <t>Marketing Manager</t>
        </is>
      </c>
      <c r="B16" s="109" t="inlineStr">
        <is>
          <t>Marketing</t>
        </is>
      </c>
      <c r="C16" s="103" t="n">
        <v>8</v>
      </c>
      <c r="D16" s="100" t="n">
        <v>55000</v>
      </c>
      <c r="E16" s="141">
        <f>$B$5</f>
        <v/>
      </c>
      <c r="F16" s="104">
        <f>D16*(1+E16)</f>
        <v/>
      </c>
      <c r="G16" s="104">
        <f>F16/12</f>
        <v/>
      </c>
      <c r="H16" s="103" t="n">
        <v>3</v>
      </c>
      <c r="I16" s="104">
        <f>G16*(1/4)</f>
        <v/>
      </c>
      <c r="J16" s="104">
        <f>G16</f>
        <v/>
      </c>
      <c r="K16" s="109" t="n"/>
      <c r="L16" s="109" t="inlineStr">
        <is>
          <t>Planned</t>
        </is>
      </c>
    </row>
    <row r="17" ht="15" customHeight="1" s="69">
      <c r="A17" s="109" t="inlineStr">
        <is>
          <t>Operations / Finance</t>
        </is>
      </c>
      <c r="B17" s="109" t="inlineStr">
        <is>
          <t>Operations</t>
        </is>
      </c>
      <c r="C17" s="103" t="n">
        <v>9</v>
      </c>
      <c r="D17" s="100" t="n">
        <v>60000</v>
      </c>
      <c r="E17" s="141">
        <f>$B$5</f>
        <v/>
      </c>
      <c r="F17" s="104">
        <f>D17*(1+E17)</f>
        <v/>
      </c>
      <c r="G17" s="104">
        <f>F17/12</f>
        <v/>
      </c>
      <c r="H17" s="103" t="n">
        <v>3</v>
      </c>
      <c r="I17" s="104">
        <f>G17*(1/4)</f>
        <v/>
      </c>
      <c r="J17" s="104">
        <f>G17</f>
        <v/>
      </c>
      <c r="K17" s="109" t="n"/>
      <c r="L17" s="109" t="inlineStr">
        <is>
          <t>Planned</t>
        </is>
      </c>
    </row>
    <row r="18" ht="15" customHeight="1" s="69">
      <c r="A18" s="142" t="inlineStr">
        <is>
          <t>TOTAL FULLY LOADED MONTHLY BURN (steady state)</t>
        </is>
      </c>
      <c r="B18" s="85" t="n"/>
      <c r="C18" s="85" t="n"/>
      <c r="D18" s="85" t="n"/>
      <c r="E18" s="85" t="n"/>
      <c r="F18" s="85" t="n"/>
      <c r="G18" s="85" t="n"/>
      <c r="H18" s="85" t="n"/>
      <c r="I18" s="79" t="n"/>
      <c r="J18" s="104">
        <f>SUM(J9:J17)</f>
        <v/>
      </c>
      <c r="K18" s="86" t="n"/>
      <c r="L18" s="86" t="n"/>
    </row>
    <row r="19" ht="15" customHeight="1" s="69">
      <c r="A19" s="86" t="n"/>
      <c r="B19" s="86" t="n"/>
      <c r="C19" s="86" t="n"/>
      <c r="D19" s="86" t="n"/>
      <c r="E19" s="86" t="n"/>
      <c r="F19" s="86" t="n"/>
      <c r="G19" s="86" t="n"/>
      <c r="H19" s="86" t="n"/>
      <c r="I19" s="86" t="n"/>
      <c r="J19" s="86" t="n"/>
      <c r="K19" s="86" t="n"/>
      <c r="L19" s="86" t="n"/>
    </row>
    <row r="20" ht="15" customHeight="1" s="69">
      <c r="A20" s="84" t="inlineStr">
        <is>
          <t>Headcount by Department</t>
        </is>
      </c>
      <c r="B20" s="85" t="n"/>
      <c r="C20" s="79" t="n"/>
      <c r="D20" s="86" t="n"/>
      <c r="E20" s="86" t="n"/>
      <c r="F20" s="86" t="n"/>
      <c r="G20" s="86" t="n"/>
      <c r="H20" s="86" t="n"/>
      <c r="I20" s="86" t="n"/>
      <c r="J20" s="86" t="n"/>
      <c r="K20" s="86" t="n"/>
      <c r="L20" s="86" t="n"/>
    </row>
    <row r="21" ht="15" customHeight="1" s="69">
      <c r="A21" s="87" t="inlineStr">
        <is>
          <t>Engineering</t>
        </is>
      </c>
      <c r="B21" s="107">
        <f>COUNTIF(B9:B17,"Engineering")</f>
        <v/>
      </c>
      <c r="C21" s="104">
        <f>SUMIF(B9:B17,"Engineering",J9:J17)</f>
        <v/>
      </c>
      <c r="D21" s="86" t="n"/>
      <c r="E21" s="86" t="n"/>
      <c r="F21" s="86" t="n"/>
      <c r="G21" s="86" t="n"/>
      <c r="H21" s="86" t="n"/>
      <c r="I21" s="86" t="n"/>
      <c r="J21" s="86" t="n"/>
      <c r="K21" s="86" t="n"/>
      <c r="L21" s="86" t="n"/>
    </row>
    <row r="22" ht="15" customHeight="1" s="69">
      <c r="A22" s="90" t="inlineStr">
        <is>
          <t>Product</t>
        </is>
      </c>
      <c r="B22" s="107">
        <f>COUNTIF(B9:B17,"Product")</f>
        <v/>
      </c>
      <c r="C22" s="104">
        <f>SUMIF(B9:B17,"Product",J9:J17)</f>
        <v/>
      </c>
      <c r="D22" s="86" t="n"/>
      <c r="E22" s="86" t="n"/>
      <c r="F22" s="86" t="n"/>
      <c r="G22" s="86" t="n"/>
      <c r="H22" s="86" t="n"/>
      <c r="I22" s="86" t="n"/>
      <c r="J22" s="86" t="n"/>
      <c r="K22" s="86" t="n"/>
      <c r="L22" s="86" t="n"/>
    </row>
    <row r="23" ht="15" customHeight="1" s="69">
      <c r="A23" s="87" t="inlineStr">
        <is>
          <t>Sales</t>
        </is>
      </c>
      <c r="B23" s="107">
        <f>COUNTIF(B9:B17,"Sales")</f>
        <v/>
      </c>
      <c r="C23" s="104">
        <f>SUMIF(B9:B17,"Sales",J9:J17)</f>
        <v/>
      </c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</row>
    <row r="24" ht="15" customHeight="1" s="69">
      <c r="A24" s="90" t="inlineStr">
        <is>
          <t>CS</t>
        </is>
      </c>
      <c r="B24" s="107">
        <f>COUNTIF(B9:B17,"CS")</f>
        <v/>
      </c>
      <c r="C24" s="104">
        <f>SUMIF(B9:B17,"CS",J9:J17)</f>
        <v/>
      </c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</row>
    <row r="25" ht="15" customHeight="1" s="69">
      <c r="A25" s="87" t="inlineStr">
        <is>
          <t>Marketing</t>
        </is>
      </c>
      <c r="B25" s="107">
        <f>COUNTIF(B9:B17,"Marketing")</f>
        <v/>
      </c>
      <c r="C25" s="104">
        <f>SUMIF(B9:B17,"Marketing",J9:J17)</f>
        <v/>
      </c>
      <c r="D25" s="86" t="n"/>
      <c r="E25" s="86" t="n"/>
      <c r="F25" s="86" t="n"/>
      <c r="G25" s="86" t="n"/>
      <c r="H25" s="86" t="n"/>
      <c r="I25" s="86" t="n"/>
      <c r="J25" s="86" t="n"/>
      <c r="K25" s="86" t="n"/>
      <c r="L25" s="86" t="n"/>
    </row>
    <row r="26" ht="15" customHeight="1" s="69">
      <c r="A26" s="90" t="inlineStr">
        <is>
          <t>Operations</t>
        </is>
      </c>
      <c r="B26" s="107">
        <f>COUNTIF(B9:B17,"Operations")</f>
        <v/>
      </c>
      <c r="C26" s="104">
        <f>SUMIF(B9:B17,"Operations",J9:J17)</f>
        <v/>
      </c>
      <c r="D26" s="86" t="n"/>
      <c r="E26" s="86" t="n"/>
      <c r="F26" s="86" t="n"/>
      <c r="G26" s="86" t="n"/>
      <c r="H26" s="86" t="n"/>
      <c r="I26" s="86" t="n"/>
      <c r="J26" s="86" t="n"/>
      <c r="K26" s="86" t="n"/>
      <c r="L26" s="86" t="n"/>
    </row>
    <row r="27" ht="15" customHeight="1" s="69">
      <c r="A27" s="86" t="n"/>
      <c r="B27" s="86" t="n"/>
      <c r="C27" s="86" t="n"/>
      <c r="D27" s="86" t="n"/>
      <c r="E27" s="86" t="n"/>
      <c r="F27" s="86" t="n"/>
      <c r="G27" s="86" t="n"/>
      <c r="H27" s="86" t="n"/>
      <c r="I27" s="86" t="n"/>
      <c r="J27" s="86" t="n"/>
      <c r="K27" s="86" t="n"/>
      <c r="L27" s="86" t="n"/>
    </row>
  </sheetData>
  <mergeCells count="6">
    <mergeCell ref="A2:L2"/>
    <mergeCell ref="A7:L7"/>
    <mergeCell ref="A4:D4"/>
    <mergeCell ref="A1:L1"/>
    <mergeCell ref="A18:I18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2026-03-08T22:17:27Z</dcterms:created>
  <dcterms:modified xmlns:dcterms="http://purl.org/dc/terms/" xmlns:xsi="http://www.w3.org/2001/XMLSchema-instance" xsi:type="dcterms:W3CDTF">2026-03-08T22:38:45Z</dcterms:modified>
  <cp:revision>0</cp:revision>
</cp:coreProperties>
</file>