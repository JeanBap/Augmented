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" sheetId="3" state="visible" r:id="rId5"/>
    <sheet name="HEADCOUNT" sheetId="4" state="visible" r:id="rId6"/>
    <sheet name="P&amp;L" sheetId="5" state="visible" r:id="rId7"/>
    <sheet name="CASH FLOW" sheetId="6" state="visible" r:id="rId8"/>
    <sheet name="BALANCE SHEET" sheetId="7" state="visible" r:id="rId9"/>
    <sheet name="UNIT ECONOMICS" sheetId="8" state="visible" r:id="rId10"/>
    <sheet name="KPI DASHBOARD" sheetId="9" state="visible" r:id="rId11"/>
    <sheet name="SENSITIVI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<sst xmlns="http://schemas.openxmlformats.org/spreadsheetml/2006/main" count="536" uniqueCount="269">
  <si>
    <t xml:space="preserve">Raise Ready</t>
  </si>
  <si>
    <t xml:space="preserve">Series A Financial Model — Popular</t>
  </si>
  <si>
    <t xml:space="preserve">Includes: Marketplace + SaaS revenue, departmental headcount, unit economics, sensitivity analysis, balance sheet, KPI dashboard. 36-month horizon.</t>
  </si>
  <si>
    <t xml:space="preserve">ASSUMPTIONS</t>
  </si>
  <si>
    <t xml:space="preserve">All model inputs, 3 scenarios, CAC channels</t>
  </si>
  <si>
    <t xml:space="preserve">REVENUE</t>
  </si>
  <si>
    <t xml:space="preserve">Marketplace + SaaS dual-revenue model</t>
  </si>
  <si>
    <t xml:space="preserve">HEADCOUNT</t>
  </si>
  <si>
    <t xml:space="preserve">Departmental: Engineering, Product, Sales, Marketing, CS, G&amp;A</t>
  </si>
  <si>
    <t xml:space="preserve">P&amp;L</t>
  </si>
  <si>
    <t xml:space="preserve">Full profit &amp; loss</t>
  </si>
  <si>
    <t xml:space="preserve">CASH FLOW</t>
  </si>
  <si>
    <t xml:space="preserve">Cash flow + runway</t>
  </si>
  <si>
    <t xml:space="preserve">BALANCE SHEET</t>
  </si>
  <si>
    <t xml:space="preserve">Assets, liabilities, equity, balance check</t>
  </si>
  <si>
    <t xml:space="preserve">UNIT ECONOMICS</t>
  </si>
  <si>
    <t xml:space="preserve">CAC, LTV, LTV:CAC, payback by segment</t>
  </si>
  <si>
    <t xml:space="preserve">SENSITIVITY</t>
  </si>
  <si>
    <t xml:space="preserve">What-if analysis on key drivers</t>
  </si>
  <si>
    <t xml:space="preserve">KPI DASHBOARD</t>
  </si>
  <si>
    <t xml:space="preserve">Year-end summary metrics</t>
  </si>
  <si>
    <t xml:space="preserve">ASSUMPTIONS — Series A Model</t>
  </si>
  <si>
    <t xml:space="preserve">Yellow = inputs (blue text). Scenarios: Conservative / Base / Aggressive.</t>
  </si>
  <si>
    <t xml:space="preserve">SECTION 1 — COMPANY</t>
  </si>
  <si>
    <t xml:space="preserve">Company Name</t>
  </si>
  <si>
    <t xml:space="preserve">SeriesA Co</t>
  </si>
  <si>
    <t xml:space="preserve">Currency</t>
  </si>
  <si>
    <t xml:space="preserve">$</t>
  </si>
  <si>
    <t xml:space="preserve">Model Start</t>
  </si>
  <si>
    <t xml:space="preserve">Jan 2025</t>
  </si>
  <si>
    <t xml:space="preserve">SCENARIO SELECTOR</t>
  </si>
  <si>
    <t xml:space="preserve">Active Scenario (1/2/3)</t>
  </si>
  <si>
    <t xml:space="preserve">SECTION 2 — MARKETPLACE REVENUE</t>
  </si>
  <si>
    <t xml:space="preserve">Conservative</t>
  </si>
  <si>
    <t xml:space="preserve">Base</t>
  </si>
  <si>
    <t xml:space="preserve">Aggressive</t>
  </si>
  <si>
    <t xml:space="preserve">Starting Buyers</t>
  </si>
  <si>
    <t xml:space="preserve">New Buyers/Mo</t>
  </si>
  <si>
    <t xml:space="preserve">Buyer Growth MoM</t>
  </si>
  <si>
    <t xml:space="preserve">Buyer Churn</t>
  </si>
  <si>
    <t xml:space="preserve">Starting Sellers</t>
  </si>
  <si>
    <t xml:space="preserve">New Sellers/Mo</t>
  </si>
  <si>
    <t xml:space="preserve">Seller Growth MoM</t>
  </si>
  <si>
    <t xml:space="preserve">Seller Churn</t>
  </si>
  <si>
    <t xml:space="preserve">Avg Transactions/Buyer/Mo</t>
  </si>
  <si>
    <t xml:space="preserve">Avg Transaction Value ($)</t>
  </si>
  <si>
    <t xml:space="preserve">Take Rate %</t>
  </si>
  <si>
    <t xml:space="preserve">Seller Subscription ($/Mo)</t>
  </si>
  <si>
    <t xml:space="preserve">  Active Marketplace Values</t>
  </si>
  <si>
    <t xml:space="preserve">  → Starting Buyers</t>
  </si>
  <si>
    <t xml:space="preserve">  → New Buyers/Mo</t>
  </si>
  <si>
    <t xml:space="preserve">  → Buyer Growth MoM</t>
  </si>
  <si>
    <t xml:space="preserve">  → Buyer Churn</t>
  </si>
  <si>
    <t xml:space="preserve">  → Starting Sellers</t>
  </si>
  <si>
    <t xml:space="preserve">  → New Sellers/Mo</t>
  </si>
  <si>
    <t xml:space="preserve">  → Seller Growth MoM</t>
  </si>
  <si>
    <t xml:space="preserve">  → Seller Churn</t>
  </si>
  <si>
    <t xml:space="preserve">  → Avg Transactions/Buyer/Mo</t>
  </si>
  <si>
    <t xml:space="preserve">  → Avg Transaction Value ($)</t>
  </si>
  <si>
    <t xml:space="preserve">  → Take Rate %</t>
  </si>
  <si>
    <t xml:space="preserve">  → Seller Subscription ($/Mo)</t>
  </si>
  <si>
    <t xml:space="preserve">SECTION 3 — SAAS SUBSCRIPTION REVENUE</t>
  </si>
  <si>
    <t xml:space="preserve">Starting SaaS Subscribers</t>
  </si>
  <si>
    <t xml:space="preserve">New SaaS Subs/Mo</t>
  </si>
  <si>
    <t xml:space="preserve">SaaS Sub Growth MoM</t>
  </si>
  <si>
    <t xml:space="preserve">SaaS Monthly Churn</t>
  </si>
  <si>
    <t xml:space="preserve">SaaS ARPU ($/Mo)</t>
  </si>
  <si>
    <t xml:space="preserve">  Active SaaS Values</t>
  </si>
  <si>
    <t xml:space="preserve">  → Starting SaaS Subscribers</t>
  </si>
  <si>
    <t xml:space="preserve">  → New SaaS Subs/Mo</t>
  </si>
  <si>
    <t xml:space="preserve">  → SaaS Sub Growth MoM</t>
  </si>
  <si>
    <t xml:space="preserve">  → SaaS Monthly Churn</t>
  </si>
  <si>
    <t xml:space="preserve">  → SaaS ARPU ($/Mo)</t>
  </si>
  <si>
    <t xml:space="preserve">SECTION 4 — UNIT ECONOMICS</t>
  </si>
  <si>
    <t xml:space="preserve">Blended CAC ($)</t>
  </si>
  <si>
    <t xml:space="preserve">Cost to acquire one customer</t>
  </si>
  <si>
    <t xml:space="preserve">SaaS Gross Margin %</t>
  </si>
  <si>
    <t xml:space="preserve">Marketplace Gross Margin %</t>
  </si>
  <si>
    <t xml:space="preserve">SECTION 5 — COGS</t>
  </si>
  <si>
    <t xml:space="preserve">Hosting/User ($)</t>
  </si>
  <si>
    <t xml:space="preserve">Payment Processing (%)</t>
  </si>
  <si>
    <t xml:space="preserve">Support/User ($)</t>
  </si>
  <si>
    <t xml:space="preserve">SECTION 6 — HEADCOUNT PLAN</t>
  </si>
  <si>
    <t xml:space="preserve">Role</t>
  </si>
  <si>
    <t xml:space="preserve">Start Mo</t>
  </si>
  <si>
    <t xml:space="preserve">Salary ($)</t>
  </si>
  <si>
    <t xml:space="preserve">  ENGINEERING</t>
  </si>
  <si>
    <t xml:space="preserve">    CTO</t>
  </si>
  <si>
    <t xml:space="preserve">CTO</t>
  </si>
  <si>
    <t xml:space="preserve">    Sr Eng</t>
  </si>
  <si>
    <t xml:space="preserve">Sr Eng</t>
  </si>
  <si>
    <t xml:space="preserve">    Eng #2</t>
  </si>
  <si>
    <t xml:space="preserve">Eng #2</t>
  </si>
  <si>
    <t xml:space="preserve">    Eng #3</t>
  </si>
  <si>
    <t xml:space="preserve">Eng #3</t>
  </si>
  <si>
    <t xml:space="preserve">    Eng #4</t>
  </si>
  <si>
    <t xml:space="preserve">Eng #4</t>
  </si>
  <si>
    <t xml:space="preserve">    Eng #5</t>
  </si>
  <si>
    <t xml:space="preserve">Eng #5</t>
  </si>
  <si>
    <t xml:space="preserve">  PRODUCT</t>
  </si>
  <si>
    <t xml:space="preserve">    VP Product</t>
  </si>
  <si>
    <t xml:space="preserve">VP Product</t>
  </si>
  <si>
    <t xml:space="preserve">    PM</t>
  </si>
  <si>
    <t xml:space="preserve">PM</t>
  </si>
  <si>
    <t xml:space="preserve">    Designer</t>
  </si>
  <si>
    <t xml:space="preserve">Designer</t>
  </si>
  <si>
    <t xml:space="preserve">  SALES</t>
  </si>
  <si>
    <t xml:space="preserve">    Sales Lead</t>
  </si>
  <si>
    <t xml:space="preserve">Sales Lead</t>
  </si>
  <si>
    <t xml:space="preserve">    AE #1</t>
  </si>
  <si>
    <t xml:space="preserve">AE #1</t>
  </si>
  <si>
    <t xml:space="preserve">    AE #2</t>
  </si>
  <si>
    <t xml:space="preserve">AE #2</t>
  </si>
  <si>
    <t xml:space="preserve">    SDR</t>
  </si>
  <si>
    <t xml:space="preserve">SDR</t>
  </si>
  <si>
    <t xml:space="preserve">  MARKETING</t>
  </si>
  <si>
    <t xml:space="preserve">    Marketing Lead</t>
  </si>
  <si>
    <t xml:space="preserve">Marketing Lead</t>
  </si>
  <si>
    <t xml:space="preserve">    Growth</t>
  </si>
  <si>
    <t xml:space="preserve">Growth</t>
  </si>
  <si>
    <t xml:space="preserve">  CUSTOMER SUCCESS</t>
  </si>
  <si>
    <t xml:space="preserve">    CS Lead</t>
  </si>
  <si>
    <t xml:space="preserve">CS Lead</t>
  </si>
  <si>
    <t xml:space="preserve">    CS #1</t>
  </si>
  <si>
    <t xml:space="preserve">CS #1</t>
  </si>
  <si>
    <t xml:space="preserve">  G&amp;A</t>
  </si>
  <si>
    <t xml:space="preserve">    CEO</t>
  </si>
  <si>
    <t xml:space="preserve">CEO</t>
  </si>
  <si>
    <t xml:space="preserve">    Ops/Finance</t>
  </si>
  <si>
    <t xml:space="preserve">Ops/Finance</t>
  </si>
  <si>
    <t xml:space="preserve">Overhead Multiplier</t>
  </si>
  <si>
    <t xml:space="preserve">SECTION 7 — OPEX</t>
  </si>
  <si>
    <t xml:space="preserve">Marketing (Mo $)</t>
  </si>
  <si>
    <t xml:space="preserve">Mktg Growth MoM</t>
  </si>
  <si>
    <t xml:space="preserve">Software ($)</t>
  </si>
  <si>
    <t xml:space="preserve">Office ($)</t>
  </si>
  <si>
    <t xml:space="preserve">Legal ($)</t>
  </si>
  <si>
    <t xml:space="preserve">Other ($)</t>
  </si>
  <si>
    <t xml:space="preserve">SECTION 8 — CASH &amp; FUNDING</t>
  </si>
  <si>
    <t xml:space="preserve">Starting Cash</t>
  </si>
  <si>
    <t xml:space="preserve">Series A Amount</t>
  </si>
  <si>
    <t xml:space="preserve">Series A Month</t>
  </si>
  <si>
    <t xml:space="preserve">REVENUE — Marketplace + SaaS</t>
  </si>
  <si>
    <t xml:space="preserve">Dual revenue model. All from ASSUMPTIONS.</t>
  </si>
  <si>
    <t xml:space="preserve">  YEAR 1</t>
  </si>
  <si>
    <t xml:space="preserve">  YEAR 2</t>
  </si>
  <si>
    <t xml:space="preserve">  YEAR 3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</si>
  <si>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</si>
  <si>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</si>
  <si>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</si>
  <si>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</si>
  <si>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</si>
  <si>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</si>
  <si>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</si>
  <si>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</si>
  <si>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</si>
  <si>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</si>
  <si>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</si>
  <si>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</si>
  <si>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Y1 Total</t>
  </si>
  <si>
    <t xml:space="preserve">Y2 Total</t>
  </si>
  <si>
    <t xml:space="preserve">Y3 Total</t>
  </si>
  <si>
    <t xml:space="preserve">MARKETPLACE — BUYERS &amp; SELLERS</t>
  </si>
  <si>
    <t xml:space="preserve">  New Buyers</t>
  </si>
  <si>
    <t xml:space="preserve">  Buyers Churned</t>
  </si>
  <si>
    <t xml:space="preserve">  Active Buyers EOM</t>
  </si>
  <si>
    <t xml:space="preserve">  New Sellers</t>
  </si>
  <si>
    <t xml:space="preserve">  Sellers Churned</t>
  </si>
  <si>
    <t xml:space="preserve">  Active Sellers EOM</t>
  </si>
  <si>
    <t xml:space="preserve">MARKETPLACE REVENUE</t>
  </si>
  <si>
    <t xml:space="preserve">  GMV ($)</t>
  </si>
  <si>
    <t xml:space="preserve">  Transaction Revenue (GMV × Take Rate)</t>
  </si>
  <si>
    <t xml:space="preserve">  Seller Subscription Revenue ($)</t>
  </si>
  <si>
    <t xml:space="preserve">TOTAL MARKETPLACE REVENUE ($)</t>
  </si>
  <si>
    <t xml:space="preserve">SAAS SUBSCRIPTION REVENUE</t>
  </si>
  <si>
    <t xml:space="preserve">  New SaaS Subs</t>
  </si>
  <si>
    <t xml:space="preserve">  SaaS Churned</t>
  </si>
  <si>
    <t xml:space="preserve">  Active SaaS Subs EOM</t>
  </si>
  <si>
    <t xml:space="preserve">TOTAL SAAS REVENUE ($)</t>
  </si>
  <si>
    <t xml:space="preserve">TOTAL REVENUE SUMMARY</t>
  </si>
  <si>
    <t xml:space="preserve">TOTAL REVENUE ($)</t>
  </si>
  <si>
    <t xml:space="preserve">  MoM Revenue Growth %</t>
  </si>
  <si>
    <t xml:space="preserve">HEADCOUNT — Departmental</t>
  </si>
  <si>
    <t xml:space="preserve">Auto-calculated from Assumptions Section 6.</t>
  </si>
  <si>
    <t xml:space="preserve">  Total ENGINEERING ($)</t>
  </si>
  <si>
    <t xml:space="preserve">  Total PRODUCT ($)</t>
  </si>
  <si>
    <t xml:space="preserve">  Total SALES ($)</t>
  </si>
  <si>
    <t xml:space="preserve">  Total MARKETING ($)</t>
  </si>
  <si>
    <t xml:space="preserve">  Total CUSTOMER SUCCESS ($)</t>
  </si>
  <si>
    <t xml:space="preserve">  Total G&amp;A ($)</t>
  </si>
  <si>
    <t xml:space="preserve">TOTAL HEADCOUNT COST ($)</t>
  </si>
  <si>
    <t xml:space="preserve">PROFIT &amp; LOSS STATEMENT</t>
  </si>
  <si>
    <t xml:space="preserve">Auto from REVENUE + HEADCOUNT. Green = cross-sheet.</t>
  </si>
  <si>
    <t xml:space="preserve">  Marketplace Revenue ($)</t>
  </si>
  <si>
    <t xml:space="preserve">  SaaS Revenue ($)</t>
  </si>
  <si>
    <t xml:space="preserve">COST OF GOODS SOLD</t>
  </si>
  <si>
    <t xml:space="preserve">  COGS ($)</t>
  </si>
  <si>
    <t xml:space="preserve">GROSS PROFIT ($)</t>
  </si>
  <si>
    <t xml:space="preserve">  Gross Margin %</t>
  </si>
  <si>
    <t xml:space="preserve">OPERATING EXPENSES</t>
  </si>
  <si>
    <t xml:space="preserve">  Headcount ($)</t>
  </si>
  <si>
    <t xml:space="preserve">    ENGINEERING ($)</t>
  </si>
  <si>
    <t xml:space="preserve">    PRODUCT ($)</t>
  </si>
  <si>
    <t xml:space="preserve">    SALES ($)</t>
  </si>
  <si>
    <t xml:space="preserve">    MARKETING ($)</t>
  </si>
  <si>
    <t xml:space="preserve">    CUSTOMER SUCCESS ($)</t>
  </si>
  <si>
    <t xml:space="preserve">    G&amp;A ($)</t>
  </si>
  <si>
    <t xml:space="preserve">  Marketing ($)</t>
  </si>
  <si>
    <t xml:space="preserve">  Other OpEx ($)</t>
  </si>
  <si>
    <t xml:space="preserve">TOTAL OPEX ($)</t>
  </si>
  <si>
    <t xml:space="preserve">EBITDA ($)</t>
  </si>
  <si>
    <t xml:space="preserve">  EBITDA Margin %</t>
  </si>
  <si>
    <t xml:space="preserve">CASH FLOW STATEMENT</t>
  </si>
  <si>
    <t xml:space="preserve">Monthly. Auto-calculated.</t>
  </si>
  <si>
    <t xml:space="preserve">OPENING CASH</t>
  </si>
  <si>
    <t xml:space="preserve">Opening Cash ($)</t>
  </si>
  <si>
    <t xml:space="preserve">OPERATIONS</t>
  </si>
  <si>
    <t xml:space="preserve">  EBITDA</t>
  </si>
  <si>
    <t xml:space="preserve">CASH FROM OPS ($)</t>
  </si>
  <si>
    <t xml:space="preserve">FINANCING</t>
  </si>
  <si>
    <t xml:space="preserve">  Series A Raise ($)</t>
  </si>
  <si>
    <t xml:space="preserve">NET CASH ($)</t>
  </si>
  <si>
    <t xml:space="preserve">CLOSING CASH ($)</t>
  </si>
  <si>
    <t xml:space="preserve">  Burn ($)</t>
  </si>
  <si>
    <t xml:space="preserve">  Runway (months)</t>
  </si>
  <si>
    <t xml:space="preserve">Auto from P&amp;L and Cash Flow. Balance check must = 0.</t>
  </si>
  <si>
    <t xml:space="preserve">ASSETS</t>
  </si>
  <si>
    <t xml:space="preserve">  Cash ($)</t>
  </si>
  <si>
    <t xml:space="preserve">TOTAL ASSETS ($)</t>
  </si>
  <si>
    <t xml:space="preserve">LIABILITIES</t>
  </si>
  <si>
    <t xml:space="preserve">  Accounts Payable ($)</t>
  </si>
  <si>
    <t xml:space="preserve">TOTAL LIABILITIES ($)</t>
  </si>
  <si>
    <t xml:space="preserve">EQUITY</t>
  </si>
  <si>
    <t xml:space="preserve">  Share Capital ($)</t>
  </si>
  <si>
    <t xml:space="preserve">  Retained Earnings ($)</t>
  </si>
  <si>
    <t xml:space="preserve">TOTAL EQUITY ($)</t>
  </si>
  <si>
    <t xml:space="preserve">TOTAL L + E ($)</t>
  </si>
  <si>
    <t xml:space="preserve">BALANCE CHECK (must = 0)</t>
  </si>
  <si>
    <t xml:space="preserve">CAC, LTV, LTV:CAC, payback period.</t>
  </si>
  <si>
    <t xml:space="preserve">UNIT ECONOMICS — SAAS SEGMENT</t>
  </si>
  <si>
    <t xml:space="preserve">  Blended CAC ($)</t>
  </si>
  <si>
    <t xml:space="preserve">  SaaS LTV ($)</t>
  </si>
  <si>
    <t xml:space="preserve">  LTV:CAC Ratio</t>
  </si>
  <si>
    <t xml:space="preserve">  Payback Period (months)</t>
  </si>
  <si>
    <t xml:space="preserve">KPI Dashboard — Series A Model</t>
  </si>
  <si>
    <t xml:space="preserve">Year-end metrics | Auto-populated</t>
  </si>
  <si>
    <t xml:space="preserve">Year 1</t>
  </si>
  <si>
    <t xml:space="preserve">Year 2</t>
  </si>
  <si>
    <t xml:space="preserve">Year 3</t>
  </si>
  <si>
    <t xml:space="preserve">REVENUE &amp; GROWTH</t>
  </si>
  <si>
    <t xml:space="preserve">Total Revenue ($)</t>
  </si>
  <si>
    <t xml:space="preserve">Marketplace Revenue ($)</t>
  </si>
  <si>
    <t xml:space="preserve">SaaS Revenue ($)</t>
  </si>
  <si>
    <t xml:space="preserve">Active Buyers (year-end)</t>
  </si>
  <si>
    <t xml:space="preserve">Active SaaS Subs (year-end)</t>
  </si>
  <si>
    <t xml:space="preserve">MARGINS &amp; PROFITABILITY</t>
  </si>
  <si>
    <t xml:space="preserve">Gross Margin %</t>
  </si>
  <si>
    <t xml:space="preserve">CASH &amp; RUNWAY</t>
  </si>
  <si>
    <t xml:space="preserve">Closing Cash ($)</t>
  </si>
  <si>
    <t xml:space="preserve">Runway (months)</t>
  </si>
  <si>
    <t xml:space="preserve">SENSITIVITY ANALYSIS</t>
  </si>
  <si>
    <t xml:space="preserve">Shows Year 1 EBITDA impact under different churn and ARPU scenarios.</t>
  </si>
  <si>
    <t xml:space="preserve">Year 1 EBITDA at Different Churn Rates</t>
  </si>
  <si>
    <t xml:space="preserve">Monthly Churn Rate</t>
  </si>
  <si>
    <t xml:space="preserve">Y1 EBITDA ($) — manual entry</t>
  </si>
  <si>
    <t xml:space="preserve">Instructions:</t>
  </si>
  <si>
    <t xml:space="preserve">1. Change churn rate in ASSUMPTIONS → note Y1 EBITDA from KPI Dashboard</t>
  </si>
  <si>
    <t xml:space="preserve">2. Enter the value in the corresponding column above</t>
  </si>
  <si>
    <t xml:space="preserve">3. Repeat for each scenario to build the sensitivity table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</si>
</sst>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.0"/>
    <numFmt numFmtId="168" formatCode="0.0\x"/>
    <numFmt numFmtId="169" formatCode="0.0%"/>
    <numFmt numFmtId="170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Georgia"/>
      <family val="0"/>
      <charset val="1"/>
    </font>
    <font>
      <sz val="14"/>
      <color rgb="FF595959"/>
      <name val="Georgia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17346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BF4FB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EBF4FB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EBF4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5F5F5"/>
      <rgbColor rgb="FFEBF4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2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00"/>
    <col collapsed="false" customWidth="true" hidden="false" outlineLevel="0" max="3" min="3" style="1" width="70"/>
  </cols>
  <sheetData>
    <row r="2" customFormat="false" ht="26.25" hidden="false" customHeight="true" outlineLevel="0" collapsed="false">
      <c r="A2" s="2"/>
      <c r="B2" s="3" t="s">
        <v>0</v>
      </c>
      <c r="C2" s="2"/>
      <c r="D2" s="2"/>
      <c r="E2" s="2"/>
    </row>
    <row r="3" customFormat="false" ht="17.25" hidden="false" customHeight="true" outlineLevel="0" collapsed="false">
      <c r="A3" s="4"/>
      <c r="B3" s="5" t="s">
        <v>1</v>
      </c>
      <c r="C3" s="4"/>
      <c r="D3" s="4"/>
      <c r="E3" s="4"/>
    </row>
    <row r="5" customFormat="false" ht="15" hidden="false" customHeight="true" outlineLevel="0" collapsed="false">
      <c r="B5" s="6" t="s">
        <v>2</v>
      </c>
    </row>
    <row r="7" customFormat="false" ht="15" hidden="false" customHeight="true" outlineLevel="0" collapsed="false">
      <c r="B7" s="7" t="s">
        <v>3</v>
      </c>
      <c r="C7" s="8" t="s">
        <v>4</v>
      </c>
    </row>
    <row r="8" customFormat="false" ht="15" hidden="false" customHeight="true" outlineLevel="0" collapsed="false">
      <c r="B8" s="7" t="s">
        <v>5</v>
      </c>
      <c r="C8" s="8" t="s">
        <v>6</v>
      </c>
    </row>
    <row r="9" customFormat="false" ht="15" hidden="false" customHeight="true" outlineLevel="0" collapsed="false">
      <c r="B9" s="7" t="s">
        <v>7</v>
      </c>
      <c r="C9" s="8" t="s">
        <v>8</v>
      </c>
    </row>
    <row r="10" customFormat="false" ht="15" hidden="false" customHeight="true" outlineLevel="0" collapsed="false">
      <c r="B10" s="7" t="s">
        <v>9</v>
      </c>
      <c r="C10" s="8" t="s">
        <v>10</v>
      </c>
    </row>
    <row r="11" customFormat="false" ht="15" hidden="false" customHeight="true" outlineLevel="0" collapsed="false">
      <c r="B11" s="7" t="s">
        <v>11</v>
      </c>
      <c r="C11" s="8" t="s">
        <v>12</v>
      </c>
    </row>
    <row r="12" customFormat="false" ht="15" hidden="false" customHeight="true" outlineLevel="0" collapsed="false">
      <c r="B12" s="7" t="s">
        <v>13</v>
      </c>
      <c r="C12" s="8" t="s">
        <v>14</v>
      </c>
    </row>
    <row r="13" customFormat="false" ht="15" hidden="false" customHeight="true" outlineLevel="0" collapsed="false">
      <c r="B13" s="7" t="s">
        <v>15</v>
      </c>
      <c r="C13" s="8" t="s">
        <v>16</v>
      </c>
    </row>
    <row r="14" customFormat="false" ht="15" hidden="false" customHeight="true" outlineLevel="0" collapsed="false">
      <c r="B14" s="7" t="s">
        <v>17</v>
      </c>
      <c r="C14" s="8" t="s">
        <v>18</v>
      </c>
    </row>
    <row r="15" customFormat="false" ht="15" hidden="false" customHeight="true" outlineLevel="0" collapsed="false">
      <c r="B15" s="7" t="s">
        <v>19</v>
      </c>
      <c r="C15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0"/>
    <col collapsed="false" customWidth="true" hidden="false" outlineLevel="0" max="5" min="5" style="1" width="48"/>
  </cols>
  <sheetData>
    <row r="1" customFormat="false" ht="17.25" hidden="false" customHeight="true" outlineLevel="0" collapsed="false">
      <c r="A1" s="9" t="s">
        <v>21</v>
      </c>
      <c r="B1" s="2"/>
      <c r="C1" s="2"/>
      <c r="D1" s="2"/>
      <c r="E1" s="2"/>
    </row>
    <row r="2" customFormat="false" ht="15" hidden="false" customHeight="true" outlineLevel="0" collapsed="false">
      <c r="A2" s="8" t="s">
        <v>22</v>
      </c>
      <c r="B2" s="4"/>
      <c r="C2" s="4"/>
      <c r="D2" s="4"/>
      <c r="E2" s="4"/>
    </row>
    <row r="4" customFormat="false" ht="15" hidden="false" customHeight="true" outlineLevel="0" collapsed="false">
      <c r="A4" s="10" t="s">
        <v>23</v>
      </c>
      <c r="B4" s="2"/>
      <c r="C4" s="2"/>
      <c r="D4" s="2"/>
      <c r="E4" s="2"/>
    </row>
    <row r="5" customFormat="false" ht="15" hidden="false" customHeight="true" outlineLevel="0" collapsed="false">
      <c r="A5" s="11" t="s">
        <v>24</v>
      </c>
      <c r="B5" s="12" t="s">
        <v>25</v>
      </c>
    </row>
    <row r="6" customFormat="false" ht="15" hidden="false" customHeight="true" outlineLevel="0" collapsed="false">
      <c r="A6" s="13" t="s">
        <v>26</v>
      </c>
      <c r="B6" s="12" t="s">
        <v>27</v>
      </c>
    </row>
    <row r="7" customFormat="false" ht="15" hidden="false" customHeight="true" outlineLevel="0" collapsed="false">
      <c r="A7" s="11" t="s">
        <v>28</v>
      </c>
      <c r="B7" s="12" t="s">
        <v>29</v>
      </c>
    </row>
    <row r="9" customFormat="false" ht="15" hidden="false" customHeight="true" outlineLevel="0" collapsed="false">
      <c r="A9" s="10" t="s">
        <v>30</v>
      </c>
      <c r="B9" s="2"/>
      <c r="C9" s="2"/>
      <c r="D9" s="2"/>
      <c r="E9" s="2"/>
    </row>
    <row r="10" customFormat="false" ht="15" hidden="false" customHeight="true" outlineLevel="0" collapsed="false">
      <c r="A10" s="14" t="s">
        <v>31</v>
      </c>
      <c r="B10" s="12" t="n">
        <v>2</v>
      </c>
    </row>
    <row r="12" customFormat="false" ht="15" hidden="false" customHeight="true" outlineLevel="0" collapsed="false">
      <c r="A12" s="10" t="s">
        <v>32</v>
      </c>
      <c r="B12" s="2"/>
      <c r="C12" s="2"/>
      <c r="D12" s="2"/>
      <c r="E12" s="2"/>
    </row>
    <row r="13" customFormat="false" ht="15" hidden="false" customHeight="true" outlineLevel="0" collapsed="false">
      <c r="B13" s="15" t="s">
        <v>33</v>
      </c>
      <c r="C13" s="15" t="s">
        <v>34</v>
      </c>
      <c r="D13" s="15" t="s">
        <v>35</v>
      </c>
    </row>
    <row r="14" customFormat="false" ht="15" hidden="false" customHeight="true" outlineLevel="0" collapsed="false">
      <c r="A14" s="11" t="s">
        <v>36</v>
      </c>
      <c r="B14" s="16" t="n">
        <v>20</v>
      </c>
      <c r="C14" s="16" t="n">
        <v>40</v>
      </c>
      <c r="D14" s="16" t="n">
        <v>60</v>
      </c>
    </row>
    <row r="15" customFormat="false" ht="15" hidden="false" customHeight="true" outlineLevel="0" collapsed="false">
      <c r="A15" s="13" t="s">
        <v>37</v>
      </c>
      <c r="B15" s="16" t="n">
        <v>8</v>
      </c>
      <c r="C15" s="16" t="n">
        <v>15</v>
      </c>
      <c r="D15" s="16" t="n">
        <v>25</v>
      </c>
    </row>
    <row r="16" customFormat="false" ht="15" hidden="false" customHeight="true" outlineLevel="0" collapsed="false">
      <c r="A16" s="11" t="s">
        <v>38</v>
      </c>
      <c r="B16" s="17" t="n">
        <v>0.04</v>
      </c>
      <c r="C16" s="17" t="n">
        <v>0.08</v>
      </c>
      <c r="D16" s="17" t="n">
        <v>0.12</v>
      </c>
    </row>
    <row r="17" customFormat="false" ht="15" hidden="false" customHeight="true" outlineLevel="0" collapsed="false">
      <c r="A17" s="13" t="s">
        <v>39</v>
      </c>
      <c r="B17" s="17" t="n">
        <v>0.06</v>
      </c>
      <c r="C17" s="17" t="n">
        <v>0.045</v>
      </c>
      <c r="D17" s="17" t="n">
        <v>0.03</v>
      </c>
    </row>
    <row r="18" customFormat="false" ht="15" hidden="false" customHeight="true" outlineLevel="0" collapsed="false">
      <c r="A18" s="11" t="s">
        <v>40</v>
      </c>
      <c r="B18" s="16" t="n">
        <v>10</v>
      </c>
      <c r="C18" s="16" t="n">
        <v>20</v>
      </c>
      <c r="D18" s="16" t="n">
        <v>30</v>
      </c>
    </row>
    <row r="19" customFormat="false" ht="15" hidden="false" customHeight="true" outlineLevel="0" collapsed="false">
      <c r="A19" s="13" t="s">
        <v>41</v>
      </c>
      <c r="B19" s="16" t="n">
        <v>3</v>
      </c>
      <c r="C19" s="16" t="n">
        <v>6</v>
      </c>
      <c r="D19" s="16" t="n">
        <v>10</v>
      </c>
    </row>
    <row r="20" customFormat="false" ht="15" hidden="false" customHeight="true" outlineLevel="0" collapsed="false">
      <c r="A20" s="11" t="s">
        <v>42</v>
      </c>
      <c r="B20" s="17" t="n">
        <v>0.03</v>
      </c>
      <c r="C20" s="17" t="n">
        <v>0.06</v>
      </c>
      <c r="D20" s="17" t="n">
        <v>0.1</v>
      </c>
    </row>
    <row r="21" customFormat="false" ht="15" hidden="false" customHeight="true" outlineLevel="0" collapsed="false">
      <c r="A21" s="13" t="s">
        <v>43</v>
      </c>
      <c r="B21" s="17" t="n">
        <v>0.04</v>
      </c>
      <c r="C21" s="17" t="n">
        <v>0.03</v>
      </c>
      <c r="D21" s="17" t="n">
        <v>0.02</v>
      </c>
    </row>
    <row r="22" customFormat="false" ht="15" hidden="false" customHeight="true" outlineLevel="0" collapsed="false">
      <c r="A22" s="11" t="s">
        <v>44</v>
      </c>
      <c r="B22" s="16" t="n">
        <v>2</v>
      </c>
      <c r="C22" s="16" t="n">
        <v>3</v>
      </c>
      <c r="D22" s="16" t="n">
        <v>4</v>
      </c>
    </row>
    <row r="23" customFormat="false" ht="15" hidden="false" customHeight="true" outlineLevel="0" collapsed="false">
      <c r="A23" s="13" t="s">
        <v>45</v>
      </c>
      <c r="B23" s="16" t="n">
        <v>150</v>
      </c>
      <c r="C23" s="16" t="n">
        <v>200</v>
      </c>
      <c r="D23" s="16" t="n">
        <v>250</v>
      </c>
    </row>
    <row r="24" customFormat="false" ht="15" hidden="false" customHeight="true" outlineLevel="0" collapsed="false">
      <c r="A24" s="11" t="s">
        <v>46</v>
      </c>
      <c r="B24" s="17" t="n">
        <v>0.12</v>
      </c>
      <c r="C24" s="17" t="n">
        <v>0.15</v>
      </c>
      <c r="D24" s="17" t="n">
        <v>0.18</v>
      </c>
    </row>
    <row r="25" customFormat="false" ht="15" hidden="false" customHeight="true" outlineLevel="0" collapsed="false">
      <c r="A25" s="13" t="s">
        <v>47</v>
      </c>
      <c r="B25" s="16" t="n">
        <v>0</v>
      </c>
      <c r="C25" s="16" t="n">
        <v>49</v>
      </c>
      <c r="D25" s="16" t="n">
        <v>99</v>
      </c>
    </row>
    <row r="26" customFormat="false" ht="15" hidden="false" customHeight="true" outlineLevel="0" collapsed="false">
      <c r="A26" s="15" t="s">
        <v>48</v>
      </c>
      <c r="B26" s="18"/>
      <c r="C26" s="18"/>
      <c r="D26" s="18"/>
      <c r="E26" s="18"/>
    </row>
    <row r="27" customFormat="false" ht="15" hidden="false" customHeight="true" outlineLevel="0" collapsed="false">
      <c r="A27" s="14" t="s">
        <v>49</v>
      </c>
      <c r="B27" s="19" t="n">
        <f aca="false">CHOOSE($B$10,B14,C14,D14)</f>
        <v>40</v>
      </c>
    </row>
    <row r="28" customFormat="false" ht="15" hidden="false" customHeight="true" outlineLevel="0" collapsed="false">
      <c r="A28" s="14" t="s">
        <v>50</v>
      </c>
      <c r="B28" s="19" t="n">
        <f aca="false">CHOOSE($B$10,B15,C15,D15)</f>
        <v>15</v>
      </c>
    </row>
    <row r="29" customFormat="false" ht="15" hidden="false" customHeight="true" outlineLevel="0" collapsed="false">
      <c r="A29" s="14" t="s">
        <v>51</v>
      </c>
      <c r="B29" s="20" t="n">
        <f aca="false">CHOOSE($B$10,B16,C16,D16)</f>
        <v>0.08</v>
      </c>
    </row>
    <row r="30" customFormat="false" ht="15" hidden="false" customHeight="true" outlineLevel="0" collapsed="false">
      <c r="A30" s="14" t="s">
        <v>52</v>
      </c>
      <c r="B30" s="20" t="n">
        <f aca="false">CHOOSE($B$10,B17,C17,D17)</f>
        <v>0.045</v>
      </c>
    </row>
    <row r="31" customFormat="false" ht="15" hidden="false" customHeight="true" outlineLevel="0" collapsed="false">
      <c r="A31" s="14" t="s">
        <v>53</v>
      </c>
      <c r="B31" s="19" t="n">
        <f aca="false">CHOOSE($B$10,B18,C18,D18)</f>
        <v>20</v>
      </c>
    </row>
    <row r="32" customFormat="false" ht="15" hidden="false" customHeight="true" outlineLevel="0" collapsed="false">
      <c r="A32" s="14" t="s">
        <v>54</v>
      </c>
      <c r="B32" s="19" t="n">
        <f aca="false">CHOOSE($B$10,B19,C19,D19)</f>
        <v>6</v>
      </c>
    </row>
    <row r="33" customFormat="false" ht="15" hidden="false" customHeight="true" outlineLevel="0" collapsed="false">
      <c r="A33" s="14" t="s">
        <v>55</v>
      </c>
      <c r="B33" s="20" t="n">
        <f aca="false">CHOOSE($B$10,B20,C20,D20)</f>
        <v>0.06</v>
      </c>
    </row>
    <row r="34" customFormat="false" ht="15" hidden="false" customHeight="true" outlineLevel="0" collapsed="false">
      <c r="A34" s="14" t="s">
        <v>56</v>
      </c>
      <c r="B34" s="20" t="n">
        <f aca="false">CHOOSE($B$10,B21,C21,D21)</f>
        <v>0.03</v>
      </c>
    </row>
    <row r="35" customFormat="false" ht="15" hidden="false" customHeight="true" outlineLevel="0" collapsed="false">
      <c r="A35" s="14" t="s">
        <v>57</v>
      </c>
      <c r="B35" s="19" t="n">
        <f aca="false">CHOOSE($B$10,B22,C22,D22)</f>
        <v>3</v>
      </c>
    </row>
    <row r="36" customFormat="false" ht="15" hidden="false" customHeight="true" outlineLevel="0" collapsed="false">
      <c r="A36" s="14" t="s">
        <v>58</v>
      </c>
      <c r="B36" s="19" t="n">
        <f aca="false">CHOOSE($B$10,B23,C23,D23)</f>
        <v>200</v>
      </c>
    </row>
    <row r="37" customFormat="false" ht="15" hidden="false" customHeight="true" outlineLevel="0" collapsed="false">
      <c r="A37" s="14" t="s">
        <v>59</v>
      </c>
      <c r="B37" s="20" t="n">
        <f aca="false">CHOOSE($B$10,B24,C24,D24)</f>
        <v>0.15</v>
      </c>
    </row>
    <row r="38" customFormat="false" ht="15" hidden="false" customHeight="true" outlineLevel="0" collapsed="false">
      <c r="A38" s="14" t="s">
        <v>60</v>
      </c>
      <c r="B38" s="19" t="n">
        <f aca="false">CHOOSE($B$10,B25,C25,D25)</f>
        <v>49</v>
      </c>
    </row>
    <row r="40" customFormat="false" ht="15" hidden="false" customHeight="true" outlineLevel="0" collapsed="false">
      <c r="A40" s="10" t="s">
        <v>61</v>
      </c>
      <c r="B40" s="2"/>
      <c r="C40" s="2"/>
      <c r="D40" s="2"/>
      <c r="E40" s="2"/>
    </row>
    <row r="41" customFormat="false" ht="15" hidden="false" customHeight="true" outlineLevel="0" collapsed="false">
      <c r="B41" s="15" t="s">
        <v>33</v>
      </c>
      <c r="C41" s="15" t="s">
        <v>34</v>
      </c>
      <c r="D41" s="15" t="s">
        <v>35</v>
      </c>
    </row>
    <row r="42" customFormat="false" ht="15" hidden="false" customHeight="true" outlineLevel="0" collapsed="false">
      <c r="A42" s="11" t="s">
        <v>62</v>
      </c>
      <c r="B42" s="16" t="n">
        <v>5</v>
      </c>
      <c r="C42" s="16" t="n">
        <v>15</v>
      </c>
      <c r="D42" s="16" t="n">
        <v>30</v>
      </c>
    </row>
    <row r="43" customFormat="false" ht="15" hidden="false" customHeight="true" outlineLevel="0" collapsed="false">
      <c r="A43" s="13" t="s">
        <v>63</v>
      </c>
      <c r="B43" s="16" t="n">
        <v>3</v>
      </c>
      <c r="C43" s="16" t="n">
        <v>8</v>
      </c>
      <c r="D43" s="16" t="n">
        <v>15</v>
      </c>
    </row>
    <row r="44" customFormat="false" ht="15" hidden="false" customHeight="true" outlineLevel="0" collapsed="false">
      <c r="A44" s="11" t="s">
        <v>64</v>
      </c>
      <c r="B44" s="17" t="n">
        <v>0.04</v>
      </c>
      <c r="C44" s="17" t="n">
        <v>0.08</v>
      </c>
      <c r="D44" s="17" t="n">
        <v>0.12</v>
      </c>
    </row>
    <row r="45" customFormat="false" ht="15" hidden="false" customHeight="true" outlineLevel="0" collapsed="false">
      <c r="A45" s="13" t="s">
        <v>65</v>
      </c>
      <c r="B45" s="17" t="n">
        <v>0.05</v>
      </c>
      <c r="C45" s="17" t="n">
        <v>0.035</v>
      </c>
      <c r="D45" s="17" t="n">
        <v>0.025</v>
      </c>
    </row>
    <row r="46" customFormat="false" ht="15" hidden="false" customHeight="true" outlineLevel="0" collapsed="false">
      <c r="A46" s="11" t="s">
        <v>66</v>
      </c>
      <c r="B46" s="16" t="n">
        <v>79</v>
      </c>
      <c r="C46" s="16" t="n">
        <v>129</v>
      </c>
      <c r="D46" s="16" t="n">
        <v>199</v>
      </c>
    </row>
    <row r="47" customFormat="false" ht="15" hidden="false" customHeight="true" outlineLevel="0" collapsed="false">
      <c r="A47" s="15" t="s">
        <v>67</v>
      </c>
      <c r="B47" s="18"/>
      <c r="C47" s="18"/>
      <c r="D47" s="18"/>
      <c r="E47" s="18"/>
    </row>
    <row r="48" customFormat="false" ht="15" hidden="false" customHeight="true" outlineLevel="0" collapsed="false">
      <c r="A48" s="14" t="s">
        <v>68</v>
      </c>
      <c r="B48" s="19" t="n">
        <f aca="false">CHOOSE($B$10,B42,C42,D42)</f>
        <v>15</v>
      </c>
    </row>
    <row r="49" customFormat="false" ht="15" hidden="false" customHeight="true" outlineLevel="0" collapsed="false">
      <c r="A49" s="14" t="s">
        <v>69</v>
      </c>
      <c r="B49" s="19" t="n">
        <f aca="false">CHOOSE($B$10,B43,C43,D43)</f>
        <v>8</v>
      </c>
    </row>
    <row r="50" customFormat="false" ht="15" hidden="false" customHeight="true" outlineLevel="0" collapsed="false">
      <c r="A50" s="14" t="s">
        <v>70</v>
      </c>
      <c r="B50" s="20" t="n">
        <f aca="false">CHOOSE($B$10,B44,C44,D44)</f>
        <v>0.08</v>
      </c>
    </row>
    <row r="51" customFormat="false" ht="15" hidden="false" customHeight="true" outlineLevel="0" collapsed="false">
      <c r="A51" s="14" t="s">
        <v>71</v>
      </c>
      <c r="B51" s="20" t="n">
        <f aca="false">CHOOSE($B$10,B45,C45,D45)</f>
        <v>0.035</v>
      </c>
    </row>
    <row r="52" customFormat="false" ht="15" hidden="false" customHeight="true" outlineLevel="0" collapsed="false">
      <c r="A52" s="14" t="s">
        <v>72</v>
      </c>
      <c r="B52" s="19" t="n">
        <f aca="false">CHOOSE($B$10,B46,C46,D46)</f>
        <v>129</v>
      </c>
    </row>
    <row r="54" customFormat="false" ht="15" hidden="false" customHeight="true" outlineLevel="0" collapsed="false">
      <c r="A54" s="10" t="s">
        <v>73</v>
      </c>
      <c r="B54" s="2"/>
      <c r="C54" s="2"/>
      <c r="D54" s="2"/>
      <c r="E54" s="2"/>
    </row>
    <row r="55" customFormat="false" ht="15" hidden="false" customHeight="true" outlineLevel="0" collapsed="false">
      <c r="A55" s="11" t="s">
        <v>74</v>
      </c>
      <c r="B55" s="16" t="n">
        <v>120</v>
      </c>
      <c r="C55" s="8" t="s">
        <v>75</v>
      </c>
    </row>
    <row r="56" customFormat="false" ht="15" hidden="false" customHeight="true" outlineLevel="0" collapsed="false">
      <c r="A56" s="13" t="s">
        <v>76</v>
      </c>
      <c r="B56" s="17" t="n">
        <v>0.8</v>
      </c>
    </row>
    <row r="57" customFormat="false" ht="15" hidden="false" customHeight="true" outlineLevel="0" collapsed="false">
      <c r="A57" s="11" t="s">
        <v>77</v>
      </c>
      <c r="B57" s="17" t="n">
        <v>0.65</v>
      </c>
    </row>
    <row r="59" customFormat="false" ht="15" hidden="false" customHeight="true" outlineLevel="0" collapsed="false">
      <c r="A59" s="10" t="s">
        <v>78</v>
      </c>
      <c r="B59" s="2"/>
      <c r="C59" s="2"/>
      <c r="D59" s="2"/>
      <c r="E59" s="2"/>
    </row>
    <row r="60" customFormat="false" ht="15" hidden="false" customHeight="true" outlineLevel="0" collapsed="false">
      <c r="A60" s="11" t="s">
        <v>79</v>
      </c>
      <c r="B60" s="16" t="n">
        <v>4</v>
      </c>
    </row>
    <row r="61" customFormat="false" ht="15" hidden="false" customHeight="true" outlineLevel="0" collapsed="false">
      <c r="A61" s="13" t="s">
        <v>80</v>
      </c>
      <c r="B61" s="17" t="n">
        <v>0.025</v>
      </c>
    </row>
    <row r="62" customFormat="false" ht="15" hidden="false" customHeight="true" outlineLevel="0" collapsed="false">
      <c r="A62" s="11" t="s">
        <v>81</v>
      </c>
      <c r="B62" s="16" t="n">
        <v>3</v>
      </c>
    </row>
    <row r="64" customFormat="false" ht="15" hidden="false" customHeight="true" outlineLevel="0" collapsed="false">
      <c r="A64" s="10" t="s">
        <v>82</v>
      </c>
      <c r="B64" s="2"/>
      <c r="C64" s="2"/>
      <c r="D64" s="2"/>
      <c r="E64" s="2"/>
    </row>
    <row r="65" customFormat="false" ht="15" hidden="false" customHeight="true" outlineLevel="0" collapsed="false">
      <c r="B65" s="15" t="s">
        <v>83</v>
      </c>
      <c r="C65" s="15" t="s">
        <v>84</v>
      </c>
      <c r="D65" s="15" t="s">
        <v>85</v>
      </c>
    </row>
    <row r="66" customFormat="false" ht="15" hidden="false" customHeight="true" outlineLevel="0" collapsed="false">
      <c r="A66" s="15" t="s">
        <v>86</v>
      </c>
      <c r="B66" s="18"/>
      <c r="C66" s="18"/>
      <c r="D66" s="18"/>
      <c r="E66" s="18"/>
    </row>
    <row r="67" customFormat="false" ht="15" hidden="false" customHeight="true" outlineLevel="0" collapsed="false">
      <c r="A67" s="14" t="s">
        <v>87</v>
      </c>
      <c r="B67" s="12" t="s">
        <v>88</v>
      </c>
      <c r="C67" s="12" t="n">
        <v>1</v>
      </c>
      <c r="D67" s="16" t="n">
        <v>140000</v>
      </c>
    </row>
    <row r="68" customFormat="false" ht="15" hidden="false" customHeight="true" outlineLevel="0" collapsed="false">
      <c r="A68" s="14" t="s">
        <v>89</v>
      </c>
      <c r="B68" s="12" t="s">
        <v>90</v>
      </c>
      <c r="C68" s="12" t="n">
        <v>1</v>
      </c>
      <c r="D68" s="16" t="n">
        <v>130000</v>
      </c>
    </row>
    <row r="69" customFormat="false" ht="15" hidden="false" customHeight="true" outlineLevel="0" collapsed="false">
      <c r="A69" s="14" t="s">
        <v>91</v>
      </c>
      <c r="B69" s="12" t="s">
        <v>92</v>
      </c>
      <c r="C69" s="12" t="n">
        <v>3</v>
      </c>
      <c r="D69" s="16" t="n">
        <v>120000</v>
      </c>
    </row>
    <row r="70" customFormat="false" ht="15" hidden="false" customHeight="true" outlineLevel="0" collapsed="false">
      <c r="A70" s="14" t="s">
        <v>93</v>
      </c>
      <c r="B70" s="12" t="s">
        <v>94</v>
      </c>
      <c r="C70" s="12" t="n">
        <v>6</v>
      </c>
      <c r="D70" s="16" t="n">
        <v>120000</v>
      </c>
    </row>
    <row r="71" customFormat="false" ht="15" hidden="false" customHeight="true" outlineLevel="0" collapsed="false">
      <c r="A71" s="14" t="s">
        <v>95</v>
      </c>
      <c r="B71" s="12" t="s">
        <v>96</v>
      </c>
      <c r="C71" s="12" t="n">
        <v>9</v>
      </c>
      <c r="D71" s="16" t="n">
        <v>120000</v>
      </c>
    </row>
    <row r="72" customFormat="false" ht="15" hidden="false" customHeight="true" outlineLevel="0" collapsed="false">
      <c r="A72" s="14" t="s">
        <v>97</v>
      </c>
      <c r="B72" s="12" t="s">
        <v>98</v>
      </c>
      <c r="C72" s="12" t="n">
        <v>12</v>
      </c>
      <c r="D72" s="16" t="n">
        <v>120000</v>
      </c>
    </row>
    <row r="73" customFormat="false" ht="15" hidden="false" customHeight="true" outlineLevel="0" collapsed="false">
      <c r="A73" s="15" t="s">
        <v>99</v>
      </c>
      <c r="B73" s="18"/>
      <c r="C73" s="18"/>
      <c r="D73" s="18"/>
      <c r="E73" s="18"/>
    </row>
    <row r="74" customFormat="false" ht="15" hidden="false" customHeight="true" outlineLevel="0" collapsed="false">
      <c r="A74" s="14" t="s">
        <v>100</v>
      </c>
      <c r="B74" s="12" t="s">
        <v>101</v>
      </c>
      <c r="C74" s="12" t="n">
        <v>3</v>
      </c>
      <c r="D74" s="16" t="n">
        <v>130000</v>
      </c>
    </row>
    <row r="75" customFormat="false" ht="15" hidden="false" customHeight="true" outlineLevel="0" collapsed="false">
      <c r="A75" s="14" t="s">
        <v>102</v>
      </c>
      <c r="B75" s="12" t="s">
        <v>103</v>
      </c>
      <c r="C75" s="12" t="n">
        <v>6</v>
      </c>
      <c r="D75" s="16" t="n">
        <v>110000</v>
      </c>
    </row>
    <row r="76" customFormat="false" ht="15" hidden="false" customHeight="true" outlineLevel="0" collapsed="false">
      <c r="A76" s="14" t="s">
        <v>104</v>
      </c>
      <c r="B76" s="12" t="s">
        <v>105</v>
      </c>
      <c r="C76" s="12" t="n">
        <v>4</v>
      </c>
      <c r="D76" s="16" t="n">
        <v>95000</v>
      </c>
    </row>
    <row r="77" customFormat="false" ht="15" hidden="false" customHeight="true" outlineLevel="0" collapsed="false">
      <c r="A77" s="15" t="s">
        <v>106</v>
      </c>
      <c r="B77" s="18"/>
      <c r="C77" s="18"/>
      <c r="D77" s="18"/>
      <c r="E77" s="18"/>
    </row>
    <row r="78" customFormat="false" ht="15" hidden="false" customHeight="true" outlineLevel="0" collapsed="false">
      <c r="A78" s="14" t="s">
        <v>107</v>
      </c>
      <c r="B78" s="12" t="s">
        <v>108</v>
      </c>
      <c r="C78" s="12" t="n">
        <v>1</v>
      </c>
      <c r="D78" s="16" t="n">
        <v>100000</v>
      </c>
    </row>
    <row r="79" customFormat="false" ht="15" hidden="false" customHeight="true" outlineLevel="0" collapsed="false">
      <c r="A79" s="14" t="s">
        <v>109</v>
      </c>
      <c r="B79" s="12" t="s">
        <v>110</v>
      </c>
      <c r="C79" s="12" t="n">
        <v>4</v>
      </c>
      <c r="D79" s="16" t="n">
        <v>85000</v>
      </c>
    </row>
    <row r="80" customFormat="false" ht="15" hidden="false" customHeight="true" outlineLevel="0" collapsed="false">
      <c r="A80" s="14" t="s">
        <v>111</v>
      </c>
      <c r="B80" s="12" t="s">
        <v>112</v>
      </c>
      <c r="C80" s="12" t="n">
        <v>8</v>
      </c>
      <c r="D80" s="16" t="n">
        <v>85000</v>
      </c>
    </row>
    <row r="81" customFormat="false" ht="15" hidden="false" customHeight="true" outlineLevel="0" collapsed="false">
      <c r="A81" s="14" t="s">
        <v>113</v>
      </c>
      <c r="B81" s="12" t="s">
        <v>114</v>
      </c>
      <c r="C81" s="12" t="n">
        <v>6</v>
      </c>
      <c r="D81" s="16" t="n">
        <v>55000</v>
      </c>
    </row>
    <row r="82" customFormat="false" ht="15" hidden="false" customHeight="true" outlineLevel="0" collapsed="false">
      <c r="A82" s="15" t="s">
        <v>115</v>
      </c>
      <c r="B82" s="18"/>
      <c r="C82" s="18"/>
      <c r="D82" s="18"/>
      <c r="E82" s="18"/>
    </row>
    <row r="83" customFormat="false" ht="15" hidden="false" customHeight="true" outlineLevel="0" collapsed="false">
      <c r="A83" s="14" t="s">
        <v>116</v>
      </c>
      <c r="B83" s="12" t="s">
        <v>117</v>
      </c>
      <c r="C83" s="12" t="n">
        <v>3</v>
      </c>
      <c r="D83" s="16" t="n">
        <v>95000</v>
      </c>
    </row>
    <row r="84" customFormat="false" ht="15" hidden="false" customHeight="true" outlineLevel="0" collapsed="false">
      <c r="A84" s="14" t="s">
        <v>118</v>
      </c>
      <c r="B84" s="12" t="s">
        <v>119</v>
      </c>
      <c r="C84" s="12" t="n">
        <v>6</v>
      </c>
      <c r="D84" s="16" t="n">
        <v>80000</v>
      </c>
    </row>
    <row r="85" customFormat="false" ht="15" hidden="false" customHeight="true" outlineLevel="0" collapsed="false">
      <c r="A85" s="15" t="s">
        <v>120</v>
      </c>
      <c r="B85" s="18"/>
      <c r="C85" s="18"/>
      <c r="D85" s="18"/>
      <c r="E85" s="18"/>
    </row>
    <row r="86" customFormat="false" ht="15" hidden="false" customHeight="true" outlineLevel="0" collapsed="false">
      <c r="A86" s="14" t="s">
        <v>121</v>
      </c>
      <c r="B86" s="12" t="s">
        <v>122</v>
      </c>
      <c r="C86" s="12" t="n">
        <v>4</v>
      </c>
      <c r="D86" s="16" t="n">
        <v>80000</v>
      </c>
    </row>
    <row r="87" customFormat="false" ht="15" hidden="false" customHeight="true" outlineLevel="0" collapsed="false">
      <c r="A87" s="14" t="s">
        <v>123</v>
      </c>
      <c r="B87" s="12" t="s">
        <v>124</v>
      </c>
      <c r="C87" s="12" t="n">
        <v>8</v>
      </c>
      <c r="D87" s="16" t="n">
        <v>60000</v>
      </c>
    </row>
    <row r="88" customFormat="false" ht="15" hidden="false" customHeight="true" outlineLevel="0" collapsed="false">
      <c r="A88" s="15" t="s">
        <v>125</v>
      </c>
      <c r="B88" s="18"/>
      <c r="C88" s="18"/>
      <c r="D88" s="18"/>
      <c r="E88" s="18"/>
    </row>
    <row r="89" customFormat="false" ht="15" hidden="false" customHeight="true" outlineLevel="0" collapsed="false">
      <c r="A89" s="14" t="s">
        <v>126</v>
      </c>
      <c r="B89" s="12" t="s">
        <v>127</v>
      </c>
      <c r="C89" s="12" t="n">
        <v>1</v>
      </c>
      <c r="D89" s="16" t="n">
        <v>120000</v>
      </c>
    </row>
    <row r="90" customFormat="false" ht="15" hidden="false" customHeight="true" outlineLevel="0" collapsed="false">
      <c r="A90" s="14" t="s">
        <v>128</v>
      </c>
      <c r="B90" s="12" t="s">
        <v>129</v>
      </c>
      <c r="C90" s="12" t="n">
        <v>6</v>
      </c>
      <c r="D90" s="16" t="n">
        <v>90000</v>
      </c>
    </row>
    <row r="92" customFormat="false" ht="15" hidden="false" customHeight="true" outlineLevel="0" collapsed="false">
      <c r="A92" s="11" t="s">
        <v>130</v>
      </c>
      <c r="B92" s="12" t="n">
        <v>1.3</v>
      </c>
    </row>
    <row r="94" customFormat="false" ht="15" hidden="false" customHeight="true" outlineLevel="0" collapsed="false">
      <c r="A94" s="10" t="s">
        <v>131</v>
      </c>
      <c r="B94" s="2"/>
      <c r="C94" s="2"/>
      <c r="D94" s="2"/>
      <c r="E94" s="2"/>
    </row>
    <row r="95" customFormat="false" ht="15" hidden="false" customHeight="true" outlineLevel="0" collapsed="false">
      <c r="A95" s="11" t="s">
        <v>132</v>
      </c>
      <c r="B95" s="16" t="n">
        <v>8000</v>
      </c>
    </row>
    <row r="96" customFormat="false" ht="15" hidden="false" customHeight="true" outlineLevel="0" collapsed="false">
      <c r="A96" s="13" t="s">
        <v>133</v>
      </c>
      <c r="B96" s="17" t="n">
        <v>0.06</v>
      </c>
    </row>
    <row r="97" customFormat="false" ht="15" hidden="false" customHeight="true" outlineLevel="0" collapsed="false">
      <c r="A97" s="11" t="s">
        <v>134</v>
      </c>
      <c r="B97" s="16" t="n">
        <v>2000</v>
      </c>
    </row>
    <row r="98" customFormat="false" ht="15" hidden="false" customHeight="true" outlineLevel="0" collapsed="false">
      <c r="A98" s="13" t="s">
        <v>135</v>
      </c>
      <c r="B98" s="16" t="n">
        <v>3000</v>
      </c>
    </row>
    <row r="99" customFormat="false" ht="15" hidden="false" customHeight="true" outlineLevel="0" collapsed="false">
      <c r="A99" s="11" t="s">
        <v>136</v>
      </c>
      <c r="B99" s="16" t="n">
        <v>1500</v>
      </c>
    </row>
    <row r="100" customFormat="false" ht="15" hidden="false" customHeight="true" outlineLevel="0" collapsed="false">
      <c r="A100" s="13" t="s">
        <v>137</v>
      </c>
      <c r="B100" s="16" t="n">
        <v>1000</v>
      </c>
    </row>
    <row r="102" customFormat="false" ht="15" hidden="false" customHeight="true" outlineLevel="0" collapsed="false">
      <c r="A102" s="10" t="s">
        <v>138</v>
      </c>
      <c r="B102" s="2"/>
      <c r="C102" s="2"/>
      <c r="D102" s="2"/>
      <c r="E102" s="2"/>
    </row>
    <row r="103" customFormat="false" ht="15" hidden="false" customHeight="true" outlineLevel="0" collapsed="false">
      <c r="A103" s="11" t="s">
        <v>139</v>
      </c>
      <c r="B103" s="16" t="n">
        <v>500000</v>
      </c>
    </row>
    <row r="104" customFormat="false" ht="15" hidden="false" customHeight="true" outlineLevel="0" collapsed="false">
      <c r="A104" s="13" t="s">
        <v>140</v>
      </c>
      <c r="B104" s="16" t="n">
        <v>5000000</v>
      </c>
    </row>
    <row r="105" customFormat="false" ht="15" hidden="false" customHeight="true" outlineLevel="0" collapsed="false">
      <c r="A105" s="11" t="s">
        <v>141</v>
      </c>
      <c r="B105" s="16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R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2" min="2" style="1" width="13"/>
  </cols>
  <sheetData>
    <row r="1" customFormat="false" ht="17.25" hidden="false" customHeight="true" outlineLevel="0" collapsed="false">
      <c r="A1" s="2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8" t="s">
        <v>143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4" customFormat="false" ht="15" hidden="false" customHeight="true" outlineLevel="0" collapsed="false">
      <c r="B4" s="22" t="s">
        <v>144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2" t="s">
        <v>145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2" t="s">
        <v>146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18"/>
      <c r="AM4" s="18"/>
      <c r="AN4" s="18"/>
    </row>
    <row r="5" customFormat="false" ht="15" hidden="false" customHeight="true" outlineLevel="0" collapsed="false">
      <c r="B5" s="22" t="s">
        <v>147</v>
      </c>
      <c r="C5" s="22" t="s">
        <v>148</v>
      </c>
      <c r="D5" s="22" t="s">
        <v>149</v>
      </c>
      <c r="E5" s="22" t="s">
        <v>150</v>
      </c>
      <c r="F5" s="22" t="s">
        <v>151</v>
      </c>
      <c r="G5" s="22" t="s">
        <v>152</v>
      </c>
      <c r="H5" s="22" t="s">
        <v>153</v>
      </c>
      <c r="I5" s="22" t="s">
        <v>154</v>
      </c>
      <c r="J5" s="22" t="s">
        <v>155</v>
      </c>
      <c r="K5" s="22" t="s">
        <v>156</v>
      </c>
      <c r="L5" s="22" t="s">
        <v>157</v>
      </c>
      <c r="M5" s="22" t="s">
        <v>158</v>
      </c>
      <c r="N5" s="22" t="s">
        <v>147</v>
      </c>
      <c r="O5" s="22" t="s">
        <v>148</v>
      </c>
      <c r="P5" s="22" t="s">
        <v>149</v>
      </c>
      <c r="Q5" s="22" t="s">
        <v>150</v>
      </c>
      <c r="R5" s="22" t="s">
        <v>151</v>
      </c>
      <c r="S5" s="22" t="s">
        <v>152</v>
      </c>
      <c r="T5" s="22" t="s">
        <v>153</v>
      </c>
      <c r="U5" s="22" t="s">
        <v>154</v>
      </c>
      <c r="V5" s="22" t="s">
        <v>155</v>
      </c>
      <c r="W5" s="22" t="s">
        <v>156</v>
      </c>
      <c r="X5" s="22" t="s">
        <v>157</v>
      </c>
      <c r="Y5" s="22" t="s">
        <v>158</v>
      </c>
      <c r="Z5" s="22" t="s">
        <v>147</v>
      </c>
      <c r="AA5" s="22" t="s">
        <v>148</v>
      </c>
      <c r="AB5" s="22" t="s">
        <v>149</v>
      </c>
      <c r="AC5" s="22" t="s">
        <v>150</v>
      </c>
      <c r="AD5" s="22" t="s">
        <v>151</v>
      </c>
      <c r="AE5" s="22" t="s">
        <v>152</v>
      </c>
      <c r="AF5" s="22" t="s">
        <v>153</v>
      </c>
      <c r="AG5" s="22" t="s">
        <v>154</v>
      </c>
      <c r="AH5" s="22" t="s">
        <v>155</v>
      </c>
      <c r="AI5" s="22" t="s">
        <v>156</v>
      </c>
      <c r="AJ5" s="22" t="s">
        <v>157</v>
      </c>
      <c r="AK5" s="22" t="s">
        <v>158</v>
      </c>
      <c r="AL5" s="23" t="s">
        <v>159</v>
      </c>
      <c r="AM5" s="23" t="s">
        <v>160</v>
      </c>
      <c r="AN5" s="23" t="s">
        <v>161</v>
      </c>
    </row>
    <row r="6" customFormat="false" ht="15" hidden="false" customHeight="true" outlineLevel="0" collapsed="false">
      <c r="A6" s="10" t="s">
        <v>162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customFormat="false" ht="15" hidden="false" customHeight="true" outlineLevel="0" collapsed="false">
      <c r="A7" s="11" t="s">
        <v>163</v>
      </c>
      <c r="B7" s="19" t="n">
        <f aca="false">IFERROR(ASSUMPTIONS!$B$28,0)</f>
        <v>15</v>
      </c>
      <c r="C7" s="19" t="n">
        <f aca="false">IFERROR(ROUND(B7*(1+ASSUMPTIONS!$B$29),0),0)</f>
        <v>16</v>
      </c>
      <c r="D7" s="19" t="n">
        <f aca="false">IFERROR(ROUND(C7*(1+ASSUMPTIONS!$B$29),0),0)</f>
        <v>17</v>
      </c>
      <c r="E7" s="19" t="n">
        <f aca="false">IFERROR(ROUND(D7*(1+ASSUMPTIONS!$B$29),0),0)</f>
        <v>18</v>
      </c>
      <c r="F7" s="19" t="n">
        <f aca="false">IFERROR(ROUND(E7*(1+ASSUMPTIONS!$B$29),0),0)</f>
        <v>19</v>
      </c>
      <c r="G7" s="19" t="n">
        <f aca="false">IFERROR(ROUND(F7*(1+ASSUMPTIONS!$B$29),0),0)</f>
        <v>21</v>
      </c>
      <c r="H7" s="19" t="n">
        <f aca="false">IFERROR(ROUND(G7*(1+ASSUMPTIONS!$B$29),0),0)</f>
        <v>23</v>
      </c>
      <c r="I7" s="19" t="n">
        <f aca="false">IFERROR(ROUND(H7*(1+ASSUMPTIONS!$B$29),0),0)</f>
        <v>25</v>
      </c>
      <c r="J7" s="19" t="n">
        <f aca="false">IFERROR(ROUND(I7*(1+ASSUMPTIONS!$B$29),0),0)</f>
        <v>27</v>
      </c>
      <c r="K7" s="19" t="n">
        <f aca="false">IFERROR(ROUND(J7*(1+ASSUMPTIONS!$B$29),0),0)</f>
        <v>29</v>
      </c>
      <c r="L7" s="19" t="n">
        <f aca="false">IFERROR(ROUND(K7*(1+ASSUMPTIONS!$B$29),0),0)</f>
        <v>31</v>
      </c>
      <c r="M7" s="19" t="n">
        <f aca="false">IFERROR(ROUND(L7*(1+ASSUMPTIONS!$B$29),0),0)</f>
        <v>33</v>
      </c>
      <c r="N7" s="19" t="n">
        <f aca="false">IFERROR(ROUND(M7*(1+ASSUMPTIONS!$B$29),0),0)</f>
        <v>36</v>
      </c>
      <c r="O7" s="19" t="n">
        <f aca="false">IFERROR(ROUND(N7*(1+ASSUMPTIONS!$B$29),0),0)</f>
        <v>39</v>
      </c>
      <c r="P7" s="19" t="n">
        <f aca="false">IFERROR(ROUND(O7*(1+ASSUMPTIONS!$B$29),0),0)</f>
        <v>42</v>
      </c>
      <c r="Q7" s="19" t="n">
        <f aca="false">IFERROR(ROUND(P7*(1+ASSUMPTIONS!$B$29),0),0)</f>
        <v>45</v>
      </c>
      <c r="R7" s="19" t="n">
        <f aca="false">IFERROR(ROUND(Q7*(1+ASSUMPTIONS!$B$29),0),0)</f>
        <v>49</v>
      </c>
      <c r="S7" s="19" t="n">
        <f aca="false">IFERROR(ROUND(R7*(1+ASSUMPTIONS!$B$29),0),0)</f>
        <v>53</v>
      </c>
      <c r="T7" s="19" t="n">
        <f aca="false">IFERROR(ROUND(S7*(1+ASSUMPTIONS!$B$29),0),0)</f>
        <v>57</v>
      </c>
      <c r="U7" s="19" t="n">
        <f aca="false">IFERROR(ROUND(T7*(1+ASSUMPTIONS!$B$29),0),0)</f>
        <v>62</v>
      </c>
      <c r="V7" s="19" t="n">
        <f aca="false">IFERROR(ROUND(U7*(1+ASSUMPTIONS!$B$29),0),0)</f>
        <v>67</v>
      </c>
      <c r="W7" s="19" t="n">
        <f aca="false">IFERROR(ROUND(V7*(1+ASSUMPTIONS!$B$29),0),0)</f>
        <v>72</v>
      </c>
      <c r="X7" s="19" t="n">
        <f aca="false">IFERROR(ROUND(W7*(1+ASSUMPTIONS!$B$29),0),0)</f>
        <v>78</v>
      </c>
      <c r="Y7" s="19" t="n">
        <f aca="false">IFERROR(ROUND(X7*(1+ASSUMPTIONS!$B$29),0),0)</f>
        <v>84</v>
      </c>
      <c r="Z7" s="19" t="n">
        <f aca="false">IFERROR(ROUND(Y7*(1+ASSUMPTIONS!$B$29),0),0)</f>
        <v>91</v>
      </c>
      <c r="AA7" s="19" t="n">
        <f aca="false">IFERROR(ROUND(Z7*(1+ASSUMPTIONS!$B$29),0),0)</f>
        <v>98</v>
      </c>
      <c r="AB7" s="19" t="n">
        <f aca="false">IFERROR(ROUND(AA7*(1+ASSUMPTIONS!$B$29),0),0)</f>
        <v>106</v>
      </c>
      <c r="AC7" s="19" t="n">
        <f aca="false">IFERROR(ROUND(AB7*(1+ASSUMPTIONS!$B$29),0),0)</f>
        <v>114</v>
      </c>
      <c r="AD7" s="19" t="n">
        <f aca="false">IFERROR(ROUND(AC7*(1+ASSUMPTIONS!$B$29),0),0)</f>
        <v>123</v>
      </c>
      <c r="AE7" s="19" t="n">
        <f aca="false">IFERROR(ROUND(AD7*(1+ASSUMPTIONS!$B$29),0),0)</f>
        <v>133</v>
      </c>
      <c r="AF7" s="19" t="n">
        <f aca="false">IFERROR(ROUND(AE7*(1+ASSUMPTIONS!$B$29),0),0)</f>
        <v>144</v>
      </c>
      <c r="AG7" s="19" t="n">
        <f aca="false">IFERROR(ROUND(AF7*(1+ASSUMPTIONS!$B$29),0),0)</f>
        <v>156</v>
      </c>
      <c r="AH7" s="19" t="n">
        <f aca="false">IFERROR(ROUND(AG7*(1+ASSUMPTIONS!$B$29),0),0)</f>
        <v>168</v>
      </c>
      <c r="AI7" s="19" t="n">
        <f aca="false">IFERROR(ROUND(AH7*(1+ASSUMPTIONS!$B$29),0),0)</f>
        <v>181</v>
      </c>
      <c r="AJ7" s="19" t="n">
        <f aca="false">IFERROR(ROUND(AI7*(1+ASSUMPTIONS!$B$29),0),0)</f>
        <v>195</v>
      </c>
      <c r="AK7" s="19" t="n">
        <f aca="false">IFERROR(ROUND(AJ7*(1+ASSUMPTIONS!$B$29),0),0)</f>
        <v>211</v>
      </c>
    </row>
    <row r="8" customFormat="false" ht="15" hidden="false" customHeight="true" outlineLevel="0" collapsed="false">
      <c r="A8" s="13" t="s">
        <v>164</v>
      </c>
      <c r="B8" s="24" t="n">
        <f aca="false">IFERROR(ROUND(ASSUMPTIONS!$B$27*ASSUMPTIONS!$B$30,0),0)</f>
        <v>2</v>
      </c>
      <c r="C8" s="24" t="n">
        <f aca="false">IFERROR(ROUND(B9*ASSUMPTIONS!$B$30,0),0)</f>
        <v>2</v>
      </c>
      <c r="D8" s="24" t="n">
        <f aca="false">IFERROR(ROUND(C9*ASSUMPTIONS!$B$30,0),0)</f>
        <v>3</v>
      </c>
      <c r="E8" s="24" t="n">
        <f aca="false">IFERROR(ROUND(D9*ASSUMPTIONS!$B$30,0),0)</f>
        <v>4</v>
      </c>
      <c r="F8" s="24" t="n">
        <f aca="false">IFERROR(ROUND(E9*ASSUMPTIONS!$B$30,0),0)</f>
        <v>4</v>
      </c>
      <c r="G8" s="24" t="n">
        <f aca="false">IFERROR(ROUND(F9*ASSUMPTIONS!$B$30,0),0)</f>
        <v>5</v>
      </c>
      <c r="H8" s="24" t="n">
        <f aca="false">IFERROR(ROUND(G9*ASSUMPTIONS!$B$30,0),0)</f>
        <v>6</v>
      </c>
      <c r="I8" s="24" t="n">
        <f aca="false">IFERROR(ROUND(H9*ASSUMPTIONS!$B$30,0),0)</f>
        <v>6</v>
      </c>
      <c r="J8" s="24" t="n">
        <f aca="false">IFERROR(ROUND(I9*ASSUMPTIONS!$B$30,0),0)</f>
        <v>7</v>
      </c>
      <c r="K8" s="24" t="n">
        <f aca="false">IFERROR(ROUND(J9*ASSUMPTIONS!$B$30,0),0)</f>
        <v>8</v>
      </c>
      <c r="L8" s="24" t="n">
        <f aca="false">IFERROR(ROUND(K9*ASSUMPTIONS!$B$30,0),0)</f>
        <v>9</v>
      </c>
      <c r="M8" s="24" t="n">
        <f aca="false">IFERROR(ROUND(L9*ASSUMPTIONS!$B$30,0),0)</f>
        <v>10</v>
      </c>
      <c r="N8" s="24" t="n">
        <f aca="false">IFERROR(ROUND(M9*ASSUMPTIONS!$B$30,0),0)</f>
        <v>11</v>
      </c>
      <c r="O8" s="24" t="n">
        <f aca="false">IFERROR(ROUND(N9*ASSUMPTIONS!$B$30,0),0)</f>
        <v>12</v>
      </c>
      <c r="P8" s="24" t="n">
        <f aca="false">IFERROR(ROUND(O9*ASSUMPTIONS!$B$30,0),0)</f>
        <v>14</v>
      </c>
      <c r="Q8" s="24" t="n">
        <f aca="false">IFERROR(ROUND(P9*ASSUMPTIONS!$B$30,0),0)</f>
        <v>15</v>
      </c>
      <c r="R8" s="24" t="n">
        <f aca="false">IFERROR(ROUND(Q9*ASSUMPTIONS!$B$30,0),0)</f>
        <v>16</v>
      </c>
      <c r="S8" s="24" t="n">
        <f aca="false">IFERROR(ROUND(R9*ASSUMPTIONS!$B$30,0),0)</f>
        <v>18</v>
      </c>
      <c r="T8" s="24" t="n">
        <f aca="false">IFERROR(ROUND(S9*ASSUMPTIONS!$B$30,0),0)</f>
        <v>19</v>
      </c>
      <c r="U8" s="24" t="n">
        <f aca="false">IFERROR(ROUND(T9*ASSUMPTIONS!$B$30,0),0)</f>
        <v>21</v>
      </c>
      <c r="V8" s="24" t="n">
        <f aca="false">IFERROR(ROUND(U9*ASSUMPTIONS!$B$30,0),0)</f>
        <v>23</v>
      </c>
      <c r="W8" s="24" t="n">
        <f aca="false">IFERROR(ROUND(V9*ASSUMPTIONS!$B$30,0),0)</f>
        <v>25</v>
      </c>
      <c r="X8" s="24" t="n">
        <f aca="false">IFERROR(ROUND(W9*ASSUMPTIONS!$B$30,0),0)</f>
        <v>27</v>
      </c>
      <c r="Y8" s="24" t="n">
        <f aca="false">IFERROR(ROUND(X9*ASSUMPTIONS!$B$30,0),0)</f>
        <v>29</v>
      </c>
      <c r="Z8" s="24" t="n">
        <f aca="false">IFERROR(ROUND(Y9*ASSUMPTIONS!$B$30,0),0)</f>
        <v>32</v>
      </c>
      <c r="AA8" s="24" t="n">
        <f aca="false">IFERROR(ROUND(Z9*ASSUMPTIONS!$B$30,0),0)</f>
        <v>34</v>
      </c>
      <c r="AB8" s="24" t="n">
        <f aca="false">IFERROR(ROUND(AA9*ASSUMPTIONS!$B$30,0),0)</f>
        <v>37</v>
      </c>
      <c r="AC8" s="24" t="n">
        <f aca="false">IFERROR(ROUND(AB9*ASSUMPTIONS!$B$30,0),0)</f>
        <v>40</v>
      </c>
      <c r="AD8" s="24" t="n">
        <f aca="false">IFERROR(ROUND(AC9*ASSUMPTIONS!$B$30,0),0)</f>
        <v>44</v>
      </c>
      <c r="AE8" s="24" t="n">
        <f aca="false">IFERROR(ROUND(AD9*ASSUMPTIONS!$B$30,0),0)</f>
        <v>47</v>
      </c>
      <c r="AF8" s="24" t="n">
        <f aca="false">IFERROR(ROUND(AE9*ASSUMPTIONS!$B$30,0),0)</f>
        <v>51</v>
      </c>
      <c r="AG8" s="24" t="n">
        <f aca="false">IFERROR(ROUND(AF9*ASSUMPTIONS!$B$30,0),0)</f>
        <v>55</v>
      </c>
      <c r="AH8" s="24" t="n">
        <f aca="false">IFERROR(ROUND(AG9*ASSUMPTIONS!$B$30,0),0)</f>
        <v>60</v>
      </c>
      <c r="AI8" s="24" t="n">
        <f aca="false">IFERROR(ROUND(AH9*ASSUMPTIONS!$B$30,0),0)</f>
        <v>65</v>
      </c>
      <c r="AJ8" s="24" t="n">
        <f aca="false">IFERROR(ROUND(AI9*ASSUMPTIONS!$B$30,0),0)</f>
        <v>70</v>
      </c>
      <c r="AK8" s="24" t="n">
        <f aca="false">IFERROR(ROUND(AJ9*ASSUMPTIONS!$B$30,0),0)</f>
        <v>75</v>
      </c>
    </row>
    <row r="9" customFormat="false" ht="15" hidden="false" customHeight="true" outlineLevel="0" collapsed="false">
      <c r="A9" s="11" t="s">
        <v>165</v>
      </c>
      <c r="B9" s="19" t="n">
        <f aca="false">IFERROR(ASSUMPTIONS!$B$27+B7-B8,0)</f>
        <v>53</v>
      </c>
      <c r="C9" s="19" t="n">
        <f aca="false">IFERROR(B9+C7-C8,0)</f>
        <v>67</v>
      </c>
      <c r="D9" s="19" t="n">
        <f aca="false">IFERROR(C9+D7-D8,0)</f>
        <v>81</v>
      </c>
      <c r="E9" s="19" t="n">
        <f aca="false">IFERROR(D9+E7-E8,0)</f>
        <v>95</v>
      </c>
      <c r="F9" s="19" t="n">
        <f aca="false">IFERROR(E9+F7-F8,0)</f>
        <v>110</v>
      </c>
      <c r="G9" s="19" t="n">
        <f aca="false">IFERROR(F9+G7-G8,0)</f>
        <v>126</v>
      </c>
      <c r="H9" s="19" t="n">
        <f aca="false">IFERROR(G9+H7-H8,0)</f>
        <v>143</v>
      </c>
      <c r="I9" s="19" t="n">
        <f aca="false">IFERROR(H9+I7-I8,0)</f>
        <v>162</v>
      </c>
      <c r="J9" s="19" t="n">
        <f aca="false">IFERROR(I9+J7-J8,0)</f>
        <v>182</v>
      </c>
      <c r="K9" s="19" t="n">
        <f aca="false">IFERROR(J9+K7-K8,0)</f>
        <v>203</v>
      </c>
      <c r="L9" s="19" t="n">
        <f aca="false">IFERROR(K9+L7-L8,0)</f>
        <v>225</v>
      </c>
      <c r="M9" s="19" t="n">
        <f aca="false">IFERROR(L9+M7-M8,0)</f>
        <v>248</v>
      </c>
      <c r="N9" s="19" t="n">
        <f aca="false">IFERROR(M9+N7-N8,0)</f>
        <v>273</v>
      </c>
      <c r="O9" s="19" t="n">
        <f aca="false">IFERROR(N9+O7-O8,0)</f>
        <v>300</v>
      </c>
      <c r="P9" s="19" t="n">
        <f aca="false">IFERROR(O9+P7-P8,0)</f>
        <v>328</v>
      </c>
      <c r="Q9" s="19" t="n">
        <f aca="false">IFERROR(P9+Q7-Q8,0)</f>
        <v>358</v>
      </c>
      <c r="R9" s="19" t="n">
        <f aca="false">IFERROR(Q9+R7-R8,0)</f>
        <v>391</v>
      </c>
      <c r="S9" s="19" t="n">
        <f aca="false">IFERROR(R9+S7-S8,0)</f>
        <v>426</v>
      </c>
      <c r="T9" s="19" t="n">
        <f aca="false">IFERROR(S9+T7-T8,0)</f>
        <v>464</v>
      </c>
      <c r="U9" s="19" t="n">
        <f aca="false">IFERROR(T9+U7-U8,0)</f>
        <v>505</v>
      </c>
      <c r="V9" s="19" t="n">
        <f aca="false">IFERROR(U9+V7-V8,0)</f>
        <v>549</v>
      </c>
      <c r="W9" s="19" t="n">
        <f aca="false">IFERROR(V9+W7-W8,0)</f>
        <v>596</v>
      </c>
      <c r="X9" s="19" t="n">
        <f aca="false">IFERROR(W9+X7-X8,0)</f>
        <v>647</v>
      </c>
      <c r="Y9" s="19" t="n">
        <f aca="false">IFERROR(X9+Y7-Y8,0)</f>
        <v>702</v>
      </c>
      <c r="Z9" s="19" t="n">
        <f aca="false">IFERROR(Y9+Z7-Z8,0)</f>
        <v>761</v>
      </c>
      <c r="AA9" s="19" t="n">
        <f aca="false">IFERROR(Z9+AA7-AA8,0)</f>
        <v>825</v>
      </c>
      <c r="AB9" s="19" t="n">
        <f aca="false">IFERROR(AA9+AB7-AB8,0)</f>
        <v>894</v>
      </c>
      <c r="AC9" s="19" t="n">
        <f aca="false">IFERROR(AB9+AC7-AC8,0)</f>
        <v>968</v>
      </c>
      <c r="AD9" s="19" t="n">
        <f aca="false">IFERROR(AC9+AD7-AD8,0)</f>
        <v>1047</v>
      </c>
      <c r="AE9" s="19" t="n">
        <f aca="false">IFERROR(AD9+AE7-AE8,0)</f>
        <v>1133</v>
      </c>
      <c r="AF9" s="19" t="n">
        <f aca="false">IFERROR(AE9+AF7-AF8,0)</f>
        <v>1226</v>
      </c>
      <c r="AG9" s="19" t="n">
        <f aca="false">IFERROR(AF9+AG7-AG8,0)</f>
        <v>1327</v>
      </c>
      <c r="AH9" s="19" t="n">
        <f aca="false">IFERROR(AG9+AH7-AH8,0)</f>
        <v>1435</v>
      </c>
      <c r="AI9" s="19" t="n">
        <f aca="false">IFERROR(AH9+AI7-AI8,0)</f>
        <v>1551</v>
      </c>
      <c r="AJ9" s="19" t="n">
        <f aca="false">IFERROR(AI9+AJ7-AJ8,0)</f>
        <v>1676</v>
      </c>
      <c r="AK9" s="19" t="n">
        <f aca="false">IFERROR(AJ9+AK7-AK8,0)</f>
        <v>1812</v>
      </c>
    </row>
    <row r="11" customFormat="false" ht="15" hidden="false" customHeight="true" outlineLevel="0" collapsed="false">
      <c r="A11" s="11" t="s">
        <v>166</v>
      </c>
      <c r="B11" s="19" t="n">
        <f aca="false">IFERROR(ASSUMPTIONS!$B$32,0)</f>
        <v>6</v>
      </c>
      <c r="C11" s="19" t="n">
        <f aca="false">IFERROR(ROUND(B11*(1+ASSUMPTIONS!$B$33),0),0)</f>
        <v>6</v>
      </c>
      <c r="D11" s="19" t="n">
        <f aca="false">IFERROR(ROUND(C11*(1+ASSUMPTIONS!$B$33),0),0)</f>
        <v>6</v>
      </c>
      <c r="E11" s="19" t="n">
        <f aca="false">IFERROR(ROUND(D11*(1+ASSUMPTIONS!$B$33),0),0)</f>
        <v>6</v>
      </c>
      <c r="F11" s="19" t="n">
        <f aca="false">IFERROR(ROUND(E11*(1+ASSUMPTIONS!$B$33),0),0)</f>
        <v>6</v>
      </c>
      <c r="G11" s="19" t="n">
        <f aca="false">IFERROR(ROUND(F11*(1+ASSUMPTIONS!$B$33),0),0)</f>
        <v>6</v>
      </c>
      <c r="H11" s="19" t="n">
        <f aca="false">IFERROR(ROUND(G11*(1+ASSUMPTIONS!$B$33),0),0)</f>
        <v>6</v>
      </c>
      <c r="I11" s="19" t="n">
        <f aca="false">IFERROR(ROUND(H11*(1+ASSUMPTIONS!$B$33),0),0)</f>
        <v>6</v>
      </c>
      <c r="J11" s="19" t="n">
        <f aca="false">IFERROR(ROUND(I11*(1+ASSUMPTIONS!$B$33),0),0)</f>
        <v>6</v>
      </c>
      <c r="K11" s="19" t="n">
        <f aca="false">IFERROR(ROUND(J11*(1+ASSUMPTIONS!$B$33),0),0)</f>
        <v>6</v>
      </c>
      <c r="L11" s="19" t="n">
        <f aca="false">IFERROR(ROUND(K11*(1+ASSUMPTIONS!$B$33),0),0)</f>
        <v>6</v>
      </c>
      <c r="M11" s="19" t="n">
        <f aca="false">IFERROR(ROUND(L11*(1+ASSUMPTIONS!$B$33),0),0)</f>
        <v>6</v>
      </c>
      <c r="N11" s="19" t="n">
        <f aca="false">IFERROR(ROUND(M11*(1+ASSUMPTIONS!$B$33),0),0)</f>
        <v>6</v>
      </c>
      <c r="O11" s="19" t="n">
        <f aca="false">IFERROR(ROUND(N11*(1+ASSUMPTIONS!$B$33),0),0)</f>
        <v>6</v>
      </c>
      <c r="P11" s="19" t="n">
        <f aca="false">IFERROR(ROUND(O11*(1+ASSUMPTIONS!$B$33),0),0)</f>
        <v>6</v>
      </c>
      <c r="Q11" s="19" t="n">
        <f aca="false">IFERROR(ROUND(P11*(1+ASSUMPTIONS!$B$33),0),0)</f>
        <v>6</v>
      </c>
      <c r="R11" s="19" t="n">
        <f aca="false">IFERROR(ROUND(Q11*(1+ASSUMPTIONS!$B$33),0),0)</f>
        <v>6</v>
      </c>
      <c r="S11" s="19" t="n">
        <f aca="false">IFERROR(ROUND(R11*(1+ASSUMPTIONS!$B$33),0),0)</f>
        <v>6</v>
      </c>
      <c r="T11" s="19" t="n">
        <f aca="false">IFERROR(ROUND(S11*(1+ASSUMPTIONS!$B$33),0),0)</f>
        <v>6</v>
      </c>
      <c r="U11" s="19" t="n">
        <f aca="false">IFERROR(ROUND(T11*(1+ASSUMPTIONS!$B$33),0),0)</f>
        <v>6</v>
      </c>
      <c r="V11" s="19" t="n">
        <f aca="false">IFERROR(ROUND(U11*(1+ASSUMPTIONS!$B$33),0),0)</f>
        <v>6</v>
      </c>
      <c r="W11" s="19" t="n">
        <f aca="false">IFERROR(ROUND(V11*(1+ASSUMPTIONS!$B$33),0),0)</f>
        <v>6</v>
      </c>
      <c r="X11" s="19" t="n">
        <f aca="false">IFERROR(ROUND(W11*(1+ASSUMPTIONS!$B$33),0),0)</f>
        <v>6</v>
      </c>
      <c r="Y11" s="19" t="n">
        <f aca="false">IFERROR(ROUND(X11*(1+ASSUMPTIONS!$B$33),0),0)</f>
        <v>6</v>
      </c>
      <c r="Z11" s="19" t="n">
        <f aca="false">IFERROR(ROUND(Y11*(1+ASSUMPTIONS!$B$33),0),0)</f>
        <v>6</v>
      </c>
      <c r="AA11" s="19" t="n">
        <f aca="false">IFERROR(ROUND(Z11*(1+ASSUMPTIONS!$B$33),0),0)</f>
        <v>6</v>
      </c>
      <c r="AB11" s="19" t="n">
        <f aca="false">IFERROR(ROUND(AA11*(1+ASSUMPTIONS!$B$33),0),0)</f>
        <v>6</v>
      </c>
      <c r="AC11" s="19" t="n">
        <f aca="false">IFERROR(ROUND(AB11*(1+ASSUMPTIONS!$B$33),0),0)</f>
        <v>6</v>
      </c>
      <c r="AD11" s="19" t="n">
        <f aca="false">IFERROR(ROUND(AC11*(1+ASSUMPTIONS!$B$33),0),0)</f>
        <v>6</v>
      </c>
      <c r="AE11" s="19" t="n">
        <f aca="false">IFERROR(ROUND(AD11*(1+ASSUMPTIONS!$B$33),0),0)</f>
        <v>6</v>
      </c>
      <c r="AF11" s="19" t="n">
        <f aca="false">IFERROR(ROUND(AE11*(1+ASSUMPTIONS!$B$33),0),0)</f>
        <v>6</v>
      </c>
      <c r="AG11" s="19" t="n">
        <f aca="false">IFERROR(ROUND(AF11*(1+ASSUMPTIONS!$B$33),0),0)</f>
        <v>6</v>
      </c>
      <c r="AH11" s="19" t="n">
        <f aca="false">IFERROR(ROUND(AG11*(1+ASSUMPTIONS!$B$33),0),0)</f>
        <v>6</v>
      </c>
      <c r="AI11" s="19" t="n">
        <f aca="false">IFERROR(ROUND(AH11*(1+ASSUMPTIONS!$B$33),0),0)</f>
        <v>6</v>
      </c>
      <c r="AJ11" s="19" t="n">
        <f aca="false">IFERROR(ROUND(AI11*(1+ASSUMPTIONS!$B$33),0),0)</f>
        <v>6</v>
      </c>
      <c r="AK11" s="19" t="n">
        <f aca="false">IFERROR(ROUND(AJ11*(1+ASSUMPTIONS!$B$33),0),0)</f>
        <v>6</v>
      </c>
    </row>
    <row r="12" customFormat="false" ht="15" hidden="false" customHeight="true" outlineLevel="0" collapsed="false">
      <c r="A12" s="13" t="s">
        <v>167</v>
      </c>
      <c r="B12" s="24" t="n">
        <f aca="false">IFERROR(ROUND(ASSUMPTIONS!$B$31*ASSUMPTIONS!$B$34,0),0)</f>
        <v>1</v>
      </c>
      <c r="C12" s="24" t="n">
        <f aca="false">IFERROR(ROUND(B13*ASSUMPTIONS!$B$34,0),0)</f>
        <v>1</v>
      </c>
      <c r="D12" s="24" t="n">
        <f aca="false">IFERROR(ROUND(C13*ASSUMPTIONS!$B$34,0),0)</f>
        <v>1</v>
      </c>
      <c r="E12" s="24" t="n">
        <f aca="false">IFERROR(ROUND(D13*ASSUMPTIONS!$B$34,0),0)</f>
        <v>1</v>
      </c>
      <c r="F12" s="24" t="n">
        <f aca="false">IFERROR(ROUND(E13*ASSUMPTIONS!$B$34,0),0)</f>
        <v>1</v>
      </c>
      <c r="G12" s="24" t="n">
        <f aca="false">IFERROR(ROUND(F13*ASSUMPTIONS!$B$34,0),0)</f>
        <v>1</v>
      </c>
      <c r="H12" s="24" t="n">
        <f aca="false">IFERROR(ROUND(G13*ASSUMPTIONS!$B$34,0),0)</f>
        <v>2</v>
      </c>
      <c r="I12" s="24" t="n">
        <f aca="false">IFERROR(ROUND(H13*ASSUMPTIONS!$B$34,0),0)</f>
        <v>2</v>
      </c>
      <c r="J12" s="24" t="n">
        <f aca="false">IFERROR(ROUND(I13*ASSUMPTIONS!$B$34,0),0)</f>
        <v>2</v>
      </c>
      <c r="K12" s="24" t="n">
        <f aca="false">IFERROR(ROUND(J13*ASSUMPTIONS!$B$34,0),0)</f>
        <v>2</v>
      </c>
      <c r="L12" s="24" t="n">
        <f aca="false">IFERROR(ROUND(K13*ASSUMPTIONS!$B$34,0),0)</f>
        <v>2</v>
      </c>
      <c r="M12" s="24" t="n">
        <f aca="false">IFERROR(ROUND(L13*ASSUMPTIONS!$B$34,0),0)</f>
        <v>2</v>
      </c>
      <c r="N12" s="24" t="n">
        <f aca="false">IFERROR(ROUND(M13*ASSUMPTIONS!$B$34,0),0)</f>
        <v>2</v>
      </c>
      <c r="O12" s="24" t="n">
        <f aca="false">IFERROR(ROUND(N13*ASSUMPTIONS!$B$34,0),0)</f>
        <v>2</v>
      </c>
      <c r="P12" s="24" t="n">
        <f aca="false">IFERROR(ROUND(O13*ASSUMPTIONS!$B$34,0),0)</f>
        <v>2</v>
      </c>
      <c r="Q12" s="24" t="n">
        <f aca="false">IFERROR(ROUND(P13*ASSUMPTIONS!$B$34,0),0)</f>
        <v>3</v>
      </c>
      <c r="R12" s="24" t="n">
        <f aca="false">IFERROR(ROUND(Q13*ASSUMPTIONS!$B$34,0),0)</f>
        <v>3</v>
      </c>
      <c r="S12" s="24" t="n">
        <f aca="false">IFERROR(ROUND(R13*ASSUMPTIONS!$B$34,0),0)</f>
        <v>3</v>
      </c>
      <c r="T12" s="24" t="n">
        <f aca="false">IFERROR(ROUND(S13*ASSUMPTIONS!$B$34,0),0)</f>
        <v>3</v>
      </c>
      <c r="U12" s="24" t="n">
        <f aca="false">IFERROR(ROUND(T13*ASSUMPTIONS!$B$34,0),0)</f>
        <v>3</v>
      </c>
      <c r="V12" s="24" t="n">
        <f aca="false">IFERROR(ROUND(U13*ASSUMPTIONS!$B$34,0),0)</f>
        <v>3</v>
      </c>
      <c r="W12" s="24" t="n">
        <f aca="false">IFERROR(ROUND(V13*ASSUMPTIONS!$B$34,0),0)</f>
        <v>3</v>
      </c>
      <c r="X12" s="24" t="n">
        <f aca="false">IFERROR(ROUND(W13*ASSUMPTIONS!$B$34,0),0)</f>
        <v>3</v>
      </c>
      <c r="Y12" s="24" t="n">
        <f aca="false">IFERROR(ROUND(X13*ASSUMPTIONS!$B$34,0),0)</f>
        <v>3</v>
      </c>
      <c r="Z12" s="24" t="n">
        <f aca="false">IFERROR(ROUND(Y13*ASSUMPTIONS!$B$34,0),0)</f>
        <v>3</v>
      </c>
      <c r="AA12" s="24" t="n">
        <f aca="false">IFERROR(ROUND(Z13*ASSUMPTIONS!$B$34,0),0)</f>
        <v>3</v>
      </c>
      <c r="AB12" s="24" t="n">
        <f aca="false">IFERROR(ROUND(AA13*ASSUMPTIONS!$B$34,0),0)</f>
        <v>4</v>
      </c>
      <c r="AC12" s="24" t="n">
        <f aca="false">IFERROR(ROUND(AB13*ASSUMPTIONS!$B$34,0),0)</f>
        <v>4</v>
      </c>
      <c r="AD12" s="24" t="n">
        <f aca="false">IFERROR(ROUND(AC13*ASSUMPTIONS!$B$34,0),0)</f>
        <v>4</v>
      </c>
      <c r="AE12" s="24" t="n">
        <f aca="false">IFERROR(ROUND(AD13*ASSUMPTIONS!$B$34,0),0)</f>
        <v>4</v>
      </c>
      <c r="AF12" s="24" t="n">
        <f aca="false">IFERROR(ROUND(AE13*ASSUMPTIONS!$B$34,0),0)</f>
        <v>4</v>
      </c>
      <c r="AG12" s="24" t="n">
        <f aca="false">IFERROR(ROUND(AF13*ASSUMPTIONS!$B$34,0),0)</f>
        <v>4</v>
      </c>
      <c r="AH12" s="24" t="n">
        <f aca="false">IFERROR(ROUND(AG13*ASSUMPTIONS!$B$34,0),0)</f>
        <v>4</v>
      </c>
      <c r="AI12" s="24" t="n">
        <f aca="false">IFERROR(ROUND(AH13*ASSUMPTIONS!$B$34,0),0)</f>
        <v>4</v>
      </c>
      <c r="AJ12" s="24" t="n">
        <f aca="false">IFERROR(ROUND(AI13*ASSUMPTIONS!$B$34,0),0)</f>
        <v>4</v>
      </c>
      <c r="AK12" s="24" t="n">
        <f aca="false">IFERROR(ROUND(AJ13*ASSUMPTIONS!$B$34,0),0)</f>
        <v>4</v>
      </c>
    </row>
    <row r="13" customFormat="false" ht="15" hidden="false" customHeight="true" outlineLevel="0" collapsed="false">
      <c r="A13" s="11" t="s">
        <v>168</v>
      </c>
      <c r="B13" s="19" t="n">
        <f aca="false">IFERROR(ASSUMPTIONS!$B$31+B11-B12,0)</f>
        <v>25</v>
      </c>
      <c r="C13" s="19" t="n">
        <f aca="false">IFERROR(B13+C11-C12,0)</f>
        <v>30</v>
      </c>
      <c r="D13" s="19" t="n">
        <f aca="false">IFERROR(C13+D11-D12,0)</f>
        <v>35</v>
      </c>
      <c r="E13" s="19" t="n">
        <f aca="false">IFERROR(D13+E11-E12,0)</f>
        <v>40</v>
      </c>
      <c r="F13" s="19" t="n">
        <f aca="false">IFERROR(E13+F11-F12,0)</f>
        <v>45</v>
      </c>
      <c r="G13" s="19" t="n">
        <f aca="false">IFERROR(F13+G11-G12,0)</f>
        <v>50</v>
      </c>
      <c r="H13" s="19" t="n">
        <f aca="false">IFERROR(G13+H11-H12,0)</f>
        <v>54</v>
      </c>
      <c r="I13" s="19" t="n">
        <f aca="false">IFERROR(H13+I11-I12,0)</f>
        <v>58</v>
      </c>
      <c r="J13" s="19" t="n">
        <f aca="false">IFERROR(I13+J11-J12,0)</f>
        <v>62</v>
      </c>
      <c r="K13" s="19" t="n">
        <f aca="false">IFERROR(J13+K11-K12,0)</f>
        <v>66</v>
      </c>
      <c r="L13" s="19" t="n">
        <f aca="false">IFERROR(K13+L11-L12,0)</f>
        <v>70</v>
      </c>
      <c r="M13" s="19" t="n">
        <f aca="false">IFERROR(L13+M11-M12,0)</f>
        <v>74</v>
      </c>
      <c r="N13" s="19" t="n">
        <f aca="false">IFERROR(M13+N11-N12,0)</f>
        <v>78</v>
      </c>
      <c r="O13" s="19" t="n">
        <f aca="false">IFERROR(N13+O11-O12,0)</f>
        <v>82</v>
      </c>
      <c r="P13" s="19" t="n">
        <f aca="false">IFERROR(O13+P11-P12,0)</f>
        <v>86</v>
      </c>
      <c r="Q13" s="19" t="n">
        <f aca="false">IFERROR(P13+Q11-Q12,0)</f>
        <v>89</v>
      </c>
      <c r="R13" s="19" t="n">
        <f aca="false">IFERROR(Q13+R11-R12,0)</f>
        <v>92</v>
      </c>
      <c r="S13" s="19" t="n">
        <f aca="false">IFERROR(R13+S11-S12,0)</f>
        <v>95</v>
      </c>
      <c r="T13" s="19" t="n">
        <f aca="false">IFERROR(S13+T11-T12,0)</f>
        <v>98</v>
      </c>
      <c r="U13" s="19" t="n">
        <f aca="false">IFERROR(T13+U11-U12,0)</f>
        <v>101</v>
      </c>
      <c r="V13" s="19" t="n">
        <f aca="false">IFERROR(U13+V11-V12,0)</f>
        <v>104</v>
      </c>
      <c r="W13" s="19" t="n">
        <f aca="false">IFERROR(V13+W11-W12,0)</f>
        <v>107</v>
      </c>
      <c r="X13" s="19" t="n">
        <f aca="false">IFERROR(W13+X11-X12,0)</f>
        <v>110</v>
      </c>
      <c r="Y13" s="19" t="n">
        <f aca="false">IFERROR(X13+Y11-Y12,0)</f>
        <v>113</v>
      </c>
      <c r="Z13" s="19" t="n">
        <f aca="false">IFERROR(Y13+Z11-Z12,0)</f>
        <v>116</v>
      </c>
      <c r="AA13" s="19" t="n">
        <f aca="false">IFERROR(Z13+AA11-AA12,0)</f>
        <v>119</v>
      </c>
      <c r="AB13" s="19" t="n">
        <f aca="false">IFERROR(AA13+AB11-AB12,0)</f>
        <v>121</v>
      </c>
      <c r="AC13" s="19" t="n">
        <f aca="false">IFERROR(AB13+AC11-AC12,0)</f>
        <v>123</v>
      </c>
      <c r="AD13" s="19" t="n">
        <f aca="false">IFERROR(AC13+AD11-AD12,0)</f>
        <v>125</v>
      </c>
      <c r="AE13" s="19" t="n">
        <f aca="false">IFERROR(AD13+AE11-AE12,0)</f>
        <v>127</v>
      </c>
      <c r="AF13" s="19" t="n">
        <f aca="false">IFERROR(AE13+AF11-AF12,0)</f>
        <v>129</v>
      </c>
      <c r="AG13" s="19" t="n">
        <f aca="false">IFERROR(AF13+AG11-AG12,0)</f>
        <v>131</v>
      </c>
      <c r="AH13" s="19" t="n">
        <f aca="false">IFERROR(AG13+AH11-AH12,0)</f>
        <v>133</v>
      </c>
      <c r="AI13" s="19" t="n">
        <f aca="false">IFERROR(AH13+AI11-AI12,0)</f>
        <v>135</v>
      </c>
      <c r="AJ13" s="19" t="n">
        <f aca="false">IFERROR(AI13+AJ11-AJ12,0)</f>
        <v>137</v>
      </c>
      <c r="AK13" s="19" t="n">
        <f aca="false">IFERROR(AJ13+AK11-AK12,0)</f>
        <v>139</v>
      </c>
    </row>
    <row r="15" customFormat="false" ht="15" hidden="false" customHeight="true" outlineLevel="0" collapsed="false">
      <c r="A15" s="15" t="s">
        <v>169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</row>
    <row r="16" customFormat="false" ht="15" hidden="false" customHeight="true" outlineLevel="0" collapsed="false">
      <c r="A16" s="13" t="s">
        <v>170</v>
      </c>
      <c r="B16" s="19" t="n">
        <f aca="false">IFERROR(B9*ASSUMPTIONS!$B$35*ASSUMPTIONS!$B$36,0)</f>
        <v>31800</v>
      </c>
      <c r="C16" s="19" t="n">
        <f aca="false">IFERROR(C9*ASSUMPTIONS!$B$35*ASSUMPTIONS!$B$36,0)</f>
        <v>40200</v>
      </c>
      <c r="D16" s="19" t="n">
        <f aca="false">IFERROR(D9*ASSUMPTIONS!$B$35*ASSUMPTIONS!$B$36,0)</f>
        <v>48600</v>
      </c>
      <c r="E16" s="19" t="n">
        <f aca="false">IFERROR(E9*ASSUMPTIONS!$B$35*ASSUMPTIONS!$B$36,0)</f>
        <v>57000</v>
      </c>
      <c r="F16" s="19" t="n">
        <f aca="false">IFERROR(F9*ASSUMPTIONS!$B$35*ASSUMPTIONS!$B$36,0)</f>
        <v>66000</v>
      </c>
      <c r="G16" s="19" t="n">
        <f aca="false">IFERROR(G9*ASSUMPTIONS!$B$35*ASSUMPTIONS!$B$36,0)</f>
        <v>75600</v>
      </c>
      <c r="H16" s="19" t="n">
        <f aca="false">IFERROR(H9*ASSUMPTIONS!$B$35*ASSUMPTIONS!$B$36,0)</f>
        <v>85800</v>
      </c>
      <c r="I16" s="19" t="n">
        <f aca="false">IFERROR(I9*ASSUMPTIONS!$B$35*ASSUMPTIONS!$B$36,0)</f>
        <v>97200</v>
      </c>
      <c r="J16" s="19" t="n">
        <f aca="false">IFERROR(J9*ASSUMPTIONS!$B$35*ASSUMPTIONS!$B$36,0)</f>
        <v>109200</v>
      </c>
      <c r="K16" s="19" t="n">
        <f aca="false">IFERROR(K9*ASSUMPTIONS!$B$35*ASSUMPTIONS!$B$36,0)</f>
        <v>121800</v>
      </c>
      <c r="L16" s="19" t="n">
        <f aca="false">IFERROR(L9*ASSUMPTIONS!$B$35*ASSUMPTIONS!$B$36,0)</f>
        <v>135000</v>
      </c>
      <c r="M16" s="19" t="n">
        <f aca="false">IFERROR(M9*ASSUMPTIONS!$B$35*ASSUMPTIONS!$B$36,0)</f>
        <v>148800</v>
      </c>
      <c r="N16" s="19" t="n">
        <f aca="false">IFERROR(N9*ASSUMPTIONS!$B$35*ASSUMPTIONS!$B$36,0)</f>
        <v>163800</v>
      </c>
      <c r="O16" s="19" t="n">
        <f aca="false">IFERROR(O9*ASSUMPTIONS!$B$35*ASSUMPTIONS!$B$36,0)</f>
        <v>180000</v>
      </c>
      <c r="P16" s="19" t="n">
        <f aca="false">IFERROR(P9*ASSUMPTIONS!$B$35*ASSUMPTIONS!$B$36,0)</f>
        <v>196800</v>
      </c>
      <c r="Q16" s="19" t="n">
        <f aca="false">IFERROR(Q9*ASSUMPTIONS!$B$35*ASSUMPTIONS!$B$36,0)</f>
        <v>214800</v>
      </c>
      <c r="R16" s="19" t="n">
        <f aca="false">IFERROR(R9*ASSUMPTIONS!$B$35*ASSUMPTIONS!$B$36,0)</f>
        <v>234600</v>
      </c>
      <c r="S16" s="19" t="n">
        <f aca="false">IFERROR(S9*ASSUMPTIONS!$B$35*ASSUMPTIONS!$B$36,0)</f>
        <v>255600</v>
      </c>
      <c r="T16" s="19" t="n">
        <f aca="false">IFERROR(T9*ASSUMPTIONS!$B$35*ASSUMPTIONS!$B$36,0)</f>
        <v>278400</v>
      </c>
      <c r="U16" s="19" t="n">
        <f aca="false">IFERROR(U9*ASSUMPTIONS!$B$35*ASSUMPTIONS!$B$36,0)</f>
        <v>303000</v>
      </c>
      <c r="V16" s="19" t="n">
        <f aca="false">IFERROR(V9*ASSUMPTIONS!$B$35*ASSUMPTIONS!$B$36,0)</f>
        <v>329400</v>
      </c>
      <c r="W16" s="19" t="n">
        <f aca="false">IFERROR(W9*ASSUMPTIONS!$B$35*ASSUMPTIONS!$B$36,0)</f>
        <v>357600</v>
      </c>
      <c r="X16" s="19" t="n">
        <f aca="false">IFERROR(X9*ASSUMPTIONS!$B$35*ASSUMPTIONS!$B$36,0)</f>
        <v>388200</v>
      </c>
      <c r="Y16" s="19" t="n">
        <f aca="false">IFERROR(Y9*ASSUMPTIONS!$B$35*ASSUMPTIONS!$B$36,0)</f>
        <v>421200</v>
      </c>
      <c r="Z16" s="19" t="n">
        <f aca="false">IFERROR(Z9*ASSUMPTIONS!$B$35*ASSUMPTIONS!$B$36,0)</f>
        <v>456600</v>
      </c>
      <c r="AA16" s="19" t="n">
        <f aca="false">IFERROR(AA9*ASSUMPTIONS!$B$35*ASSUMPTIONS!$B$36,0)</f>
        <v>495000</v>
      </c>
      <c r="AB16" s="19" t="n">
        <f aca="false">IFERROR(AB9*ASSUMPTIONS!$B$35*ASSUMPTIONS!$B$36,0)</f>
        <v>536400</v>
      </c>
      <c r="AC16" s="19" t="n">
        <f aca="false">IFERROR(AC9*ASSUMPTIONS!$B$35*ASSUMPTIONS!$B$36,0)</f>
        <v>580800</v>
      </c>
      <c r="AD16" s="19" t="n">
        <f aca="false">IFERROR(AD9*ASSUMPTIONS!$B$35*ASSUMPTIONS!$B$36,0)</f>
        <v>628200</v>
      </c>
      <c r="AE16" s="19" t="n">
        <f aca="false">IFERROR(AE9*ASSUMPTIONS!$B$35*ASSUMPTIONS!$B$36,0)</f>
        <v>679800</v>
      </c>
      <c r="AF16" s="19" t="n">
        <f aca="false">IFERROR(AF9*ASSUMPTIONS!$B$35*ASSUMPTIONS!$B$36,0)</f>
        <v>735600</v>
      </c>
      <c r="AG16" s="19" t="n">
        <f aca="false">IFERROR(AG9*ASSUMPTIONS!$B$35*ASSUMPTIONS!$B$36,0)</f>
        <v>796200</v>
      </c>
      <c r="AH16" s="19" t="n">
        <f aca="false">IFERROR(AH9*ASSUMPTIONS!$B$35*ASSUMPTIONS!$B$36,0)</f>
        <v>861000</v>
      </c>
      <c r="AI16" s="19" t="n">
        <f aca="false">IFERROR(AI9*ASSUMPTIONS!$B$35*ASSUMPTIONS!$B$36,0)</f>
        <v>930600</v>
      </c>
      <c r="AJ16" s="19" t="n">
        <f aca="false">IFERROR(AJ9*ASSUMPTIONS!$B$35*ASSUMPTIONS!$B$36,0)</f>
        <v>1005600</v>
      </c>
      <c r="AK16" s="19" t="n">
        <f aca="false">IFERROR(AK9*ASSUMPTIONS!$B$35*ASSUMPTIONS!$B$36,0)</f>
        <v>1087200</v>
      </c>
    </row>
    <row r="17" customFormat="false" ht="15" hidden="false" customHeight="true" outlineLevel="0" collapsed="false">
      <c r="A17" s="11" t="s">
        <v>171</v>
      </c>
      <c r="B17" s="19" t="n">
        <f aca="false">IFERROR(B16*ASSUMPTIONS!$B$37,0)</f>
        <v>4770</v>
      </c>
      <c r="C17" s="19" t="n">
        <f aca="false">IFERROR(C16*ASSUMPTIONS!$B$37,0)</f>
        <v>6030</v>
      </c>
      <c r="D17" s="19" t="n">
        <f aca="false">IFERROR(D16*ASSUMPTIONS!$B$37,0)</f>
        <v>7290</v>
      </c>
      <c r="E17" s="19" t="n">
        <f aca="false">IFERROR(E16*ASSUMPTIONS!$B$37,0)</f>
        <v>8550</v>
      </c>
      <c r="F17" s="19" t="n">
        <f aca="false">IFERROR(F16*ASSUMPTIONS!$B$37,0)</f>
        <v>9900</v>
      </c>
      <c r="G17" s="19" t="n">
        <f aca="false">IFERROR(G16*ASSUMPTIONS!$B$37,0)</f>
        <v>11340</v>
      </c>
      <c r="H17" s="19" t="n">
        <f aca="false">IFERROR(H16*ASSUMPTIONS!$B$37,0)</f>
        <v>12870</v>
      </c>
      <c r="I17" s="19" t="n">
        <f aca="false">IFERROR(I16*ASSUMPTIONS!$B$37,0)</f>
        <v>14580</v>
      </c>
      <c r="J17" s="19" t="n">
        <f aca="false">IFERROR(J16*ASSUMPTIONS!$B$37,0)</f>
        <v>16380</v>
      </c>
      <c r="K17" s="19" t="n">
        <f aca="false">IFERROR(K16*ASSUMPTIONS!$B$37,0)</f>
        <v>18270</v>
      </c>
      <c r="L17" s="19" t="n">
        <f aca="false">IFERROR(L16*ASSUMPTIONS!$B$37,0)</f>
        <v>20250</v>
      </c>
      <c r="M17" s="19" t="n">
        <f aca="false">IFERROR(M16*ASSUMPTIONS!$B$37,0)</f>
        <v>22320</v>
      </c>
      <c r="N17" s="19" t="n">
        <f aca="false">IFERROR(N16*ASSUMPTIONS!$B$37,0)</f>
        <v>24570</v>
      </c>
      <c r="O17" s="19" t="n">
        <f aca="false">IFERROR(O16*ASSUMPTIONS!$B$37,0)</f>
        <v>27000</v>
      </c>
      <c r="P17" s="19" t="n">
        <f aca="false">IFERROR(P16*ASSUMPTIONS!$B$37,0)</f>
        <v>29520</v>
      </c>
      <c r="Q17" s="19" t="n">
        <f aca="false">IFERROR(Q16*ASSUMPTIONS!$B$37,0)</f>
        <v>32220</v>
      </c>
      <c r="R17" s="19" t="n">
        <f aca="false">IFERROR(R16*ASSUMPTIONS!$B$37,0)</f>
        <v>35190</v>
      </c>
      <c r="S17" s="19" t="n">
        <f aca="false">IFERROR(S16*ASSUMPTIONS!$B$37,0)</f>
        <v>38340</v>
      </c>
      <c r="T17" s="19" t="n">
        <f aca="false">IFERROR(T16*ASSUMPTIONS!$B$37,0)</f>
        <v>41760</v>
      </c>
      <c r="U17" s="19" t="n">
        <f aca="false">IFERROR(U16*ASSUMPTIONS!$B$37,0)</f>
        <v>45450</v>
      </c>
      <c r="V17" s="19" t="n">
        <f aca="false">IFERROR(V16*ASSUMPTIONS!$B$37,0)</f>
        <v>49410</v>
      </c>
      <c r="W17" s="19" t="n">
        <f aca="false">IFERROR(W16*ASSUMPTIONS!$B$37,0)</f>
        <v>53640</v>
      </c>
      <c r="X17" s="19" t="n">
        <f aca="false">IFERROR(X16*ASSUMPTIONS!$B$37,0)</f>
        <v>58230</v>
      </c>
      <c r="Y17" s="19" t="n">
        <f aca="false">IFERROR(Y16*ASSUMPTIONS!$B$37,0)</f>
        <v>63180</v>
      </c>
      <c r="Z17" s="19" t="n">
        <f aca="false">IFERROR(Z16*ASSUMPTIONS!$B$37,0)</f>
        <v>68490</v>
      </c>
      <c r="AA17" s="19" t="n">
        <f aca="false">IFERROR(AA16*ASSUMPTIONS!$B$37,0)</f>
        <v>74250</v>
      </c>
      <c r="AB17" s="19" t="n">
        <f aca="false">IFERROR(AB16*ASSUMPTIONS!$B$37,0)</f>
        <v>80460</v>
      </c>
      <c r="AC17" s="19" t="n">
        <f aca="false">IFERROR(AC16*ASSUMPTIONS!$B$37,0)</f>
        <v>87120</v>
      </c>
      <c r="AD17" s="19" t="n">
        <f aca="false">IFERROR(AD16*ASSUMPTIONS!$B$37,0)</f>
        <v>94230</v>
      </c>
      <c r="AE17" s="19" t="n">
        <f aca="false">IFERROR(AE16*ASSUMPTIONS!$B$37,0)</f>
        <v>101970</v>
      </c>
      <c r="AF17" s="19" t="n">
        <f aca="false">IFERROR(AF16*ASSUMPTIONS!$B$37,0)</f>
        <v>110340</v>
      </c>
      <c r="AG17" s="19" t="n">
        <f aca="false">IFERROR(AG16*ASSUMPTIONS!$B$37,0)</f>
        <v>119430</v>
      </c>
      <c r="AH17" s="19" t="n">
        <f aca="false">IFERROR(AH16*ASSUMPTIONS!$B$37,0)</f>
        <v>129150</v>
      </c>
      <c r="AI17" s="19" t="n">
        <f aca="false">IFERROR(AI16*ASSUMPTIONS!$B$37,0)</f>
        <v>139590</v>
      </c>
      <c r="AJ17" s="19" t="n">
        <f aca="false">IFERROR(AJ16*ASSUMPTIONS!$B$37,0)</f>
        <v>150840</v>
      </c>
      <c r="AK17" s="19" t="n">
        <f aca="false">IFERROR(AK16*ASSUMPTIONS!$B$37,0)</f>
        <v>163080</v>
      </c>
    </row>
    <row r="18" customFormat="false" ht="15" hidden="false" customHeight="true" outlineLevel="0" collapsed="false">
      <c r="A18" s="13" t="s">
        <v>172</v>
      </c>
      <c r="B18" s="19" t="n">
        <f aca="false">IFERROR(B13*ASSUMPTIONS!$B$38,0)</f>
        <v>1225</v>
      </c>
      <c r="C18" s="19" t="n">
        <f aca="false">IFERROR(C13*ASSUMPTIONS!$B$38,0)</f>
        <v>1470</v>
      </c>
      <c r="D18" s="19" t="n">
        <f aca="false">IFERROR(D13*ASSUMPTIONS!$B$38,0)</f>
        <v>1715</v>
      </c>
      <c r="E18" s="19" t="n">
        <f aca="false">IFERROR(E13*ASSUMPTIONS!$B$38,0)</f>
        <v>1960</v>
      </c>
      <c r="F18" s="19" t="n">
        <f aca="false">IFERROR(F13*ASSUMPTIONS!$B$38,0)</f>
        <v>2205</v>
      </c>
      <c r="G18" s="19" t="n">
        <f aca="false">IFERROR(G13*ASSUMPTIONS!$B$38,0)</f>
        <v>2450</v>
      </c>
      <c r="H18" s="19" t="n">
        <f aca="false">IFERROR(H13*ASSUMPTIONS!$B$38,0)</f>
        <v>2646</v>
      </c>
      <c r="I18" s="19" t="n">
        <f aca="false">IFERROR(I13*ASSUMPTIONS!$B$38,0)</f>
        <v>2842</v>
      </c>
      <c r="J18" s="19" t="n">
        <f aca="false">IFERROR(J13*ASSUMPTIONS!$B$38,0)</f>
        <v>3038</v>
      </c>
      <c r="K18" s="19" t="n">
        <f aca="false">IFERROR(K13*ASSUMPTIONS!$B$38,0)</f>
        <v>3234</v>
      </c>
      <c r="L18" s="19" t="n">
        <f aca="false">IFERROR(L13*ASSUMPTIONS!$B$38,0)</f>
        <v>3430</v>
      </c>
      <c r="M18" s="19" t="n">
        <f aca="false">IFERROR(M13*ASSUMPTIONS!$B$38,0)</f>
        <v>3626</v>
      </c>
      <c r="N18" s="19" t="n">
        <f aca="false">IFERROR(N13*ASSUMPTIONS!$B$38,0)</f>
        <v>3822</v>
      </c>
      <c r="O18" s="19" t="n">
        <f aca="false">IFERROR(O13*ASSUMPTIONS!$B$38,0)</f>
        <v>4018</v>
      </c>
      <c r="P18" s="19" t="n">
        <f aca="false">IFERROR(P13*ASSUMPTIONS!$B$38,0)</f>
        <v>4214</v>
      </c>
      <c r="Q18" s="19" t="n">
        <f aca="false">IFERROR(Q13*ASSUMPTIONS!$B$38,0)</f>
        <v>4361</v>
      </c>
      <c r="R18" s="19" t="n">
        <f aca="false">IFERROR(R13*ASSUMPTIONS!$B$38,0)</f>
        <v>4508</v>
      </c>
      <c r="S18" s="19" t="n">
        <f aca="false">IFERROR(S13*ASSUMPTIONS!$B$38,0)</f>
        <v>4655</v>
      </c>
      <c r="T18" s="19" t="n">
        <f aca="false">IFERROR(T13*ASSUMPTIONS!$B$38,0)</f>
        <v>4802</v>
      </c>
      <c r="U18" s="19" t="n">
        <f aca="false">IFERROR(U13*ASSUMPTIONS!$B$38,0)</f>
        <v>4949</v>
      </c>
      <c r="V18" s="19" t="n">
        <f aca="false">IFERROR(V13*ASSUMPTIONS!$B$38,0)</f>
        <v>5096</v>
      </c>
      <c r="W18" s="19" t="n">
        <f aca="false">IFERROR(W13*ASSUMPTIONS!$B$38,0)</f>
        <v>5243</v>
      </c>
      <c r="X18" s="19" t="n">
        <f aca="false">IFERROR(X13*ASSUMPTIONS!$B$38,0)</f>
        <v>5390</v>
      </c>
      <c r="Y18" s="19" t="n">
        <f aca="false">IFERROR(Y13*ASSUMPTIONS!$B$38,0)</f>
        <v>5537</v>
      </c>
      <c r="Z18" s="19" t="n">
        <f aca="false">IFERROR(Z13*ASSUMPTIONS!$B$38,0)</f>
        <v>5684</v>
      </c>
      <c r="AA18" s="19" t="n">
        <f aca="false">IFERROR(AA13*ASSUMPTIONS!$B$38,0)</f>
        <v>5831</v>
      </c>
      <c r="AB18" s="19" t="n">
        <f aca="false">IFERROR(AB13*ASSUMPTIONS!$B$38,0)</f>
        <v>5929</v>
      </c>
      <c r="AC18" s="19" t="n">
        <f aca="false">IFERROR(AC13*ASSUMPTIONS!$B$38,0)</f>
        <v>6027</v>
      </c>
      <c r="AD18" s="19" t="n">
        <f aca="false">IFERROR(AD13*ASSUMPTIONS!$B$38,0)</f>
        <v>6125</v>
      </c>
      <c r="AE18" s="19" t="n">
        <f aca="false">IFERROR(AE13*ASSUMPTIONS!$B$38,0)</f>
        <v>6223</v>
      </c>
      <c r="AF18" s="19" t="n">
        <f aca="false">IFERROR(AF13*ASSUMPTIONS!$B$38,0)</f>
        <v>6321</v>
      </c>
      <c r="AG18" s="19" t="n">
        <f aca="false">IFERROR(AG13*ASSUMPTIONS!$B$38,0)</f>
        <v>6419</v>
      </c>
      <c r="AH18" s="19" t="n">
        <f aca="false">IFERROR(AH13*ASSUMPTIONS!$B$38,0)</f>
        <v>6517</v>
      </c>
      <c r="AI18" s="19" t="n">
        <f aca="false">IFERROR(AI13*ASSUMPTIONS!$B$38,0)</f>
        <v>6615</v>
      </c>
      <c r="AJ18" s="19" t="n">
        <f aca="false">IFERROR(AJ13*ASSUMPTIONS!$B$38,0)</f>
        <v>6713</v>
      </c>
      <c r="AK18" s="19" t="n">
        <f aca="false">IFERROR(AK13*ASSUMPTIONS!$B$38,0)</f>
        <v>6811</v>
      </c>
    </row>
    <row r="19" customFormat="false" ht="15" hidden="false" customHeight="true" outlineLevel="0" collapsed="false">
      <c r="A19" s="25" t="s">
        <v>173</v>
      </c>
      <c r="B19" s="26" t="n">
        <f aca="false">B17+B18</f>
        <v>5995</v>
      </c>
      <c r="C19" s="26" t="n">
        <f aca="false">C17+C18</f>
        <v>7500</v>
      </c>
      <c r="D19" s="26" t="n">
        <f aca="false">D17+D18</f>
        <v>9005</v>
      </c>
      <c r="E19" s="26" t="n">
        <f aca="false">E17+E18</f>
        <v>10510</v>
      </c>
      <c r="F19" s="26" t="n">
        <f aca="false">F17+F18</f>
        <v>12105</v>
      </c>
      <c r="G19" s="26" t="n">
        <f aca="false">G17+G18</f>
        <v>13790</v>
      </c>
      <c r="H19" s="26" t="n">
        <f aca="false">H17+H18</f>
        <v>15516</v>
      </c>
      <c r="I19" s="26" t="n">
        <f aca="false">I17+I18</f>
        <v>17422</v>
      </c>
      <c r="J19" s="26" t="n">
        <f aca="false">J17+J18</f>
        <v>19418</v>
      </c>
      <c r="K19" s="26" t="n">
        <f aca="false">K17+K18</f>
        <v>21504</v>
      </c>
      <c r="L19" s="26" t="n">
        <f aca="false">L17+L18</f>
        <v>23680</v>
      </c>
      <c r="M19" s="26" t="n">
        <f aca="false">M17+M18</f>
        <v>25946</v>
      </c>
      <c r="N19" s="26" t="n">
        <f aca="false">N17+N18</f>
        <v>28392</v>
      </c>
      <c r="O19" s="26" t="n">
        <f aca="false">O17+O18</f>
        <v>31018</v>
      </c>
      <c r="P19" s="26" t="n">
        <f aca="false">P17+P18</f>
        <v>33734</v>
      </c>
      <c r="Q19" s="26" t="n">
        <f aca="false">Q17+Q18</f>
        <v>36581</v>
      </c>
      <c r="R19" s="26" t="n">
        <f aca="false">R17+R18</f>
        <v>39698</v>
      </c>
      <c r="S19" s="26" t="n">
        <f aca="false">S17+S18</f>
        <v>42995</v>
      </c>
      <c r="T19" s="26" t="n">
        <f aca="false">T17+T18</f>
        <v>46562</v>
      </c>
      <c r="U19" s="26" t="n">
        <f aca="false">U17+U18</f>
        <v>50399</v>
      </c>
      <c r="V19" s="26" t="n">
        <f aca="false">V17+V18</f>
        <v>54506</v>
      </c>
      <c r="W19" s="26" t="n">
        <f aca="false">W17+W18</f>
        <v>58883</v>
      </c>
      <c r="X19" s="26" t="n">
        <f aca="false">X17+X18</f>
        <v>63620</v>
      </c>
      <c r="Y19" s="26" t="n">
        <f aca="false">Y17+Y18</f>
        <v>68717</v>
      </c>
      <c r="Z19" s="26" t="n">
        <f aca="false">Z17+Z18</f>
        <v>74174</v>
      </c>
      <c r="AA19" s="26" t="n">
        <f aca="false">AA17+AA18</f>
        <v>80081</v>
      </c>
      <c r="AB19" s="26" t="n">
        <f aca="false">AB17+AB18</f>
        <v>86389</v>
      </c>
      <c r="AC19" s="26" t="n">
        <f aca="false">AC17+AC18</f>
        <v>93147</v>
      </c>
      <c r="AD19" s="26" t="n">
        <f aca="false">AD17+AD18</f>
        <v>100355</v>
      </c>
      <c r="AE19" s="26" t="n">
        <f aca="false">AE17+AE18</f>
        <v>108193</v>
      </c>
      <c r="AF19" s="26" t="n">
        <f aca="false">AF17+AF18</f>
        <v>116661</v>
      </c>
      <c r="AG19" s="26" t="n">
        <f aca="false">AG17+AG18</f>
        <v>125849</v>
      </c>
      <c r="AH19" s="26" t="n">
        <f aca="false">AH17+AH18</f>
        <v>135667</v>
      </c>
      <c r="AI19" s="26" t="n">
        <f aca="false">AI17+AI18</f>
        <v>146205</v>
      </c>
      <c r="AJ19" s="26" t="n">
        <f aca="false">AJ17+AJ18</f>
        <v>157553</v>
      </c>
      <c r="AK19" s="26" t="n">
        <f aca="false">AK17+AK18</f>
        <v>169891</v>
      </c>
      <c r="AL19" s="26" t="n">
        <f aca="false">SUM(B19:M19)</f>
        <v>182391</v>
      </c>
      <c r="AM19" s="26" t="n">
        <f aca="false">SUM(N19:Y19)</f>
        <v>555105</v>
      </c>
      <c r="AN19" s="26" t="n">
        <f aca="false">SUM(Z19:AK19)</f>
        <v>1394165</v>
      </c>
      <c r="AO19" s="27"/>
      <c r="AP19" s="27"/>
      <c r="AQ19" s="27"/>
      <c r="AR19" s="27"/>
    </row>
    <row r="21" customFormat="false" ht="15" hidden="false" customHeight="true" outlineLevel="0" collapsed="false">
      <c r="A21" s="15" t="s">
        <v>174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customFormat="false" ht="15" hidden="false" customHeight="true" outlineLevel="0" collapsed="false">
      <c r="A22" s="13" t="s">
        <v>175</v>
      </c>
      <c r="B22" s="19" t="n">
        <f aca="false">IFERROR(ASSUMPTIONS!$B$49,0)</f>
        <v>8</v>
      </c>
      <c r="C22" s="19" t="n">
        <f aca="false">IFERROR(ROUND(B22*(1+ASSUMPTIONS!$B$50),0),0)</f>
        <v>9</v>
      </c>
      <c r="D22" s="19" t="n">
        <f aca="false">IFERROR(ROUND(C22*(1+ASSUMPTIONS!$B$50),0),0)</f>
        <v>10</v>
      </c>
      <c r="E22" s="19" t="n">
        <f aca="false">IFERROR(ROUND(D22*(1+ASSUMPTIONS!$B$50),0),0)</f>
        <v>11</v>
      </c>
      <c r="F22" s="19" t="n">
        <f aca="false">IFERROR(ROUND(E22*(1+ASSUMPTIONS!$B$50),0),0)</f>
        <v>12</v>
      </c>
      <c r="G22" s="19" t="n">
        <f aca="false">IFERROR(ROUND(F22*(1+ASSUMPTIONS!$B$50),0),0)</f>
        <v>13</v>
      </c>
      <c r="H22" s="19" t="n">
        <f aca="false">IFERROR(ROUND(G22*(1+ASSUMPTIONS!$B$50),0),0)</f>
        <v>14</v>
      </c>
      <c r="I22" s="19" t="n">
        <f aca="false">IFERROR(ROUND(H22*(1+ASSUMPTIONS!$B$50),0),0)</f>
        <v>15</v>
      </c>
      <c r="J22" s="19" t="n">
        <f aca="false">IFERROR(ROUND(I22*(1+ASSUMPTIONS!$B$50),0),0)</f>
        <v>16</v>
      </c>
      <c r="K22" s="19" t="n">
        <f aca="false">IFERROR(ROUND(J22*(1+ASSUMPTIONS!$B$50),0),0)</f>
        <v>17</v>
      </c>
      <c r="L22" s="19" t="n">
        <f aca="false">IFERROR(ROUND(K22*(1+ASSUMPTIONS!$B$50),0),0)</f>
        <v>18</v>
      </c>
      <c r="M22" s="19" t="n">
        <f aca="false">IFERROR(ROUND(L22*(1+ASSUMPTIONS!$B$50),0),0)</f>
        <v>19</v>
      </c>
      <c r="N22" s="19" t="n">
        <f aca="false">IFERROR(ROUND(M22*(1+ASSUMPTIONS!$B$50),0),0)</f>
        <v>21</v>
      </c>
      <c r="O22" s="19" t="n">
        <f aca="false">IFERROR(ROUND(N22*(1+ASSUMPTIONS!$B$50),0),0)</f>
        <v>23</v>
      </c>
      <c r="P22" s="19" t="n">
        <f aca="false">IFERROR(ROUND(O22*(1+ASSUMPTIONS!$B$50),0),0)</f>
        <v>25</v>
      </c>
      <c r="Q22" s="19" t="n">
        <f aca="false">IFERROR(ROUND(P22*(1+ASSUMPTIONS!$B$50),0),0)</f>
        <v>27</v>
      </c>
      <c r="R22" s="19" t="n">
        <f aca="false">IFERROR(ROUND(Q22*(1+ASSUMPTIONS!$B$50),0),0)</f>
        <v>29</v>
      </c>
      <c r="S22" s="19" t="n">
        <f aca="false">IFERROR(ROUND(R22*(1+ASSUMPTIONS!$B$50),0),0)</f>
        <v>31</v>
      </c>
      <c r="T22" s="19" t="n">
        <f aca="false">IFERROR(ROUND(S22*(1+ASSUMPTIONS!$B$50),0),0)</f>
        <v>33</v>
      </c>
      <c r="U22" s="19" t="n">
        <f aca="false">IFERROR(ROUND(T22*(1+ASSUMPTIONS!$B$50),0),0)</f>
        <v>36</v>
      </c>
      <c r="V22" s="19" t="n">
        <f aca="false">IFERROR(ROUND(U22*(1+ASSUMPTIONS!$B$50),0),0)</f>
        <v>39</v>
      </c>
      <c r="W22" s="19" t="n">
        <f aca="false">IFERROR(ROUND(V22*(1+ASSUMPTIONS!$B$50),0),0)</f>
        <v>42</v>
      </c>
      <c r="X22" s="19" t="n">
        <f aca="false">IFERROR(ROUND(W22*(1+ASSUMPTIONS!$B$50),0),0)</f>
        <v>45</v>
      </c>
      <c r="Y22" s="19" t="n">
        <f aca="false">IFERROR(ROUND(X22*(1+ASSUMPTIONS!$B$50),0),0)</f>
        <v>49</v>
      </c>
      <c r="Z22" s="19" t="n">
        <f aca="false">IFERROR(ROUND(Y22*(1+ASSUMPTIONS!$B$50),0),0)</f>
        <v>53</v>
      </c>
      <c r="AA22" s="19" t="n">
        <f aca="false">IFERROR(ROUND(Z22*(1+ASSUMPTIONS!$B$50),0),0)</f>
        <v>57</v>
      </c>
      <c r="AB22" s="19" t="n">
        <f aca="false">IFERROR(ROUND(AA22*(1+ASSUMPTIONS!$B$50),0),0)</f>
        <v>62</v>
      </c>
      <c r="AC22" s="19" t="n">
        <f aca="false">IFERROR(ROUND(AB22*(1+ASSUMPTIONS!$B$50),0),0)</f>
        <v>67</v>
      </c>
      <c r="AD22" s="19" t="n">
        <f aca="false">IFERROR(ROUND(AC22*(1+ASSUMPTIONS!$B$50),0),0)</f>
        <v>72</v>
      </c>
      <c r="AE22" s="19" t="n">
        <f aca="false">IFERROR(ROUND(AD22*(1+ASSUMPTIONS!$B$50),0),0)</f>
        <v>78</v>
      </c>
      <c r="AF22" s="19" t="n">
        <f aca="false">IFERROR(ROUND(AE22*(1+ASSUMPTIONS!$B$50),0),0)</f>
        <v>84</v>
      </c>
      <c r="AG22" s="19" t="n">
        <f aca="false">IFERROR(ROUND(AF22*(1+ASSUMPTIONS!$B$50),0),0)</f>
        <v>91</v>
      </c>
      <c r="AH22" s="19" t="n">
        <f aca="false">IFERROR(ROUND(AG22*(1+ASSUMPTIONS!$B$50),0),0)</f>
        <v>98</v>
      </c>
      <c r="AI22" s="19" t="n">
        <f aca="false">IFERROR(ROUND(AH22*(1+ASSUMPTIONS!$B$50),0),0)</f>
        <v>106</v>
      </c>
      <c r="AJ22" s="19" t="n">
        <f aca="false">IFERROR(ROUND(AI22*(1+ASSUMPTIONS!$B$50),0),0)</f>
        <v>114</v>
      </c>
      <c r="AK22" s="19" t="n">
        <f aca="false">IFERROR(ROUND(AJ22*(1+ASSUMPTIONS!$B$50),0),0)</f>
        <v>123</v>
      </c>
    </row>
    <row r="23" customFormat="false" ht="15" hidden="false" customHeight="true" outlineLevel="0" collapsed="false">
      <c r="A23" s="11" t="s">
        <v>176</v>
      </c>
      <c r="B23" s="24" t="n">
        <f aca="false">IFERROR(ROUND(ASSUMPTIONS!$B$48*ASSUMPTIONS!$B$51,0),0)</f>
        <v>1</v>
      </c>
      <c r="C23" s="24" t="n">
        <f aca="false">IFERROR(ROUND(B24*ASSUMPTIONS!$B$51,0),0)</f>
        <v>1</v>
      </c>
      <c r="D23" s="24" t="n">
        <f aca="false">IFERROR(ROUND(C24*ASSUMPTIONS!$B$51,0),0)</f>
        <v>1</v>
      </c>
      <c r="E23" s="24" t="n">
        <f aca="false">IFERROR(ROUND(D24*ASSUMPTIONS!$B$51,0),0)</f>
        <v>1</v>
      </c>
      <c r="F23" s="24" t="n">
        <f aca="false">IFERROR(ROUND(E24*ASSUMPTIONS!$B$51,0),0)</f>
        <v>2</v>
      </c>
      <c r="G23" s="24" t="n">
        <f aca="false">IFERROR(ROUND(F24*ASSUMPTIONS!$B$51,0),0)</f>
        <v>2</v>
      </c>
      <c r="H23" s="24" t="n">
        <f aca="false">IFERROR(ROUND(G24*ASSUMPTIONS!$B$51,0),0)</f>
        <v>2</v>
      </c>
      <c r="I23" s="24" t="n">
        <f aca="false">IFERROR(ROUND(H24*ASSUMPTIONS!$B$51,0),0)</f>
        <v>3</v>
      </c>
      <c r="J23" s="24" t="n">
        <f aca="false">IFERROR(ROUND(I24*ASSUMPTIONS!$B$51,0),0)</f>
        <v>3</v>
      </c>
      <c r="K23" s="24" t="n">
        <f aca="false">IFERROR(ROUND(J24*ASSUMPTIONS!$B$51,0),0)</f>
        <v>4</v>
      </c>
      <c r="L23" s="24" t="n">
        <f aca="false">IFERROR(ROUND(K24*ASSUMPTIONS!$B$51,0),0)</f>
        <v>4</v>
      </c>
      <c r="M23" s="24" t="n">
        <f aca="false">IFERROR(ROUND(L24*ASSUMPTIONS!$B$51,0),0)</f>
        <v>5</v>
      </c>
      <c r="N23" s="24" t="n">
        <f aca="false">IFERROR(ROUND(M24*ASSUMPTIONS!$B$51,0),0)</f>
        <v>5</v>
      </c>
      <c r="O23" s="24" t="n">
        <f aca="false">IFERROR(ROUND(N24*ASSUMPTIONS!$B$51,0),0)</f>
        <v>6</v>
      </c>
      <c r="P23" s="24" t="n">
        <f aca="false">IFERROR(ROUND(O24*ASSUMPTIONS!$B$51,0),0)</f>
        <v>6</v>
      </c>
      <c r="Q23" s="24" t="n">
        <f aca="false">IFERROR(ROUND(P24*ASSUMPTIONS!$B$51,0),0)</f>
        <v>7</v>
      </c>
      <c r="R23" s="24" t="n">
        <f aca="false">IFERROR(ROUND(Q24*ASSUMPTIONS!$B$51,0),0)</f>
        <v>8</v>
      </c>
      <c r="S23" s="24" t="n">
        <f aca="false">IFERROR(ROUND(R24*ASSUMPTIONS!$B$51,0),0)</f>
        <v>8</v>
      </c>
      <c r="T23" s="24" t="n">
        <f aca="false">IFERROR(ROUND(S24*ASSUMPTIONS!$B$51,0),0)</f>
        <v>9</v>
      </c>
      <c r="U23" s="24" t="n">
        <f aca="false">IFERROR(ROUND(T24*ASSUMPTIONS!$B$51,0),0)</f>
        <v>10</v>
      </c>
      <c r="V23" s="24" t="n">
        <f aca="false">IFERROR(ROUND(U24*ASSUMPTIONS!$B$51,0),0)</f>
        <v>11</v>
      </c>
      <c r="W23" s="24" t="n">
        <f aca="false">IFERROR(ROUND(V24*ASSUMPTIONS!$B$51,0),0)</f>
        <v>12</v>
      </c>
      <c r="X23" s="24" t="n">
        <f aca="false">IFERROR(ROUND(W24*ASSUMPTIONS!$B$51,0),0)</f>
        <v>13</v>
      </c>
      <c r="Y23" s="24" t="n">
        <f aca="false">IFERROR(ROUND(X24*ASSUMPTIONS!$B$51,0),0)</f>
        <v>14</v>
      </c>
      <c r="Z23" s="24" t="n">
        <f aca="false">IFERROR(ROUND(Y24*ASSUMPTIONS!$B$51,0),0)</f>
        <v>15</v>
      </c>
      <c r="AA23" s="24" t="n">
        <f aca="false">IFERROR(ROUND(Z24*ASSUMPTIONS!$B$51,0),0)</f>
        <v>17</v>
      </c>
      <c r="AB23" s="24" t="n">
        <f aca="false">IFERROR(ROUND(AA24*ASSUMPTIONS!$B$51,0),0)</f>
        <v>18</v>
      </c>
      <c r="AC23" s="24" t="n">
        <f aca="false">IFERROR(ROUND(AB24*ASSUMPTIONS!$B$51,0),0)</f>
        <v>20</v>
      </c>
      <c r="AD23" s="24" t="n">
        <f aca="false">IFERROR(ROUND(AC24*ASSUMPTIONS!$B$51,0),0)</f>
        <v>21</v>
      </c>
      <c r="AE23" s="24" t="n">
        <f aca="false">IFERROR(ROUND(AD24*ASSUMPTIONS!$B$51,0),0)</f>
        <v>23</v>
      </c>
      <c r="AF23" s="24" t="n">
        <f aca="false">IFERROR(ROUND(AE24*ASSUMPTIONS!$B$51,0),0)</f>
        <v>25</v>
      </c>
      <c r="AG23" s="24" t="n">
        <f aca="false">IFERROR(ROUND(AF24*ASSUMPTIONS!$B$51,0),0)</f>
        <v>27</v>
      </c>
      <c r="AH23" s="24" t="n">
        <f aca="false">IFERROR(ROUND(AG24*ASSUMPTIONS!$B$51,0),0)</f>
        <v>29</v>
      </c>
      <c r="AI23" s="24" t="n">
        <f aca="false">IFERROR(ROUND(AH24*ASSUMPTIONS!$B$51,0),0)</f>
        <v>32</v>
      </c>
      <c r="AJ23" s="24" t="n">
        <f aca="false">IFERROR(ROUND(AI24*ASSUMPTIONS!$B$51,0),0)</f>
        <v>34</v>
      </c>
      <c r="AK23" s="24" t="n">
        <f aca="false">IFERROR(ROUND(AJ24*ASSUMPTIONS!$B$51,0),0)</f>
        <v>37</v>
      </c>
    </row>
    <row r="24" customFormat="false" ht="15" hidden="false" customHeight="true" outlineLevel="0" collapsed="false">
      <c r="A24" s="13" t="s">
        <v>177</v>
      </c>
      <c r="B24" s="19" t="n">
        <f aca="false">IFERROR(ASSUMPTIONS!$B$48+B22-B23,0)</f>
        <v>22</v>
      </c>
      <c r="C24" s="19" t="n">
        <f aca="false">IFERROR(B24+C22-C23,0)</f>
        <v>30</v>
      </c>
      <c r="D24" s="19" t="n">
        <f aca="false">IFERROR(C24+D22-D23,0)</f>
        <v>39</v>
      </c>
      <c r="E24" s="19" t="n">
        <f aca="false">IFERROR(D24+E22-E23,0)</f>
        <v>49</v>
      </c>
      <c r="F24" s="19" t="n">
        <f aca="false">IFERROR(E24+F22-F23,0)</f>
        <v>59</v>
      </c>
      <c r="G24" s="19" t="n">
        <f aca="false">IFERROR(F24+G22-G23,0)</f>
        <v>70</v>
      </c>
      <c r="H24" s="19" t="n">
        <f aca="false">IFERROR(G24+H22-H23,0)</f>
        <v>82</v>
      </c>
      <c r="I24" s="19" t="n">
        <f aca="false">IFERROR(H24+I22-I23,0)</f>
        <v>94</v>
      </c>
      <c r="J24" s="19" t="n">
        <f aca="false">IFERROR(I24+J22-J23,0)</f>
        <v>107</v>
      </c>
      <c r="K24" s="19" t="n">
        <f aca="false">IFERROR(J24+K22-K23,0)</f>
        <v>120</v>
      </c>
      <c r="L24" s="19" t="n">
        <f aca="false">IFERROR(K24+L22-L23,0)</f>
        <v>134</v>
      </c>
      <c r="M24" s="19" t="n">
        <f aca="false">IFERROR(L24+M22-M23,0)</f>
        <v>148</v>
      </c>
      <c r="N24" s="19" t="n">
        <f aca="false">IFERROR(M24+N22-N23,0)</f>
        <v>164</v>
      </c>
      <c r="O24" s="19" t="n">
        <f aca="false">IFERROR(N24+O22-O23,0)</f>
        <v>181</v>
      </c>
      <c r="P24" s="19" t="n">
        <f aca="false">IFERROR(O24+P22-P23,0)</f>
        <v>200</v>
      </c>
      <c r="Q24" s="19" t="n">
        <f aca="false">IFERROR(P24+Q22-Q23,0)</f>
        <v>220</v>
      </c>
      <c r="R24" s="19" t="n">
        <f aca="false">IFERROR(Q24+R22-R23,0)</f>
        <v>241</v>
      </c>
      <c r="S24" s="19" t="n">
        <f aca="false">IFERROR(R24+S22-S23,0)</f>
        <v>264</v>
      </c>
      <c r="T24" s="19" t="n">
        <f aca="false">IFERROR(S24+T22-T23,0)</f>
        <v>288</v>
      </c>
      <c r="U24" s="19" t="n">
        <f aca="false">IFERROR(T24+U22-U23,0)</f>
        <v>314</v>
      </c>
      <c r="V24" s="19" t="n">
        <f aca="false">IFERROR(U24+V22-V23,0)</f>
        <v>342</v>
      </c>
      <c r="W24" s="19" t="n">
        <f aca="false">IFERROR(V24+W22-W23,0)</f>
        <v>372</v>
      </c>
      <c r="X24" s="19" t="n">
        <f aca="false">IFERROR(W24+X22-X23,0)</f>
        <v>404</v>
      </c>
      <c r="Y24" s="19" t="n">
        <f aca="false">IFERROR(X24+Y22-Y23,0)</f>
        <v>439</v>
      </c>
      <c r="Z24" s="19" t="n">
        <f aca="false">IFERROR(Y24+Z22-Z23,0)</f>
        <v>477</v>
      </c>
      <c r="AA24" s="19" t="n">
        <f aca="false">IFERROR(Z24+AA22-AA23,0)</f>
        <v>517</v>
      </c>
      <c r="AB24" s="19" t="n">
        <f aca="false">IFERROR(AA24+AB22-AB23,0)</f>
        <v>561</v>
      </c>
      <c r="AC24" s="19" t="n">
        <f aca="false">IFERROR(AB24+AC22-AC23,0)</f>
        <v>608</v>
      </c>
      <c r="AD24" s="19" t="n">
        <f aca="false">IFERROR(AC24+AD22-AD23,0)</f>
        <v>659</v>
      </c>
      <c r="AE24" s="19" t="n">
        <f aca="false">IFERROR(AD24+AE22-AE23,0)</f>
        <v>714</v>
      </c>
      <c r="AF24" s="19" t="n">
        <f aca="false">IFERROR(AE24+AF22-AF23,0)</f>
        <v>773</v>
      </c>
      <c r="AG24" s="19" t="n">
        <f aca="false">IFERROR(AF24+AG22-AG23,0)</f>
        <v>837</v>
      </c>
      <c r="AH24" s="19" t="n">
        <f aca="false">IFERROR(AG24+AH22-AH23,0)</f>
        <v>906</v>
      </c>
      <c r="AI24" s="19" t="n">
        <f aca="false">IFERROR(AH24+AI22-AI23,0)</f>
        <v>980</v>
      </c>
      <c r="AJ24" s="19" t="n">
        <f aca="false">IFERROR(AI24+AJ22-AJ23,0)</f>
        <v>1060</v>
      </c>
      <c r="AK24" s="19" t="n">
        <f aca="false">IFERROR(AJ24+AK22-AK23,0)</f>
        <v>1146</v>
      </c>
    </row>
    <row r="25" customFormat="false" ht="15" hidden="false" customHeight="true" outlineLevel="0" collapsed="false">
      <c r="A25" s="25" t="s">
        <v>178</v>
      </c>
      <c r="B25" s="26" t="n">
        <f aca="false">IFERROR(B24*ASSUMPTIONS!$B$52,0)</f>
        <v>2838</v>
      </c>
      <c r="C25" s="26" t="n">
        <f aca="false">IFERROR(C24*ASSUMPTIONS!$B$52,0)</f>
        <v>3870</v>
      </c>
      <c r="D25" s="26" t="n">
        <f aca="false">IFERROR(D24*ASSUMPTIONS!$B$52,0)</f>
        <v>5031</v>
      </c>
      <c r="E25" s="26" t="n">
        <f aca="false">IFERROR(E24*ASSUMPTIONS!$B$52,0)</f>
        <v>6321</v>
      </c>
      <c r="F25" s="26" t="n">
        <f aca="false">IFERROR(F24*ASSUMPTIONS!$B$52,0)</f>
        <v>7611</v>
      </c>
      <c r="G25" s="26" t="n">
        <f aca="false">IFERROR(G24*ASSUMPTIONS!$B$52,0)</f>
        <v>9030</v>
      </c>
      <c r="H25" s="26" t="n">
        <f aca="false">IFERROR(H24*ASSUMPTIONS!$B$52,0)</f>
        <v>10578</v>
      </c>
      <c r="I25" s="26" t="n">
        <f aca="false">IFERROR(I24*ASSUMPTIONS!$B$52,0)</f>
        <v>12126</v>
      </c>
      <c r="J25" s="26" t="n">
        <f aca="false">IFERROR(J24*ASSUMPTIONS!$B$52,0)</f>
        <v>13803</v>
      </c>
      <c r="K25" s="26" t="n">
        <f aca="false">IFERROR(K24*ASSUMPTIONS!$B$52,0)</f>
        <v>15480</v>
      </c>
      <c r="L25" s="26" t="n">
        <f aca="false">IFERROR(L24*ASSUMPTIONS!$B$52,0)</f>
        <v>17286</v>
      </c>
      <c r="M25" s="26" t="n">
        <f aca="false">IFERROR(M24*ASSUMPTIONS!$B$52,0)</f>
        <v>19092</v>
      </c>
      <c r="N25" s="26" t="n">
        <f aca="false">IFERROR(N24*ASSUMPTIONS!$B$52,0)</f>
        <v>21156</v>
      </c>
      <c r="O25" s="26" t="n">
        <f aca="false">IFERROR(O24*ASSUMPTIONS!$B$52,0)</f>
        <v>23349</v>
      </c>
      <c r="P25" s="26" t="n">
        <f aca="false">IFERROR(P24*ASSUMPTIONS!$B$52,0)</f>
        <v>25800</v>
      </c>
      <c r="Q25" s="26" t="n">
        <f aca="false">IFERROR(Q24*ASSUMPTIONS!$B$52,0)</f>
        <v>28380</v>
      </c>
      <c r="R25" s="26" t="n">
        <f aca="false">IFERROR(R24*ASSUMPTIONS!$B$52,0)</f>
        <v>31089</v>
      </c>
      <c r="S25" s="26" t="n">
        <f aca="false">IFERROR(S24*ASSUMPTIONS!$B$52,0)</f>
        <v>34056</v>
      </c>
      <c r="T25" s="26" t="n">
        <f aca="false">IFERROR(T24*ASSUMPTIONS!$B$52,0)</f>
        <v>37152</v>
      </c>
      <c r="U25" s="26" t="n">
        <f aca="false">IFERROR(U24*ASSUMPTIONS!$B$52,0)</f>
        <v>40506</v>
      </c>
      <c r="V25" s="26" t="n">
        <f aca="false">IFERROR(V24*ASSUMPTIONS!$B$52,0)</f>
        <v>44118</v>
      </c>
      <c r="W25" s="26" t="n">
        <f aca="false">IFERROR(W24*ASSUMPTIONS!$B$52,0)</f>
        <v>47988</v>
      </c>
      <c r="X25" s="26" t="n">
        <f aca="false">IFERROR(X24*ASSUMPTIONS!$B$52,0)</f>
        <v>52116</v>
      </c>
      <c r="Y25" s="26" t="n">
        <f aca="false">IFERROR(Y24*ASSUMPTIONS!$B$52,0)</f>
        <v>56631</v>
      </c>
      <c r="Z25" s="26" t="n">
        <f aca="false">IFERROR(Z24*ASSUMPTIONS!$B$52,0)</f>
        <v>61533</v>
      </c>
      <c r="AA25" s="26" t="n">
        <f aca="false">IFERROR(AA24*ASSUMPTIONS!$B$52,0)</f>
        <v>66693</v>
      </c>
      <c r="AB25" s="26" t="n">
        <f aca="false">IFERROR(AB24*ASSUMPTIONS!$B$52,0)</f>
        <v>72369</v>
      </c>
      <c r="AC25" s="26" t="n">
        <f aca="false">IFERROR(AC24*ASSUMPTIONS!$B$52,0)</f>
        <v>78432</v>
      </c>
      <c r="AD25" s="26" t="n">
        <f aca="false">IFERROR(AD24*ASSUMPTIONS!$B$52,0)</f>
        <v>85011</v>
      </c>
      <c r="AE25" s="26" t="n">
        <f aca="false">IFERROR(AE24*ASSUMPTIONS!$B$52,0)</f>
        <v>92106</v>
      </c>
      <c r="AF25" s="26" t="n">
        <f aca="false">IFERROR(AF24*ASSUMPTIONS!$B$52,0)</f>
        <v>99717</v>
      </c>
      <c r="AG25" s="26" t="n">
        <f aca="false">IFERROR(AG24*ASSUMPTIONS!$B$52,0)</f>
        <v>107973</v>
      </c>
      <c r="AH25" s="26" t="n">
        <f aca="false">IFERROR(AH24*ASSUMPTIONS!$B$52,0)</f>
        <v>116874</v>
      </c>
      <c r="AI25" s="26" t="n">
        <f aca="false">IFERROR(AI24*ASSUMPTIONS!$B$52,0)</f>
        <v>126420</v>
      </c>
      <c r="AJ25" s="26" t="n">
        <f aca="false">IFERROR(AJ24*ASSUMPTIONS!$B$52,0)</f>
        <v>136740</v>
      </c>
      <c r="AK25" s="26" t="n">
        <f aca="false">IFERROR(AK24*ASSUMPTIONS!$B$52,0)</f>
        <v>147834</v>
      </c>
      <c r="AL25" s="26" t="n">
        <f aca="false">SUM(B25:M25)</f>
        <v>123066</v>
      </c>
      <c r="AM25" s="26" t="n">
        <f aca="false">SUM(N25:Y25)</f>
        <v>442341</v>
      </c>
      <c r="AN25" s="26" t="n">
        <f aca="false">SUM(Z25:AK25)</f>
        <v>1191702</v>
      </c>
      <c r="AO25" s="27"/>
      <c r="AP25" s="27"/>
      <c r="AQ25" s="27"/>
      <c r="AR25" s="27"/>
    </row>
    <row r="27" customFormat="false" ht="15" hidden="false" customHeight="true" outlineLevel="0" collapsed="false">
      <c r="A27" s="10" t="s">
        <v>179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customFormat="false" ht="15" hidden="false" customHeight="true" outlineLevel="0" collapsed="false">
      <c r="A28" s="25" t="s">
        <v>180</v>
      </c>
      <c r="B28" s="26" t="n">
        <f aca="false">B19+B25</f>
        <v>8833</v>
      </c>
      <c r="C28" s="26" t="n">
        <f aca="false">C19+C25</f>
        <v>11370</v>
      </c>
      <c r="D28" s="26" t="n">
        <f aca="false">D19+D25</f>
        <v>14036</v>
      </c>
      <c r="E28" s="26" t="n">
        <f aca="false">E19+E25</f>
        <v>16831</v>
      </c>
      <c r="F28" s="26" t="n">
        <f aca="false">F19+F25</f>
        <v>19716</v>
      </c>
      <c r="G28" s="26" t="n">
        <f aca="false">G19+G25</f>
        <v>22820</v>
      </c>
      <c r="H28" s="26" t="n">
        <f aca="false">H19+H25</f>
        <v>26094</v>
      </c>
      <c r="I28" s="26" t="n">
        <f aca="false">I19+I25</f>
        <v>29548</v>
      </c>
      <c r="J28" s="26" t="n">
        <f aca="false">J19+J25</f>
        <v>33221</v>
      </c>
      <c r="K28" s="26" t="n">
        <f aca="false">K19+K25</f>
        <v>36984</v>
      </c>
      <c r="L28" s="26" t="n">
        <f aca="false">L19+L25</f>
        <v>40966</v>
      </c>
      <c r="M28" s="26" t="n">
        <f aca="false">M19+M25</f>
        <v>45038</v>
      </c>
      <c r="N28" s="26" t="n">
        <f aca="false">N19+N25</f>
        <v>49548</v>
      </c>
      <c r="O28" s="26" t="n">
        <f aca="false">O19+O25</f>
        <v>54367</v>
      </c>
      <c r="P28" s="26" t="n">
        <f aca="false">P19+P25</f>
        <v>59534</v>
      </c>
      <c r="Q28" s="26" t="n">
        <f aca="false">Q19+Q25</f>
        <v>64961</v>
      </c>
      <c r="R28" s="26" t="n">
        <f aca="false">R19+R25</f>
        <v>70787</v>
      </c>
      <c r="S28" s="26" t="n">
        <f aca="false">S19+S25</f>
        <v>77051</v>
      </c>
      <c r="T28" s="26" t="n">
        <f aca="false">T19+T25</f>
        <v>83714</v>
      </c>
      <c r="U28" s="26" t="n">
        <f aca="false">U19+U25</f>
        <v>90905</v>
      </c>
      <c r="V28" s="26" t="n">
        <f aca="false">V19+V25</f>
        <v>98624</v>
      </c>
      <c r="W28" s="26" t="n">
        <f aca="false">W19+W25</f>
        <v>106871</v>
      </c>
      <c r="X28" s="26" t="n">
        <f aca="false">X19+X25</f>
        <v>115736</v>
      </c>
      <c r="Y28" s="26" t="n">
        <f aca="false">Y19+Y25</f>
        <v>125348</v>
      </c>
      <c r="Z28" s="26" t="n">
        <f aca="false">Z19+Z25</f>
        <v>135707</v>
      </c>
      <c r="AA28" s="26" t="n">
        <f aca="false">AA19+AA25</f>
        <v>146774</v>
      </c>
      <c r="AB28" s="26" t="n">
        <f aca="false">AB19+AB25</f>
        <v>158758</v>
      </c>
      <c r="AC28" s="26" t="n">
        <f aca="false">AC19+AC25</f>
        <v>171579</v>
      </c>
      <c r="AD28" s="26" t="n">
        <f aca="false">AD19+AD25</f>
        <v>185366</v>
      </c>
      <c r="AE28" s="26" t="n">
        <f aca="false">AE19+AE25</f>
        <v>200299</v>
      </c>
      <c r="AF28" s="26" t="n">
        <f aca="false">AF19+AF25</f>
        <v>216378</v>
      </c>
      <c r="AG28" s="26" t="n">
        <f aca="false">AG19+AG25</f>
        <v>233822</v>
      </c>
      <c r="AH28" s="26" t="n">
        <f aca="false">AH19+AH25</f>
        <v>252541</v>
      </c>
      <c r="AI28" s="26" t="n">
        <f aca="false">AI19+AI25</f>
        <v>272625</v>
      </c>
      <c r="AJ28" s="26" t="n">
        <f aca="false">AJ19+AJ25</f>
        <v>294293</v>
      </c>
      <c r="AK28" s="26" t="n">
        <f aca="false">AK19+AK25</f>
        <v>317725</v>
      </c>
      <c r="AL28" s="26" t="n">
        <f aca="false">SUM(B28:M28)</f>
        <v>305457</v>
      </c>
      <c r="AM28" s="26" t="n">
        <f aca="false">SUM(N28:Y28)</f>
        <v>997446</v>
      </c>
      <c r="AN28" s="26" t="n">
        <f aca="false">SUM(Z28:AK28)</f>
        <v>2585867</v>
      </c>
      <c r="AO28" s="27"/>
      <c r="AP28" s="27"/>
      <c r="AQ28" s="27"/>
      <c r="AR28" s="27"/>
    </row>
    <row r="29" customFormat="false" ht="15" hidden="false" customHeight="true" outlineLevel="0" collapsed="false">
      <c r="A29" s="13" t="s">
        <v>181</v>
      </c>
      <c r="B29" s="20"/>
      <c r="C29" s="20" t="n">
        <f aca="false">IFERROR((C28-B28)/B28,0)</f>
        <v>0.287218385599457</v>
      </c>
      <c r="D29" s="20" t="n">
        <f aca="false">IFERROR((D28-C28)/C28,0)</f>
        <v>0.234476693051891</v>
      </c>
      <c r="E29" s="20" t="n">
        <f aca="false">IFERROR((E28-D28)/D28,0)</f>
        <v>0.199130806497578</v>
      </c>
      <c r="F29" s="20" t="n">
        <f aca="false">IFERROR((F28-E28)/E28,0)</f>
        <v>0.171409898401759</v>
      </c>
      <c r="G29" s="20" t="n">
        <f aca="false">IFERROR((G28-F28)/F28,0)</f>
        <v>0.157435585311422</v>
      </c>
      <c r="H29" s="20" t="n">
        <f aca="false">IFERROR((H28-G28)/G28,0)</f>
        <v>0.143470639789658</v>
      </c>
      <c r="I29" s="20" t="n">
        <f aca="false">IFERROR((I28-H28)/H28,0)</f>
        <v>0.132367594082931</v>
      </c>
      <c r="J29" s="20" t="n">
        <f aca="false">IFERROR((J28-I28)/I28,0)</f>
        <v>0.124306213618519</v>
      </c>
      <c r="K29" s="20" t="n">
        <f aca="false">IFERROR((K28-J28)/J28,0)</f>
        <v>0.113271725715662</v>
      </c>
      <c r="L29" s="20" t="n">
        <f aca="false">IFERROR((L28-K28)/K28,0)</f>
        <v>0.107668180834956</v>
      </c>
      <c r="M29" s="20" t="n">
        <f aca="false">IFERROR((M28-L28)/L28,0)</f>
        <v>0.0993995020260704</v>
      </c>
      <c r="N29" s="20" t="n">
        <f aca="false">IFERROR((N28-M28)/M28,0)</f>
        <v>0.100137661530263</v>
      </c>
      <c r="O29" s="20" t="n">
        <f aca="false">IFERROR((O28-N28)/N28,0)</f>
        <v>0.0972592233793493</v>
      </c>
      <c r="P29" s="20" t="n">
        <f aca="false">IFERROR((P28-O28)/O28,0)</f>
        <v>0.0950392701454927</v>
      </c>
      <c r="Q29" s="20" t="n">
        <f aca="false">IFERROR((Q28-P28)/P28,0)</f>
        <v>0.0911579937514698</v>
      </c>
      <c r="R29" s="20" t="n">
        <f aca="false">IFERROR((R28-Q28)/Q28,0)</f>
        <v>0.0896845799787565</v>
      </c>
      <c r="S29" s="20" t="n">
        <f aca="false">IFERROR((S28-R28)/R28,0)</f>
        <v>0.0884908245864354</v>
      </c>
      <c r="T29" s="20" t="n">
        <f aca="false">IFERROR((T28-S28)/S28,0)</f>
        <v>0.0864751917561096</v>
      </c>
      <c r="U29" s="20" t="n">
        <f aca="false">IFERROR((U28-T28)/T28,0)</f>
        <v>0.0858996105788757</v>
      </c>
      <c r="V29" s="20" t="n">
        <f aca="false">IFERROR((V28-U28)/U28,0)</f>
        <v>0.0849128210769485</v>
      </c>
      <c r="W29" s="20" t="n">
        <f aca="false">IFERROR((W28-V28)/V28,0)</f>
        <v>0.0836206197274497</v>
      </c>
      <c r="X29" s="20" t="n">
        <f aca="false">IFERROR((X28-W28)/W28,0)</f>
        <v>0.0829504730001591</v>
      </c>
      <c r="Y29" s="20" t="n">
        <f aca="false">IFERROR((Y28-X28)/X28,0)</f>
        <v>0.0830510817723094</v>
      </c>
      <c r="Z29" s="20" t="n">
        <f aca="false">IFERROR((Z28-Y28)/Y28,0)</f>
        <v>0.0826419248811309</v>
      </c>
      <c r="AA29" s="20" t="n">
        <f aca="false">IFERROR((AA28-Z28)/Z28,0)</f>
        <v>0.0815506937740868</v>
      </c>
      <c r="AB29" s="20" t="n">
        <f aca="false">IFERROR((AB28-AA28)/AA28,0)</f>
        <v>0.0816493384386881</v>
      </c>
      <c r="AC29" s="20" t="n">
        <f aca="false">IFERROR((AC28-AB28)/AB28,0)</f>
        <v>0.080758135023117</v>
      </c>
      <c r="AD29" s="20" t="n">
        <f aca="false">IFERROR((AD28-AC28)/AC28,0)</f>
        <v>0.0803536563332343</v>
      </c>
      <c r="AE29" s="20" t="n">
        <f aca="false">IFERROR((AE28-AD28)/AD28,0)</f>
        <v>0.0805595416635197</v>
      </c>
      <c r="AF29" s="20" t="n">
        <f aca="false">IFERROR((AF28-AE28)/AE28,0)</f>
        <v>0.080274988891607</v>
      </c>
      <c r="AG29" s="20" t="n">
        <f aca="false">IFERROR((AG28-AF28)/AF28,0)</f>
        <v>0.080618177448724</v>
      </c>
      <c r="AH29" s="20" t="n">
        <f aca="false">IFERROR((AH28-AG28)/AG28,0)</f>
        <v>0.0800566242697437</v>
      </c>
      <c r="AI29" s="20" t="n">
        <f aca="false">IFERROR((AI28-AH28)/AH28,0)</f>
        <v>0.0795276806538344</v>
      </c>
      <c r="AJ29" s="20" t="n">
        <f aca="false">IFERROR((AJ28-AI28)/AI28,0)</f>
        <v>0.0794791380100871</v>
      </c>
      <c r="AK29" s="20" t="n">
        <f aca="false">IFERROR((AK28-AJ28)/AJ28,0)</f>
        <v>0.0796213297631952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R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2" min="2" style="1" width="13"/>
  </cols>
  <sheetData>
    <row r="1" customFormat="false" ht="17.25" hidden="false" customHeight="true" outlineLevel="0" collapsed="false">
      <c r="A1" s="2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8" t="s">
        <v>183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4" customFormat="false" ht="15" hidden="false" customHeight="true" outlineLevel="0" collapsed="false">
      <c r="B4" s="22" t="s">
        <v>144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2" t="s">
        <v>145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2" t="s">
        <v>146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18"/>
      <c r="AM4" s="18"/>
      <c r="AN4" s="18"/>
    </row>
    <row r="5" customFormat="false" ht="15" hidden="false" customHeight="true" outlineLevel="0" collapsed="false">
      <c r="B5" s="22" t="s">
        <v>147</v>
      </c>
      <c r="C5" s="22" t="s">
        <v>148</v>
      </c>
      <c r="D5" s="22" t="s">
        <v>149</v>
      </c>
      <c r="E5" s="22" t="s">
        <v>150</v>
      </c>
      <c r="F5" s="22" t="s">
        <v>151</v>
      </c>
      <c r="G5" s="22" t="s">
        <v>152</v>
      </c>
      <c r="H5" s="22" t="s">
        <v>153</v>
      </c>
      <c r="I5" s="22" t="s">
        <v>154</v>
      </c>
      <c r="J5" s="22" t="s">
        <v>155</v>
      </c>
      <c r="K5" s="22" t="s">
        <v>156</v>
      </c>
      <c r="L5" s="22" t="s">
        <v>157</v>
      </c>
      <c r="M5" s="22" t="s">
        <v>158</v>
      </c>
      <c r="N5" s="22" t="s">
        <v>147</v>
      </c>
      <c r="O5" s="22" t="s">
        <v>148</v>
      </c>
      <c r="P5" s="22" t="s">
        <v>149</v>
      </c>
      <c r="Q5" s="22" t="s">
        <v>150</v>
      </c>
      <c r="R5" s="22" t="s">
        <v>151</v>
      </c>
      <c r="S5" s="22" t="s">
        <v>152</v>
      </c>
      <c r="T5" s="22" t="s">
        <v>153</v>
      </c>
      <c r="U5" s="22" t="s">
        <v>154</v>
      </c>
      <c r="V5" s="22" t="s">
        <v>155</v>
      </c>
      <c r="W5" s="22" t="s">
        <v>156</v>
      </c>
      <c r="X5" s="22" t="s">
        <v>157</v>
      </c>
      <c r="Y5" s="22" t="s">
        <v>158</v>
      </c>
      <c r="Z5" s="22" t="s">
        <v>147</v>
      </c>
      <c r="AA5" s="22" t="s">
        <v>148</v>
      </c>
      <c r="AB5" s="22" t="s">
        <v>149</v>
      </c>
      <c r="AC5" s="22" t="s">
        <v>150</v>
      </c>
      <c r="AD5" s="22" t="s">
        <v>151</v>
      </c>
      <c r="AE5" s="22" t="s">
        <v>152</v>
      </c>
      <c r="AF5" s="22" t="s">
        <v>153</v>
      </c>
      <c r="AG5" s="22" t="s">
        <v>154</v>
      </c>
      <c r="AH5" s="22" t="s">
        <v>155</v>
      </c>
      <c r="AI5" s="22" t="s">
        <v>156</v>
      </c>
      <c r="AJ5" s="22" t="s">
        <v>157</v>
      </c>
      <c r="AK5" s="22" t="s">
        <v>158</v>
      </c>
      <c r="AL5" s="23" t="s">
        <v>159</v>
      </c>
      <c r="AM5" s="23" t="s">
        <v>160</v>
      </c>
      <c r="AN5" s="23" t="s">
        <v>161</v>
      </c>
    </row>
    <row r="7" customFormat="false" ht="15" hidden="false" customHeight="true" outlineLevel="0" collapsed="false">
      <c r="A7" s="15" t="s">
        <v>86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customFormat="false" ht="15" hidden="false" customHeight="true" outlineLevel="0" collapsed="false">
      <c r="A8" s="6" t="s">
        <v>87</v>
      </c>
      <c r="B8" s="28" t="n">
        <f aca="false">IFERROR(IF(1&gt;=1,ROUND(140000/12*ASSUMPTIONS!$B$92,0),0),0)</f>
        <v>15167</v>
      </c>
      <c r="C8" s="28" t="n">
        <f aca="false">IFERROR(IF(2&gt;=1,ROUND(140000/12*ASSUMPTIONS!$B$92,0),0),0)</f>
        <v>15167</v>
      </c>
      <c r="D8" s="28" t="n">
        <f aca="false">IFERROR(IF(3&gt;=1,ROUND(140000/12*ASSUMPTIONS!$B$92,0),0),0)</f>
        <v>15167</v>
      </c>
      <c r="E8" s="28" t="n">
        <f aca="false">IFERROR(IF(4&gt;=1,ROUND(140000/12*ASSUMPTIONS!$B$92,0),0),0)</f>
        <v>15167</v>
      </c>
      <c r="F8" s="28" t="n">
        <f aca="false">IFERROR(IF(5&gt;=1,ROUND(140000/12*ASSUMPTIONS!$B$92,0),0),0)</f>
        <v>15167</v>
      </c>
      <c r="G8" s="28" t="n">
        <f aca="false">IFERROR(IF(6&gt;=1,ROUND(140000/12*ASSUMPTIONS!$B$92,0),0),0)</f>
        <v>15167</v>
      </c>
      <c r="H8" s="28" t="n">
        <f aca="false">IFERROR(IF(7&gt;=1,ROUND(140000/12*ASSUMPTIONS!$B$92,0),0),0)</f>
        <v>15167</v>
      </c>
      <c r="I8" s="28" t="n">
        <f aca="false">IFERROR(IF(8&gt;=1,ROUND(140000/12*ASSUMPTIONS!$B$92,0),0),0)</f>
        <v>15167</v>
      </c>
      <c r="J8" s="28" t="n">
        <f aca="false">IFERROR(IF(9&gt;=1,ROUND(140000/12*ASSUMPTIONS!$B$92,0),0),0)</f>
        <v>15167</v>
      </c>
      <c r="K8" s="28" t="n">
        <f aca="false">IFERROR(IF(10&gt;=1,ROUND(140000/12*ASSUMPTIONS!$B$92,0),0),0)</f>
        <v>15167</v>
      </c>
      <c r="L8" s="28" t="n">
        <f aca="false">IFERROR(IF(11&gt;=1,ROUND(140000/12*ASSUMPTIONS!$B$92,0),0),0)</f>
        <v>15167</v>
      </c>
      <c r="M8" s="28" t="n">
        <f aca="false">IFERROR(IF(12&gt;=1,ROUND(140000/12*ASSUMPTIONS!$B$92,0),0),0)</f>
        <v>15167</v>
      </c>
      <c r="N8" s="28" t="n">
        <f aca="false">IFERROR(IF(13&gt;=1,ROUND(140000/12*ASSUMPTIONS!$B$92,0),0),0)</f>
        <v>15167</v>
      </c>
      <c r="O8" s="28" t="n">
        <f aca="false">IFERROR(IF(14&gt;=1,ROUND(140000/12*ASSUMPTIONS!$B$92,0),0),0)</f>
        <v>15167</v>
      </c>
      <c r="P8" s="28" t="n">
        <f aca="false">IFERROR(IF(15&gt;=1,ROUND(140000/12*ASSUMPTIONS!$B$92,0),0),0)</f>
        <v>15167</v>
      </c>
      <c r="Q8" s="28" t="n">
        <f aca="false">IFERROR(IF(16&gt;=1,ROUND(140000/12*ASSUMPTIONS!$B$92,0),0),0)</f>
        <v>15167</v>
      </c>
      <c r="R8" s="28" t="n">
        <f aca="false">IFERROR(IF(17&gt;=1,ROUND(140000/12*ASSUMPTIONS!$B$92,0),0),0)</f>
        <v>15167</v>
      </c>
      <c r="S8" s="28" t="n">
        <f aca="false">IFERROR(IF(18&gt;=1,ROUND(140000/12*ASSUMPTIONS!$B$92,0),0),0)</f>
        <v>15167</v>
      </c>
      <c r="T8" s="28" t="n">
        <f aca="false">IFERROR(IF(19&gt;=1,ROUND(140000/12*ASSUMPTIONS!$B$92,0),0),0)</f>
        <v>15167</v>
      </c>
      <c r="U8" s="28" t="n">
        <f aca="false">IFERROR(IF(20&gt;=1,ROUND(140000/12*ASSUMPTIONS!$B$92,0),0),0)</f>
        <v>15167</v>
      </c>
      <c r="V8" s="28" t="n">
        <f aca="false">IFERROR(IF(21&gt;=1,ROUND(140000/12*ASSUMPTIONS!$B$92,0),0),0)</f>
        <v>15167</v>
      </c>
      <c r="W8" s="28" t="n">
        <f aca="false">IFERROR(IF(22&gt;=1,ROUND(140000/12*ASSUMPTIONS!$B$92,0),0),0)</f>
        <v>15167</v>
      </c>
      <c r="X8" s="28" t="n">
        <f aca="false">IFERROR(IF(23&gt;=1,ROUND(140000/12*ASSUMPTIONS!$B$92,0),0),0)</f>
        <v>15167</v>
      </c>
      <c r="Y8" s="28" t="n">
        <f aca="false">IFERROR(IF(24&gt;=1,ROUND(140000/12*ASSUMPTIONS!$B$92,0),0),0)</f>
        <v>15167</v>
      </c>
      <c r="Z8" s="28" t="n">
        <f aca="false">IFERROR(IF(25&gt;=1,ROUND(140000/12*ASSUMPTIONS!$B$92,0),0),0)</f>
        <v>15167</v>
      </c>
      <c r="AA8" s="28" t="n">
        <f aca="false">IFERROR(IF(26&gt;=1,ROUND(140000/12*ASSUMPTIONS!$B$92,0),0),0)</f>
        <v>15167</v>
      </c>
      <c r="AB8" s="28" t="n">
        <f aca="false">IFERROR(IF(27&gt;=1,ROUND(140000/12*ASSUMPTIONS!$B$92,0),0),0)</f>
        <v>15167</v>
      </c>
      <c r="AC8" s="28" t="n">
        <f aca="false">IFERROR(IF(28&gt;=1,ROUND(140000/12*ASSUMPTIONS!$B$92,0),0),0)</f>
        <v>15167</v>
      </c>
      <c r="AD8" s="28" t="n">
        <f aca="false">IFERROR(IF(29&gt;=1,ROUND(140000/12*ASSUMPTIONS!$B$92,0),0),0)</f>
        <v>15167</v>
      </c>
      <c r="AE8" s="28" t="n">
        <f aca="false">IFERROR(IF(30&gt;=1,ROUND(140000/12*ASSUMPTIONS!$B$92,0),0),0)</f>
        <v>15167</v>
      </c>
      <c r="AF8" s="28" t="n">
        <f aca="false">IFERROR(IF(31&gt;=1,ROUND(140000/12*ASSUMPTIONS!$B$92,0),0),0)</f>
        <v>15167</v>
      </c>
      <c r="AG8" s="28" t="n">
        <f aca="false">IFERROR(IF(32&gt;=1,ROUND(140000/12*ASSUMPTIONS!$B$92,0),0),0)</f>
        <v>15167</v>
      </c>
      <c r="AH8" s="28" t="n">
        <f aca="false">IFERROR(IF(33&gt;=1,ROUND(140000/12*ASSUMPTIONS!$B$92,0),0),0)</f>
        <v>15167</v>
      </c>
      <c r="AI8" s="28" t="n">
        <f aca="false">IFERROR(IF(34&gt;=1,ROUND(140000/12*ASSUMPTIONS!$B$92,0),0),0)</f>
        <v>15167</v>
      </c>
      <c r="AJ8" s="28" t="n">
        <f aca="false">IFERROR(IF(35&gt;=1,ROUND(140000/12*ASSUMPTIONS!$B$92,0),0),0)</f>
        <v>15167</v>
      </c>
      <c r="AK8" s="28" t="n">
        <f aca="false">IFERROR(IF(36&gt;=1,ROUND(140000/12*ASSUMPTIONS!$B$92,0),0),0)</f>
        <v>15167</v>
      </c>
    </row>
    <row r="9" customFormat="false" ht="15" hidden="false" customHeight="true" outlineLevel="0" collapsed="false">
      <c r="A9" s="6" t="s">
        <v>89</v>
      </c>
      <c r="B9" s="28" t="n">
        <f aca="false">IFERROR(IF(1&gt;=1,ROUND(130000/12*ASSUMPTIONS!$B$92,0),0),0)</f>
        <v>14083</v>
      </c>
      <c r="C9" s="28" t="n">
        <f aca="false">IFERROR(IF(2&gt;=1,ROUND(130000/12*ASSUMPTIONS!$B$92,0),0),0)</f>
        <v>14083</v>
      </c>
      <c r="D9" s="28" t="n">
        <f aca="false">IFERROR(IF(3&gt;=1,ROUND(130000/12*ASSUMPTIONS!$B$92,0),0),0)</f>
        <v>14083</v>
      </c>
      <c r="E9" s="28" t="n">
        <f aca="false">IFERROR(IF(4&gt;=1,ROUND(130000/12*ASSUMPTIONS!$B$92,0),0),0)</f>
        <v>14083</v>
      </c>
      <c r="F9" s="28" t="n">
        <f aca="false">IFERROR(IF(5&gt;=1,ROUND(130000/12*ASSUMPTIONS!$B$92,0),0),0)</f>
        <v>14083</v>
      </c>
      <c r="G9" s="28" t="n">
        <f aca="false">IFERROR(IF(6&gt;=1,ROUND(130000/12*ASSUMPTIONS!$B$92,0),0),0)</f>
        <v>14083</v>
      </c>
      <c r="H9" s="28" t="n">
        <f aca="false">IFERROR(IF(7&gt;=1,ROUND(130000/12*ASSUMPTIONS!$B$92,0),0),0)</f>
        <v>14083</v>
      </c>
      <c r="I9" s="28" t="n">
        <f aca="false">IFERROR(IF(8&gt;=1,ROUND(130000/12*ASSUMPTIONS!$B$92,0),0),0)</f>
        <v>14083</v>
      </c>
      <c r="J9" s="28" t="n">
        <f aca="false">IFERROR(IF(9&gt;=1,ROUND(130000/12*ASSUMPTIONS!$B$92,0),0),0)</f>
        <v>14083</v>
      </c>
      <c r="K9" s="28" t="n">
        <f aca="false">IFERROR(IF(10&gt;=1,ROUND(130000/12*ASSUMPTIONS!$B$92,0),0),0)</f>
        <v>14083</v>
      </c>
      <c r="L9" s="28" t="n">
        <f aca="false">IFERROR(IF(11&gt;=1,ROUND(130000/12*ASSUMPTIONS!$B$92,0),0),0)</f>
        <v>14083</v>
      </c>
      <c r="M9" s="28" t="n">
        <f aca="false">IFERROR(IF(12&gt;=1,ROUND(130000/12*ASSUMPTIONS!$B$92,0),0),0)</f>
        <v>14083</v>
      </c>
      <c r="N9" s="28" t="n">
        <f aca="false">IFERROR(IF(13&gt;=1,ROUND(130000/12*ASSUMPTIONS!$B$92,0),0),0)</f>
        <v>14083</v>
      </c>
      <c r="O9" s="28" t="n">
        <f aca="false">IFERROR(IF(14&gt;=1,ROUND(130000/12*ASSUMPTIONS!$B$92,0),0),0)</f>
        <v>14083</v>
      </c>
      <c r="P9" s="28" t="n">
        <f aca="false">IFERROR(IF(15&gt;=1,ROUND(130000/12*ASSUMPTIONS!$B$92,0),0),0)</f>
        <v>14083</v>
      </c>
      <c r="Q9" s="28" t="n">
        <f aca="false">IFERROR(IF(16&gt;=1,ROUND(130000/12*ASSUMPTIONS!$B$92,0),0),0)</f>
        <v>14083</v>
      </c>
      <c r="R9" s="28" t="n">
        <f aca="false">IFERROR(IF(17&gt;=1,ROUND(130000/12*ASSUMPTIONS!$B$92,0),0),0)</f>
        <v>14083</v>
      </c>
      <c r="S9" s="28" t="n">
        <f aca="false">IFERROR(IF(18&gt;=1,ROUND(130000/12*ASSUMPTIONS!$B$92,0),0),0)</f>
        <v>14083</v>
      </c>
      <c r="T9" s="28" t="n">
        <f aca="false">IFERROR(IF(19&gt;=1,ROUND(130000/12*ASSUMPTIONS!$B$92,0),0),0)</f>
        <v>14083</v>
      </c>
      <c r="U9" s="28" t="n">
        <f aca="false">IFERROR(IF(20&gt;=1,ROUND(130000/12*ASSUMPTIONS!$B$92,0),0),0)</f>
        <v>14083</v>
      </c>
      <c r="V9" s="28" t="n">
        <f aca="false">IFERROR(IF(21&gt;=1,ROUND(130000/12*ASSUMPTIONS!$B$92,0),0),0)</f>
        <v>14083</v>
      </c>
      <c r="W9" s="28" t="n">
        <f aca="false">IFERROR(IF(22&gt;=1,ROUND(130000/12*ASSUMPTIONS!$B$92,0),0),0)</f>
        <v>14083</v>
      </c>
      <c r="X9" s="28" t="n">
        <f aca="false">IFERROR(IF(23&gt;=1,ROUND(130000/12*ASSUMPTIONS!$B$92,0),0),0)</f>
        <v>14083</v>
      </c>
      <c r="Y9" s="28" t="n">
        <f aca="false">IFERROR(IF(24&gt;=1,ROUND(130000/12*ASSUMPTIONS!$B$92,0),0),0)</f>
        <v>14083</v>
      </c>
      <c r="Z9" s="28" t="n">
        <f aca="false">IFERROR(IF(25&gt;=1,ROUND(130000/12*ASSUMPTIONS!$B$92,0),0),0)</f>
        <v>14083</v>
      </c>
      <c r="AA9" s="28" t="n">
        <f aca="false">IFERROR(IF(26&gt;=1,ROUND(130000/12*ASSUMPTIONS!$B$92,0),0),0)</f>
        <v>14083</v>
      </c>
      <c r="AB9" s="28" t="n">
        <f aca="false">IFERROR(IF(27&gt;=1,ROUND(130000/12*ASSUMPTIONS!$B$92,0),0),0)</f>
        <v>14083</v>
      </c>
      <c r="AC9" s="28" t="n">
        <f aca="false">IFERROR(IF(28&gt;=1,ROUND(130000/12*ASSUMPTIONS!$B$92,0),0),0)</f>
        <v>14083</v>
      </c>
      <c r="AD9" s="28" t="n">
        <f aca="false">IFERROR(IF(29&gt;=1,ROUND(130000/12*ASSUMPTIONS!$B$92,0),0),0)</f>
        <v>14083</v>
      </c>
      <c r="AE9" s="28" t="n">
        <f aca="false">IFERROR(IF(30&gt;=1,ROUND(130000/12*ASSUMPTIONS!$B$92,0),0),0)</f>
        <v>14083</v>
      </c>
      <c r="AF9" s="28" t="n">
        <f aca="false">IFERROR(IF(31&gt;=1,ROUND(130000/12*ASSUMPTIONS!$B$92,0),0),0)</f>
        <v>14083</v>
      </c>
      <c r="AG9" s="28" t="n">
        <f aca="false">IFERROR(IF(32&gt;=1,ROUND(130000/12*ASSUMPTIONS!$B$92,0),0),0)</f>
        <v>14083</v>
      </c>
      <c r="AH9" s="28" t="n">
        <f aca="false">IFERROR(IF(33&gt;=1,ROUND(130000/12*ASSUMPTIONS!$B$92,0),0),0)</f>
        <v>14083</v>
      </c>
      <c r="AI9" s="28" t="n">
        <f aca="false">IFERROR(IF(34&gt;=1,ROUND(130000/12*ASSUMPTIONS!$B$92,0),0),0)</f>
        <v>14083</v>
      </c>
      <c r="AJ9" s="28" t="n">
        <f aca="false">IFERROR(IF(35&gt;=1,ROUND(130000/12*ASSUMPTIONS!$B$92,0),0),0)</f>
        <v>14083</v>
      </c>
      <c r="AK9" s="28" t="n">
        <f aca="false">IFERROR(IF(36&gt;=1,ROUND(130000/12*ASSUMPTIONS!$B$92,0),0),0)</f>
        <v>14083</v>
      </c>
    </row>
    <row r="10" customFormat="false" ht="15" hidden="false" customHeight="true" outlineLevel="0" collapsed="false">
      <c r="A10" s="6" t="s">
        <v>91</v>
      </c>
      <c r="B10" s="28" t="n">
        <f aca="false">IFERROR(IF(1&gt;=3,ROUND(120000/12*ASSUMPTIONS!$B$92,0),0),0)</f>
        <v>0</v>
      </c>
      <c r="C10" s="28" t="n">
        <f aca="false">IFERROR(IF(2&gt;=3,ROUND(120000/12*ASSUMPTIONS!$B$92,0),0),0)</f>
        <v>0</v>
      </c>
      <c r="D10" s="28" t="n">
        <f aca="false">IFERROR(IF(3&gt;=3,ROUND(120000/12*ASSUMPTIONS!$B$92,0),0),0)</f>
        <v>13000</v>
      </c>
      <c r="E10" s="28" t="n">
        <f aca="false">IFERROR(IF(4&gt;=3,ROUND(120000/12*ASSUMPTIONS!$B$92,0),0),0)</f>
        <v>13000</v>
      </c>
      <c r="F10" s="28" t="n">
        <f aca="false">IFERROR(IF(5&gt;=3,ROUND(120000/12*ASSUMPTIONS!$B$92,0),0),0)</f>
        <v>13000</v>
      </c>
      <c r="G10" s="28" t="n">
        <f aca="false">IFERROR(IF(6&gt;=3,ROUND(120000/12*ASSUMPTIONS!$B$92,0),0),0)</f>
        <v>13000</v>
      </c>
      <c r="H10" s="28" t="n">
        <f aca="false">IFERROR(IF(7&gt;=3,ROUND(120000/12*ASSUMPTIONS!$B$92,0),0),0)</f>
        <v>13000</v>
      </c>
      <c r="I10" s="28" t="n">
        <f aca="false">IFERROR(IF(8&gt;=3,ROUND(120000/12*ASSUMPTIONS!$B$92,0),0),0)</f>
        <v>13000</v>
      </c>
      <c r="J10" s="28" t="n">
        <f aca="false">IFERROR(IF(9&gt;=3,ROUND(120000/12*ASSUMPTIONS!$B$92,0),0),0)</f>
        <v>13000</v>
      </c>
      <c r="K10" s="28" t="n">
        <f aca="false">IFERROR(IF(10&gt;=3,ROUND(120000/12*ASSUMPTIONS!$B$92,0),0),0)</f>
        <v>13000</v>
      </c>
      <c r="L10" s="28" t="n">
        <f aca="false">IFERROR(IF(11&gt;=3,ROUND(120000/12*ASSUMPTIONS!$B$92,0),0),0)</f>
        <v>13000</v>
      </c>
      <c r="M10" s="28" t="n">
        <f aca="false">IFERROR(IF(12&gt;=3,ROUND(120000/12*ASSUMPTIONS!$B$92,0),0),0)</f>
        <v>13000</v>
      </c>
      <c r="N10" s="28" t="n">
        <f aca="false">IFERROR(IF(13&gt;=3,ROUND(120000/12*ASSUMPTIONS!$B$92,0),0),0)</f>
        <v>13000</v>
      </c>
      <c r="O10" s="28" t="n">
        <f aca="false">IFERROR(IF(14&gt;=3,ROUND(120000/12*ASSUMPTIONS!$B$92,0),0),0)</f>
        <v>13000</v>
      </c>
      <c r="P10" s="28" t="n">
        <f aca="false">IFERROR(IF(15&gt;=3,ROUND(120000/12*ASSUMPTIONS!$B$92,0),0),0)</f>
        <v>13000</v>
      </c>
      <c r="Q10" s="28" t="n">
        <f aca="false">IFERROR(IF(16&gt;=3,ROUND(120000/12*ASSUMPTIONS!$B$92,0),0),0)</f>
        <v>13000</v>
      </c>
      <c r="R10" s="28" t="n">
        <f aca="false">IFERROR(IF(17&gt;=3,ROUND(120000/12*ASSUMPTIONS!$B$92,0),0),0)</f>
        <v>13000</v>
      </c>
      <c r="S10" s="28" t="n">
        <f aca="false">IFERROR(IF(18&gt;=3,ROUND(120000/12*ASSUMPTIONS!$B$92,0),0),0)</f>
        <v>13000</v>
      </c>
      <c r="T10" s="28" t="n">
        <f aca="false">IFERROR(IF(19&gt;=3,ROUND(120000/12*ASSUMPTIONS!$B$92,0),0),0)</f>
        <v>13000</v>
      </c>
      <c r="U10" s="28" t="n">
        <f aca="false">IFERROR(IF(20&gt;=3,ROUND(120000/12*ASSUMPTIONS!$B$92,0),0),0)</f>
        <v>13000</v>
      </c>
      <c r="V10" s="28" t="n">
        <f aca="false">IFERROR(IF(21&gt;=3,ROUND(120000/12*ASSUMPTIONS!$B$92,0),0),0)</f>
        <v>13000</v>
      </c>
      <c r="W10" s="28" t="n">
        <f aca="false">IFERROR(IF(22&gt;=3,ROUND(120000/12*ASSUMPTIONS!$B$92,0),0),0)</f>
        <v>13000</v>
      </c>
      <c r="X10" s="28" t="n">
        <f aca="false">IFERROR(IF(23&gt;=3,ROUND(120000/12*ASSUMPTIONS!$B$92,0),0),0)</f>
        <v>13000</v>
      </c>
      <c r="Y10" s="28" t="n">
        <f aca="false">IFERROR(IF(24&gt;=3,ROUND(120000/12*ASSUMPTIONS!$B$92,0),0),0)</f>
        <v>13000</v>
      </c>
      <c r="Z10" s="28" t="n">
        <f aca="false">IFERROR(IF(25&gt;=3,ROUND(120000/12*ASSUMPTIONS!$B$92,0),0),0)</f>
        <v>13000</v>
      </c>
      <c r="AA10" s="28" t="n">
        <f aca="false">IFERROR(IF(26&gt;=3,ROUND(120000/12*ASSUMPTIONS!$B$92,0),0),0)</f>
        <v>13000</v>
      </c>
      <c r="AB10" s="28" t="n">
        <f aca="false">IFERROR(IF(27&gt;=3,ROUND(120000/12*ASSUMPTIONS!$B$92,0),0),0)</f>
        <v>13000</v>
      </c>
      <c r="AC10" s="28" t="n">
        <f aca="false">IFERROR(IF(28&gt;=3,ROUND(120000/12*ASSUMPTIONS!$B$92,0),0),0)</f>
        <v>13000</v>
      </c>
      <c r="AD10" s="28" t="n">
        <f aca="false">IFERROR(IF(29&gt;=3,ROUND(120000/12*ASSUMPTIONS!$B$92,0),0),0)</f>
        <v>13000</v>
      </c>
      <c r="AE10" s="28" t="n">
        <f aca="false">IFERROR(IF(30&gt;=3,ROUND(120000/12*ASSUMPTIONS!$B$92,0),0),0)</f>
        <v>13000</v>
      </c>
      <c r="AF10" s="28" t="n">
        <f aca="false">IFERROR(IF(31&gt;=3,ROUND(120000/12*ASSUMPTIONS!$B$92,0),0),0)</f>
        <v>13000</v>
      </c>
      <c r="AG10" s="28" t="n">
        <f aca="false">IFERROR(IF(32&gt;=3,ROUND(120000/12*ASSUMPTIONS!$B$92,0),0),0)</f>
        <v>13000</v>
      </c>
      <c r="AH10" s="28" t="n">
        <f aca="false">IFERROR(IF(33&gt;=3,ROUND(120000/12*ASSUMPTIONS!$B$92,0),0),0)</f>
        <v>13000</v>
      </c>
      <c r="AI10" s="28" t="n">
        <f aca="false">IFERROR(IF(34&gt;=3,ROUND(120000/12*ASSUMPTIONS!$B$92,0),0),0)</f>
        <v>13000</v>
      </c>
      <c r="AJ10" s="28" t="n">
        <f aca="false">IFERROR(IF(35&gt;=3,ROUND(120000/12*ASSUMPTIONS!$B$92,0),0),0)</f>
        <v>13000</v>
      </c>
      <c r="AK10" s="28" t="n">
        <f aca="false">IFERROR(IF(36&gt;=3,ROUND(120000/12*ASSUMPTIONS!$B$92,0),0),0)</f>
        <v>13000</v>
      </c>
    </row>
    <row r="11" customFormat="false" ht="15" hidden="false" customHeight="true" outlineLevel="0" collapsed="false">
      <c r="A11" s="6" t="s">
        <v>93</v>
      </c>
      <c r="B11" s="28" t="n">
        <f aca="false">IFERROR(IF(1&gt;=6,ROUND(120000/12*ASSUMPTIONS!$B$92,0),0),0)</f>
        <v>0</v>
      </c>
      <c r="C11" s="28" t="n">
        <f aca="false">IFERROR(IF(2&gt;=6,ROUND(120000/12*ASSUMPTIONS!$B$92,0),0),0)</f>
        <v>0</v>
      </c>
      <c r="D11" s="28" t="n">
        <f aca="false">IFERROR(IF(3&gt;=6,ROUND(120000/12*ASSUMPTIONS!$B$92,0),0),0)</f>
        <v>0</v>
      </c>
      <c r="E11" s="28" t="n">
        <f aca="false">IFERROR(IF(4&gt;=6,ROUND(120000/12*ASSUMPTIONS!$B$92,0),0),0)</f>
        <v>0</v>
      </c>
      <c r="F11" s="28" t="n">
        <f aca="false">IFERROR(IF(5&gt;=6,ROUND(120000/12*ASSUMPTIONS!$B$92,0),0),0)</f>
        <v>0</v>
      </c>
      <c r="G11" s="28" t="n">
        <f aca="false">IFERROR(IF(6&gt;=6,ROUND(120000/12*ASSUMPTIONS!$B$92,0),0),0)</f>
        <v>13000</v>
      </c>
      <c r="H11" s="28" t="n">
        <f aca="false">IFERROR(IF(7&gt;=6,ROUND(120000/12*ASSUMPTIONS!$B$92,0),0),0)</f>
        <v>13000</v>
      </c>
      <c r="I11" s="28" t="n">
        <f aca="false">IFERROR(IF(8&gt;=6,ROUND(120000/12*ASSUMPTIONS!$B$92,0),0),0)</f>
        <v>13000</v>
      </c>
      <c r="J11" s="28" t="n">
        <f aca="false">IFERROR(IF(9&gt;=6,ROUND(120000/12*ASSUMPTIONS!$B$92,0),0),0)</f>
        <v>13000</v>
      </c>
      <c r="K11" s="28" t="n">
        <f aca="false">IFERROR(IF(10&gt;=6,ROUND(120000/12*ASSUMPTIONS!$B$92,0),0),0)</f>
        <v>13000</v>
      </c>
      <c r="L11" s="28" t="n">
        <f aca="false">IFERROR(IF(11&gt;=6,ROUND(120000/12*ASSUMPTIONS!$B$92,0),0),0)</f>
        <v>13000</v>
      </c>
      <c r="M11" s="28" t="n">
        <f aca="false">IFERROR(IF(12&gt;=6,ROUND(120000/12*ASSUMPTIONS!$B$92,0),0),0)</f>
        <v>13000</v>
      </c>
      <c r="N11" s="28" t="n">
        <f aca="false">IFERROR(IF(13&gt;=6,ROUND(120000/12*ASSUMPTIONS!$B$92,0),0),0)</f>
        <v>13000</v>
      </c>
      <c r="O11" s="28" t="n">
        <f aca="false">IFERROR(IF(14&gt;=6,ROUND(120000/12*ASSUMPTIONS!$B$92,0),0),0)</f>
        <v>13000</v>
      </c>
      <c r="P11" s="28" t="n">
        <f aca="false">IFERROR(IF(15&gt;=6,ROUND(120000/12*ASSUMPTIONS!$B$92,0),0),0)</f>
        <v>13000</v>
      </c>
      <c r="Q11" s="28" t="n">
        <f aca="false">IFERROR(IF(16&gt;=6,ROUND(120000/12*ASSUMPTIONS!$B$92,0),0),0)</f>
        <v>13000</v>
      </c>
      <c r="R11" s="28" t="n">
        <f aca="false">IFERROR(IF(17&gt;=6,ROUND(120000/12*ASSUMPTIONS!$B$92,0),0),0)</f>
        <v>13000</v>
      </c>
      <c r="S11" s="28" t="n">
        <f aca="false">IFERROR(IF(18&gt;=6,ROUND(120000/12*ASSUMPTIONS!$B$92,0),0),0)</f>
        <v>13000</v>
      </c>
      <c r="T11" s="28" t="n">
        <f aca="false">IFERROR(IF(19&gt;=6,ROUND(120000/12*ASSUMPTIONS!$B$92,0),0),0)</f>
        <v>13000</v>
      </c>
      <c r="U11" s="28" t="n">
        <f aca="false">IFERROR(IF(20&gt;=6,ROUND(120000/12*ASSUMPTIONS!$B$92,0),0),0)</f>
        <v>13000</v>
      </c>
      <c r="V11" s="28" t="n">
        <f aca="false">IFERROR(IF(21&gt;=6,ROUND(120000/12*ASSUMPTIONS!$B$92,0),0),0)</f>
        <v>13000</v>
      </c>
      <c r="W11" s="28" t="n">
        <f aca="false">IFERROR(IF(22&gt;=6,ROUND(120000/12*ASSUMPTIONS!$B$92,0),0),0)</f>
        <v>13000</v>
      </c>
      <c r="X11" s="28" t="n">
        <f aca="false">IFERROR(IF(23&gt;=6,ROUND(120000/12*ASSUMPTIONS!$B$92,0),0),0)</f>
        <v>13000</v>
      </c>
      <c r="Y11" s="28" t="n">
        <f aca="false">IFERROR(IF(24&gt;=6,ROUND(120000/12*ASSUMPTIONS!$B$92,0),0),0)</f>
        <v>13000</v>
      </c>
      <c r="Z11" s="28" t="n">
        <f aca="false">IFERROR(IF(25&gt;=6,ROUND(120000/12*ASSUMPTIONS!$B$92,0),0),0)</f>
        <v>13000</v>
      </c>
      <c r="AA11" s="28" t="n">
        <f aca="false">IFERROR(IF(26&gt;=6,ROUND(120000/12*ASSUMPTIONS!$B$92,0),0),0)</f>
        <v>13000</v>
      </c>
      <c r="AB11" s="28" t="n">
        <f aca="false">IFERROR(IF(27&gt;=6,ROUND(120000/12*ASSUMPTIONS!$B$92,0),0),0)</f>
        <v>13000</v>
      </c>
      <c r="AC11" s="28" t="n">
        <f aca="false">IFERROR(IF(28&gt;=6,ROUND(120000/12*ASSUMPTIONS!$B$92,0),0),0)</f>
        <v>13000</v>
      </c>
      <c r="AD11" s="28" t="n">
        <f aca="false">IFERROR(IF(29&gt;=6,ROUND(120000/12*ASSUMPTIONS!$B$92,0),0),0)</f>
        <v>13000</v>
      </c>
      <c r="AE11" s="28" t="n">
        <f aca="false">IFERROR(IF(30&gt;=6,ROUND(120000/12*ASSUMPTIONS!$B$92,0),0),0)</f>
        <v>13000</v>
      </c>
      <c r="AF11" s="28" t="n">
        <f aca="false">IFERROR(IF(31&gt;=6,ROUND(120000/12*ASSUMPTIONS!$B$92,0),0),0)</f>
        <v>13000</v>
      </c>
      <c r="AG11" s="28" t="n">
        <f aca="false">IFERROR(IF(32&gt;=6,ROUND(120000/12*ASSUMPTIONS!$B$92,0),0),0)</f>
        <v>13000</v>
      </c>
      <c r="AH11" s="28" t="n">
        <f aca="false">IFERROR(IF(33&gt;=6,ROUND(120000/12*ASSUMPTIONS!$B$92,0),0),0)</f>
        <v>13000</v>
      </c>
      <c r="AI11" s="28" t="n">
        <f aca="false">IFERROR(IF(34&gt;=6,ROUND(120000/12*ASSUMPTIONS!$B$92,0),0),0)</f>
        <v>13000</v>
      </c>
      <c r="AJ11" s="28" t="n">
        <f aca="false">IFERROR(IF(35&gt;=6,ROUND(120000/12*ASSUMPTIONS!$B$92,0),0),0)</f>
        <v>13000</v>
      </c>
      <c r="AK11" s="28" t="n">
        <f aca="false">IFERROR(IF(36&gt;=6,ROUND(120000/12*ASSUMPTIONS!$B$92,0),0),0)</f>
        <v>13000</v>
      </c>
    </row>
    <row r="12" customFormat="false" ht="15" hidden="false" customHeight="true" outlineLevel="0" collapsed="false">
      <c r="A12" s="6" t="s">
        <v>95</v>
      </c>
      <c r="B12" s="28" t="n">
        <f aca="false">IFERROR(IF(1&gt;=9,ROUND(120000/12*ASSUMPTIONS!$B$92,0),0),0)</f>
        <v>0</v>
      </c>
      <c r="C12" s="28" t="n">
        <f aca="false">IFERROR(IF(2&gt;=9,ROUND(120000/12*ASSUMPTIONS!$B$92,0),0),0)</f>
        <v>0</v>
      </c>
      <c r="D12" s="28" t="n">
        <f aca="false">IFERROR(IF(3&gt;=9,ROUND(120000/12*ASSUMPTIONS!$B$92,0),0),0)</f>
        <v>0</v>
      </c>
      <c r="E12" s="28" t="n">
        <f aca="false">IFERROR(IF(4&gt;=9,ROUND(120000/12*ASSUMPTIONS!$B$92,0),0),0)</f>
        <v>0</v>
      </c>
      <c r="F12" s="28" t="n">
        <f aca="false">IFERROR(IF(5&gt;=9,ROUND(120000/12*ASSUMPTIONS!$B$92,0),0),0)</f>
        <v>0</v>
      </c>
      <c r="G12" s="28" t="n">
        <f aca="false">IFERROR(IF(6&gt;=9,ROUND(120000/12*ASSUMPTIONS!$B$92,0),0),0)</f>
        <v>0</v>
      </c>
      <c r="H12" s="28" t="n">
        <f aca="false">IFERROR(IF(7&gt;=9,ROUND(120000/12*ASSUMPTIONS!$B$92,0),0),0)</f>
        <v>0</v>
      </c>
      <c r="I12" s="28" t="n">
        <f aca="false">IFERROR(IF(8&gt;=9,ROUND(120000/12*ASSUMPTIONS!$B$92,0),0),0)</f>
        <v>0</v>
      </c>
      <c r="J12" s="28" t="n">
        <f aca="false">IFERROR(IF(9&gt;=9,ROUND(120000/12*ASSUMPTIONS!$B$92,0),0),0)</f>
        <v>13000</v>
      </c>
      <c r="K12" s="28" t="n">
        <f aca="false">IFERROR(IF(10&gt;=9,ROUND(120000/12*ASSUMPTIONS!$B$92,0),0),0)</f>
        <v>13000</v>
      </c>
      <c r="L12" s="28" t="n">
        <f aca="false">IFERROR(IF(11&gt;=9,ROUND(120000/12*ASSUMPTIONS!$B$92,0),0),0)</f>
        <v>13000</v>
      </c>
      <c r="M12" s="28" t="n">
        <f aca="false">IFERROR(IF(12&gt;=9,ROUND(120000/12*ASSUMPTIONS!$B$92,0),0),0)</f>
        <v>13000</v>
      </c>
      <c r="N12" s="28" t="n">
        <f aca="false">IFERROR(IF(13&gt;=9,ROUND(120000/12*ASSUMPTIONS!$B$92,0),0),0)</f>
        <v>13000</v>
      </c>
      <c r="O12" s="28" t="n">
        <f aca="false">IFERROR(IF(14&gt;=9,ROUND(120000/12*ASSUMPTIONS!$B$92,0),0),0)</f>
        <v>13000</v>
      </c>
      <c r="P12" s="28" t="n">
        <f aca="false">IFERROR(IF(15&gt;=9,ROUND(120000/12*ASSUMPTIONS!$B$92,0),0),0)</f>
        <v>13000</v>
      </c>
      <c r="Q12" s="28" t="n">
        <f aca="false">IFERROR(IF(16&gt;=9,ROUND(120000/12*ASSUMPTIONS!$B$92,0),0),0)</f>
        <v>13000</v>
      </c>
      <c r="R12" s="28" t="n">
        <f aca="false">IFERROR(IF(17&gt;=9,ROUND(120000/12*ASSUMPTIONS!$B$92,0),0),0)</f>
        <v>13000</v>
      </c>
      <c r="S12" s="28" t="n">
        <f aca="false">IFERROR(IF(18&gt;=9,ROUND(120000/12*ASSUMPTIONS!$B$92,0),0),0)</f>
        <v>13000</v>
      </c>
      <c r="T12" s="28" t="n">
        <f aca="false">IFERROR(IF(19&gt;=9,ROUND(120000/12*ASSUMPTIONS!$B$92,0),0),0)</f>
        <v>13000</v>
      </c>
      <c r="U12" s="28" t="n">
        <f aca="false">IFERROR(IF(20&gt;=9,ROUND(120000/12*ASSUMPTIONS!$B$92,0),0),0)</f>
        <v>13000</v>
      </c>
      <c r="V12" s="28" t="n">
        <f aca="false">IFERROR(IF(21&gt;=9,ROUND(120000/12*ASSUMPTIONS!$B$92,0),0),0)</f>
        <v>13000</v>
      </c>
      <c r="W12" s="28" t="n">
        <f aca="false">IFERROR(IF(22&gt;=9,ROUND(120000/12*ASSUMPTIONS!$B$92,0),0),0)</f>
        <v>13000</v>
      </c>
      <c r="X12" s="28" t="n">
        <f aca="false">IFERROR(IF(23&gt;=9,ROUND(120000/12*ASSUMPTIONS!$B$92,0),0),0)</f>
        <v>13000</v>
      </c>
      <c r="Y12" s="28" t="n">
        <f aca="false">IFERROR(IF(24&gt;=9,ROUND(120000/12*ASSUMPTIONS!$B$92,0),0),0)</f>
        <v>13000</v>
      </c>
      <c r="Z12" s="28" t="n">
        <f aca="false">IFERROR(IF(25&gt;=9,ROUND(120000/12*ASSUMPTIONS!$B$92,0),0),0)</f>
        <v>13000</v>
      </c>
      <c r="AA12" s="28" t="n">
        <f aca="false">IFERROR(IF(26&gt;=9,ROUND(120000/12*ASSUMPTIONS!$B$92,0),0),0)</f>
        <v>13000</v>
      </c>
      <c r="AB12" s="28" t="n">
        <f aca="false">IFERROR(IF(27&gt;=9,ROUND(120000/12*ASSUMPTIONS!$B$92,0),0),0)</f>
        <v>13000</v>
      </c>
      <c r="AC12" s="28" t="n">
        <f aca="false">IFERROR(IF(28&gt;=9,ROUND(120000/12*ASSUMPTIONS!$B$92,0),0),0)</f>
        <v>13000</v>
      </c>
      <c r="AD12" s="28" t="n">
        <f aca="false">IFERROR(IF(29&gt;=9,ROUND(120000/12*ASSUMPTIONS!$B$92,0),0),0)</f>
        <v>13000</v>
      </c>
      <c r="AE12" s="28" t="n">
        <f aca="false">IFERROR(IF(30&gt;=9,ROUND(120000/12*ASSUMPTIONS!$B$92,0),0),0)</f>
        <v>13000</v>
      </c>
      <c r="AF12" s="28" t="n">
        <f aca="false">IFERROR(IF(31&gt;=9,ROUND(120000/12*ASSUMPTIONS!$B$92,0),0),0)</f>
        <v>13000</v>
      </c>
      <c r="AG12" s="28" t="n">
        <f aca="false">IFERROR(IF(32&gt;=9,ROUND(120000/12*ASSUMPTIONS!$B$92,0),0),0)</f>
        <v>13000</v>
      </c>
      <c r="AH12" s="28" t="n">
        <f aca="false">IFERROR(IF(33&gt;=9,ROUND(120000/12*ASSUMPTIONS!$B$92,0),0),0)</f>
        <v>13000</v>
      </c>
      <c r="AI12" s="28" t="n">
        <f aca="false">IFERROR(IF(34&gt;=9,ROUND(120000/12*ASSUMPTIONS!$B$92,0),0),0)</f>
        <v>13000</v>
      </c>
      <c r="AJ12" s="28" t="n">
        <f aca="false">IFERROR(IF(35&gt;=9,ROUND(120000/12*ASSUMPTIONS!$B$92,0),0),0)</f>
        <v>13000</v>
      </c>
      <c r="AK12" s="28" t="n">
        <f aca="false">IFERROR(IF(36&gt;=9,ROUND(120000/12*ASSUMPTIONS!$B$92,0),0),0)</f>
        <v>13000</v>
      </c>
    </row>
    <row r="13" customFormat="false" ht="15" hidden="false" customHeight="true" outlineLevel="0" collapsed="false">
      <c r="A13" s="6" t="s">
        <v>97</v>
      </c>
      <c r="B13" s="28" t="n">
        <f aca="false">IFERROR(IF(1&gt;=12,ROUND(120000/12*ASSUMPTIONS!$B$92,0),0),0)</f>
        <v>0</v>
      </c>
      <c r="C13" s="28" t="n">
        <f aca="false">IFERROR(IF(2&gt;=12,ROUND(120000/12*ASSUMPTIONS!$B$92,0),0),0)</f>
        <v>0</v>
      </c>
      <c r="D13" s="28" t="n">
        <f aca="false">IFERROR(IF(3&gt;=12,ROUND(120000/12*ASSUMPTIONS!$B$92,0),0),0)</f>
        <v>0</v>
      </c>
      <c r="E13" s="28" t="n">
        <f aca="false">IFERROR(IF(4&gt;=12,ROUND(120000/12*ASSUMPTIONS!$B$92,0),0),0)</f>
        <v>0</v>
      </c>
      <c r="F13" s="28" t="n">
        <f aca="false">IFERROR(IF(5&gt;=12,ROUND(120000/12*ASSUMPTIONS!$B$92,0),0),0)</f>
        <v>0</v>
      </c>
      <c r="G13" s="28" t="n">
        <f aca="false">IFERROR(IF(6&gt;=12,ROUND(120000/12*ASSUMPTIONS!$B$92,0),0),0)</f>
        <v>0</v>
      </c>
      <c r="H13" s="28" t="n">
        <f aca="false">IFERROR(IF(7&gt;=12,ROUND(120000/12*ASSUMPTIONS!$B$92,0),0),0)</f>
        <v>0</v>
      </c>
      <c r="I13" s="28" t="n">
        <f aca="false">IFERROR(IF(8&gt;=12,ROUND(120000/12*ASSUMPTIONS!$B$92,0),0),0)</f>
        <v>0</v>
      </c>
      <c r="J13" s="28" t="n">
        <f aca="false">IFERROR(IF(9&gt;=12,ROUND(120000/12*ASSUMPTIONS!$B$92,0),0),0)</f>
        <v>0</v>
      </c>
      <c r="K13" s="28" t="n">
        <f aca="false">IFERROR(IF(10&gt;=12,ROUND(120000/12*ASSUMPTIONS!$B$92,0),0),0)</f>
        <v>0</v>
      </c>
      <c r="L13" s="28" t="n">
        <f aca="false">IFERROR(IF(11&gt;=12,ROUND(120000/12*ASSUMPTIONS!$B$92,0),0),0)</f>
        <v>0</v>
      </c>
      <c r="M13" s="28" t="n">
        <f aca="false">IFERROR(IF(12&gt;=12,ROUND(120000/12*ASSUMPTIONS!$B$92,0),0),0)</f>
        <v>13000</v>
      </c>
      <c r="N13" s="28" t="n">
        <f aca="false">IFERROR(IF(13&gt;=12,ROUND(120000/12*ASSUMPTIONS!$B$92,0),0),0)</f>
        <v>13000</v>
      </c>
      <c r="O13" s="28" t="n">
        <f aca="false">IFERROR(IF(14&gt;=12,ROUND(120000/12*ASSUMPTIONS!$B$92,0),0),0)</f>
        <v>13000</v>
      </c>
      <c r="P13" s="28" t="n">
        <f aca="false">IFERROR(IF(15&gt;=12,ROUND(120000/12*ASSUMPTIONS!$B$92,0),0),0)</f>
        <v>13000</v>
      </c>
      <c r="Q13" s="28" t="n">
        <f aca="false">IFERROR(IF(16&gt;=12,ROUND(120000/12*ASSUMPTIONS!$B$92,0),0),0)</f>
        <v>13000</v>
      </c>
      <c r="R13" s="28" t="n">
        <f aca="false">IFERROR(IF(17&gt;=12,ROUND(120000/12*ASSUMPTIONS!$B$92,0),0),0)</f>
        <v>13000</v>
      </c>
      <c r="S13" s="28" t="n">
        <f aca="false">IFERROR(IF(18&gt;=12,ROUND(120000/12*ASSUMPTIONS!$B$92,0),0),0)</f>
        <v>13000</v>
      </c>
      <c r="T13" s="28" t="n">
        <f aca="false">IFERROR(IF(19&gt;=12,ROUND(120000/12*ASSUMPTIONS!$B$92,0),0),0)</f>
        <v>13000</v>
      </c>
      <c r="U13" s="28" t="n">
        <f aca="false">IFERROR(IF(20&gt;=12,ROUND(120000/12*ASSUMPTIONS!$B$92,0),0),0)</f>
        <v>13000</v>
      </c>
      <c r="V13" s="28" t="n">
        <f aca="false">IFERROR(IF(21&gt;=12,ROUND(120000/12*ASSUMPTIONS!$B$92,0),0),0)</f>
        <v>13000</v>
      </c>
      <c r="W13" s="28" t="n">
        <f aca="false">IFERROR(IF(22&gt;=12,ROUND(120000/12*ASSUMPTIONS!$B$92,0),0),0)</f>
        <v>13000</v>
      </c>
      <c r="X13" s="28" t="n">
        <f aca="false">IFERROR(IF(23&gt;=12,ROUND(120000/12*ASSUMPTIONS!$B$92,0),0),0)</f>
        <v>13000</v>
      </c>
      <c r="Y13" s="28" t="n">
        <f aca="false">IFERROR(IF(24&gt;=12,ROUND(120000/12*ASSUMPTIONS!$B$92,0),0),0)</f>
        <v>13000</v>
      </c>
      <c r="Z13" s="28" t="n">
        <f aca="false">IFERROR(IF(25&gt;=12,ROUND(120000/12*ASSUMPTIONS!$B$92,0),0),0)</f>
        <v>13000</v>
      </c>
      <c r="AA13" s="28" t="n">
        <f aca="false">IFERROR(IF(26&gt;=12,ROUND(120000/12*ASSUMPTIONS!$B$92,0),0),0)</f>
        <v>13000</v>
      </c>
      <c r="AB13" s="28" t="n">
        <f aca="false">IFERROR(IF(27&gt;=12,ROUND(120000/12*ASSUMPTIONS!$B$92,0),0),0)</f>
        <v>13000</v>
      </c>
      <c r="AC13" s="28" t="n">
        <f aca="false">IFERROR(IF(28&gt;=12,ROUND(120000/12*ASSUMPTIONS!$B$92,0),0),0)</f>
        <v>13000</v>
      </c>
      <c r="AD13" s="28" t="n">
        <f aca="false">IFERROR(IF(29&gt;=12,ROUND(120000/12*ASSUMPTIONS!$B$92,0),0),0)</f>
        <v>13000</v>
      </c>
      <c r="AE13" s="28" t="n">
        <f aca="false">IFERROR(IF(30&gt;=12,ROUND(120000/12*ASSUMPTIONS!$B$92,0),0),0)</f>
        <v>13000</v>
      </c>
      <c r="AF13" s="28" t="n">
        <f aca="false">IFERROR(IF(31&gt;=12,ROUND(120000/12*ASSUMPTIONS!$B$92,0),0),0)</f>
        <v>13000</v>
      </c>
      <c r="AG13" s="28" t="n">
        <f aca="false">IFERROR(IF(32&gt;=12,ROUND(120000/12*ASSUMPTIONS!$B$92,0),0),0)</f>
        <v>13000</v>
      </c>
      <c r="AH13" s="28" t="n">
        <f aca="false">IFERROR(IF(33&gt;=12,ROUND(120000/12*ASSUMPTIONS!$B$92,0),0),0)</f>
        <v>13000</v>
      </c>
      <c r="AI13" s="28" t="n">
        <f aca="false">IFERROR(IF(34&gt;=12,ROUND(120000/12*ASSUMPTIONS!$B$92,0),0),0)</f>
        <v>13000</v>
      </c>
      <c r="AJ13" s="28" t="n">
        <f aca="false">IFERROR(IF(35&gt;=12,ROUND(120000/12*ASSUMPTIONS!$B$92,0),0),0)</f>
        <v>13000</v>
      </c>
      <c r="AK13" s="28" t="n">
        <f aca="false">IFERROR(IF(36&gt;=12,ROUND(120000/12*ASSUMPTIONS!$B$92,0),0),0)</f>
        <v>13000</v>
      </c>
    </row>
    <row r="14" customFormat="false" ht="15" hidden="false" customHeight="true" outlineLevel="0" collapsed="false">
      <c r="A14" s="29" t="s">
        <v>184</v>
      </c>
      <c r="B14" s="19" t="n">
        <f aca="false">SUM(B8:B13)</f>
        <v>29250</v>
      </c>
      <c r="C14" s="19" t="n">
        <f aca="false">SUM(C8:C13)</f>
        <v>29250</v>
      </c>
      <c r="D14" s="19" t="n">
        <f aca="false">SUM(D8:D13)</f>
        <v>42250</v>
      </c>
      <c r="E14" s="19" t="n">
        <f aca="false">SUM(E8:E13)</f>
        <v>42250</v>
      </c>
      <c r="F14" s="19" t="n">
        <f aca="false">SUM(F8:F13)</f>
        <v>42250</v>
      </c>
      <c r="G14" s="19" t="n">
        <f aca="false">SUM(G8:G13)</f>
        <v>55250</v>
      </c>
      <c r="H14" s="19" t="n">
        <f aca="false">SUM(H8:H13)</f>
        <v>55250</v>
      </c>
      <c r="I14" s="19" t="n">
        <f aca="false">SUM(I8:I13)</f>
        <v>55250</v>
      </c>
      <c r="J14" s="19" t="n">
        <f aca="false">SUM(J8:J13)</f>
        <v>68250</v>
      </c>
      <c r="K14" s="19" t="n">
        <f aca="false">SUM(K8:K13)</f>
        <v>68250</v>
      </c>
      <c r="L14" s="19" t="n">
        <f aca="false">SUM(L8:L13)</f>
        <v>68250</v>
      </c>
      <c r="M14" s="19" t="n">
        <f aca="false">SUM(M8:M13)</f>
        <v>81250</v>
      </c>
      <c r="N14" s="19" t="n">
        <f aca="false">SUM(N8:N13)</f>
        <v>81250</v>
      </c>
      <c r="O14" s="19" t="n">
        <f aca="false">SUM(O8:O13)</f>
        <v>81250</v>
      </c>
      <c r="P14" s="19" t="n">
        <f aca="false">SUM(P8:P13)</f>
        <v>81250</v>
      </c>
      <c r="Q14" s="19" t="n">
        <f aca="false">SUM(Q8:Q13)</f>
        <v>81250</v>
      </c>
      <c r="R14" s="19" t="n">
        <f aca="false">SUM(R8:R13)</f>
        <v>81250</v>
      </c>
      <c r="S14" s="19" t="n">
        <f aca="false">SUM(S8:S13)</f>
        <v>81250</v>
      </c>
      <c r="T14" s="19" t="n">
        <f aca="false">SUM(T8:T13)</f>
        <v>81250</v>
      </c>
      <c r="U14" s="19" t="n">
        <f aca="false">SUM(U8:U13)</f>
        <v>81250</v>
      </c>
      <c r="V14" s="19" t="n">
        <f aca="false">SUM(V8:V13)</f>
        <v>81250</v>
      </c>
      <c r="W14" s="19" t="n">
        <f aca="false">SUM(W8:W13)</f>
        <v>81250</v>
      </c>
      <c r="X14" s="19" t="n">
        <f aca="false">SUM(X8:X13)</f>
        <v>81250</v>
      </c>
      <c r="Y14" s="19" t="n">
        <f aca="false">SUM(Y8:Y13)</f>
        <v>81250</v>
      </c>
      <c r="Z14" s="19" t="n">
        <f aca="false">SUM(Z8:Z13)</f>
        <v>81250</v>
      </c>
      <c r="AA14" s="19" t="n">
        <f aca="false">SUM(AA8:AA13)</f>
        <v>81250</v>
      </c>
      <c r="AB14" s="19" t="n">
        <f aca="false">SUM(AB8:AB13)</f>
        <v>81250</v>
      </c>
      <c r="AC14" s="19" t="n">
        <f aca="false">SUM(AC8:AC13)</f>
        <v>81250</v>
      </c>
      <c r="AD14" s="19" t="n">
        <f aca="false">SUM(AD8:AD13)</f>
        <v>81250</v>
      </c>
      <c r="AE14" s="19" t="n">
        <f aca="false">SUM(AE8:AE13)</f>
        <v>81250</v>
      </c>
      <c r="AF14" s="19" t="n">
        <f aca="false">SUM(AF8:AF13)</f>
        <v>81250</v>
      </c>
      <c r="AG14" s="19" t="n">
        <f aca="false">SUM(AG8:AG13)</f>
        <v>81250</v>
      </c>
      <c r="AH14" s="19" t="n">
        <f aca="false">SUM(AH8:AH13)</f>
        <v>81250</v>
      </c>
      <c r="AI14" s="19" t="n">
        <f aca="false">SUM(AI8:AI13)</f>
        <v>81250</v>
      </c>
      <c r="AJ14" s="19" t="n">
        <f aca="false">SUM(AJ8:AJ13)</f>
        <v>81250</v>
      </c>
      <c r="AK14" s="19" t="n">
        <f aca="false">SUM(AK8:AK13)</f>
        <v>81250</v>
      </c>
    </row>
    <row r="15" customFormat="false" ht="15" hidden="false" customHeight="true" outlineLevel="0" collapsed="false">
      <c r="A15" s="15" t="s">
        <v>99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</row>
    <row r="16" customFormat="false" ht="15" hidden="false" customHeight="true" outlineLevel="0" collapsed="false">
      <c r="A16" s="6" t="s">
        <v>100</v>
      </c>
      <c r="B16" s="28" t="n">
        <f aca="false">IFERROR(IF(1&gt;=3,ROUND(130000/12*ASSUMPTIONS!$B$92,0),0),0)</f>
        <v>0</v>
      </c>
      <c r="C16" s="28" t="n">
        <f aca="false">IFERROR(IF(2&gt;=3,ROUND(130000/12*ASSUMPTIONS!$B$92,0),0),0)</f>
        <v>0</v>
      </c>
      <c r="D16" s="28" t="n">
        <f aca="false">IFERROR(IF(3&gt;=3,ROUND(130000/12*ASSUMPTIONS!$B$92,0),0),0)</f>
        <v>14083</v>
      </c>
      <c r="E16" s="28" t="n">
        <f aca="false">IFERROR(IF(4&gt;=3,ROUND(130000/12*ASSUMPTIONS!$B$92,0),0),0)</f>
        <v>14083</v>
      </c>
      <c r="F16" s="28" t="n">
        <f aca="false">IFERROR(IF(5&gt;=3,ROUND(130000/12*ASSUMPTIONS!$B$92,0),0),0)</f>
        <v>14083</v>
      </c>
      <c r="G16" s="28" t="n">
        <f aca="false">IFERROR(IF(6&gt;=3,ROUND(130000/12*ASSUMPTIONS!$B$92,0),0),0)</f>
        <v>14083</v>
      </c>
      <c r="H16" s="28" t="n">
        <f aca="false">IFERROR(IF(7&gt;=3,ROUND(130000/12*ASSUMPTIONS!$B$92,0),0),0)</f>
        <v>14083</v>
      </c>
      <c r="I16" s="28" t="n">
        <f aca="false">IFERROR(IF(8&gt;=3,ROUND(130000/12*ASSUMPTIONS!$B$92,0),0),0)</f>
        <v>14083</v>
      </c>
      <c r="J16" s="28" t="n">
        <f aca="false">IFERROR(IF(9&gt;=3,ROUND(130000/12*ASSUMPTIONS!$B$92,0),0),0)</f>
        <v>14083</v>
      </c>
      <c r="K16" s="28" t="n">
        <f aca="false">IFERROR(IF(10&gt;=3,ROUND(130000/12*ASSUMPTIONS!$B$92,0),0),0)</f>
        <v>14083</v>
      </c>
      <c r="L16" s="28" t="n">
        <f aca="false">IFERROR(IF(11&gt;=3,ROUND(130000/12*ASSUMPTIONS!$B$92,0),0),0)</f>
        <v>14083</v>
      </c>
      <c r="M16" s="28" t="n">
        <f aca="false">IFERROR(IF(12&gt;=3,ROUND(130000/12*ASSUMPTIONS!$B$92,0),0),0)</f>
        <v>14083</v>
      </c>
      <c r="N16" s="28" t="n">
        <f aca="false">IFERROR(IF(13&gt;=3,ROUND(130000/12*ASSUMPTIONS!$B$92,0),0),0)</f>
        <v>14083</v>
      </c>
      <c r="O16" s="28" t="n">
        <f aca="false">IFERROR(IF(14&gt;=3,ROUND(130000/12*ASSUMPTIONS!$B$92,0),0),0)</f>
        <v>14083</v>
      </c>
      <c r="P16" s="28" t="n">
        <f aca="false">IFERROR(IF(15&gt;=3,ROUND(130000/12*ASSUMPTIONS!$B$92,0),0),0)</f>
        <v>14083</v>
      </c>
      <c r="Q16" s="28" t="n">
        <f aca="false">IFERROR(IF(16&gt;=3,ROUND(130000/12*ASSUMPTIONS!$B$92,0),0),0)</f>
        <v>14083</v>
      </c>
      <c r="R16" s="28" t="n">
        <f aca="false">IFERROR(IF(17&gt;=3,ROUND(130000/12*ASSUMPTIONS!$B$92,0),0),0)</f>
        <v>14083</v>
      </c>
      <c r="S16" s="28" t="n">
        <f aca="false">IFERROR(IF(18&gt;=3,ROUND(130000/12*ASSUMPTIONS!$B$92,0),0),0)</f>
        <v>14083</v>
      </c>
      <c r="T16" s="28" t="n">
        <f aca="false">IFERROR(IF(19&gt;=3,ROUND(130000/12*ASSUMPTIONS!$B$92,0),0),0)</f>
        <v>14083</v>
      </c>
      <c r="U16" s="28" t="n">
        <f aca="false">IFERROR(IF(20&gt;=3,ROUND(130000/12*ASSUMPTIONS!$B$92,0),0),0)</f>
        <v>14083</v>
      </c>
      <c r="V16" s="28" t="n">
        <f aca="false">IFERROR(IF(21&gt;=3,ROUND(130000/12*ASSUMPTIONS!$B$92,0),0),0)</f>
        <v>14083</v>
      </c>
      <c r="W16" s="28" t="n">
        <f aca="false">IFERROR(IF(22&gt;=3,ROUND(130000/12*ASSUMPTIONS!$B$92,0),0),0)</f>
        <v>14083</v>
      </c>
      <c r="X16" s="28" t="n">
        <f aca="false">IFERROR(IF(23&gt;=3,ROUND(130000/12*ASSUMPTIONS!$B$92,0),0),0)</f>
        <v>14083</v>
      </c>
      <c r="Y16" s="28" t="n">
        <f aca="false">IFERROR(IF(24&gt;=3,ROUND(130000/12*ASSUMPTIONS!$B$92,0),0),0)</f>
        <v>14083</v>
      </c>
      <c r="Z16" s="28" t="n">
        <f aca="false">IFERROR(IF(25&gt;=3,ROUND(130000/12*ASSUMPTIONS!$B$92,0),0),0)</f>
        <v>14083</v>
      </c>
      <c r="AA16" s="28" t="n">
        <f aca="false">IFERROR(IF(26&gt;=3,ROUND(130000/12*ASSUMPTIONS!$B$92,0),0),0)</f>
        <v>14083</v>
      </c>
      <c r="AB16" s="28" t="n">
        <f aca="false">IFERROR(IF(27&gt;=3,ROUND(130000/12*ASSUMPTIONS!$B$92,0),0),0)</f>
        <v>14083</v>
      </c>
      <c r="AC16" s="28" t="n">
        <f aca="false">IFERROR(IF(28&gt;=3,ROUND(130000/12*ASSUMPTIONS!$B$92,0),0),0)</f>
        <v>14083</v>
      </c>
      <c r="AD16" s="28" t="n">
        <f aca="false">IFERROR(IF(29&gt;=3,ROUND(130000/12*ASSUMPTIONS!$B$92,0),0),0)</f>
        <v>14083</v>
      </c>
      <c r="AE16" s="28" t="n">
        <f aca="false">IFERROR(IF(30&gt;=3,ROUND(130000/12*ASSUMPTIONS!$B$92,0),0),0)</f>
        <v>14083</v>
      </c>
      <c r="AF16" s="28" t="n">
        <f aca="false">IFERROR(IF(31&gt;=3,ROUND(130000/12*ASSUMPTIONS!$B$92,0),0),0)</f>
        <v>14083</v>
      </c>
      <c r="AG16" s="28" t="n">
        <f aca="false">IFERROR(IF(32&gt;=3,ROUND(130000/12*ASSUMPTIONS!$B$92,0),0),0)</f>
        <v>14083</v>
      </c>
      <c r="AH16" s="28" t="n">
        <f aca="false">IFERROR(IF(33&gt;=3,ROUND(130000/12*ASSUMPTIONS!$B$92,0),0),0)</f>
        <v>14083</v>
      </c>
      <c r="AI16" s="28" t="n">
        <f aca="false">IFERROR(IF(34&gt;=3,ROUND(130000/12*ASSUMPTIONS!$B$92,0),0),0)</f>
        <v>14083</v>
      </c>
      <c r="AJ16" s="28" t="n">
        <f aca="false">IFERROR(IF(35&gt;=3,ROUND(130000/12*ASSUMPTIONS!$B$92,0),0),0)</f>
        <v>14083</v>
      </c>
      <c r="AK16" s="28" t="n">
        <f aca="false">IFERROR(IF(36&gt;=3,ROUND(130000/12*ASSUMPTIONS!$B$92,0),0),0)</f>
        <v>14083</v>
      </c>
    </row>
    <row r="17" customFormat="false" ht="15" hidden="false" customHeight="true" outlineLevel="0" collapsed="false">
      <c r="A17" s="6" t="s">
        <v>102</v>
      </c>
      <c r="B17" s="28" t="n">
        <f aca="false">IFERROR(IF(1&gt;=6,ROUND(110000/12*ASSUMPTIONS!$B$92,0),0),0)</f>
        <v>0</v>
      </c>
      <c r="C17" s="28" t="n">
        <f aca="false">IFERROR(IF(2&gt;=6,ROUND(110000/12*ASSUMPTIONS!$B$92,0),0),0)</f>
        <v>0</v>
      </c>
      <c r="D17" s="28" t="n">
        <f aca="false">IFERROR(IF(3&gt;=6,ROUND(110000/12*ASSUMPTIONS!$B$92,0),0),0)</f>
        <v>0</v>
      </c>
      <c r="E17" s="28" t="n">
        <f aca="false">IFERROR(IF(4&gt;=6,ROUND(110000/12*ASSUMPTIONS!$B$92,0),0),0)</f>
        <v>0</v>
      </c>
      <c r="F17" s="28" t="n">
        <f aca="false">IFERROR(IF(5&gt;=6,ROUND(110000/12*ASSUMPTIONS!$B$92,0),0),0)</f>
        <v>0</v>
      </c>
      <c r="G17" s="28" t="n">
        <f aca="false">IFERROR(IF(6&gt;=6,ROUND(110000/12*ASSUMPTIONS!$B$92,0),0),0)</f>
        <v>11917</v>
      </c>
      <c r="H17" s="28" t="n">
        <f aca="false">IFERROR(IF(7&gt;=6,ROUND(110000/12*ASSUMPTIONS!$B$92,0),0),0)</f>
        <v>11917</v>
      </c>
      <c r="I17" s="28" t="n">
        <f aca="false">IFERROR(IF(8&gt;=6,ROUND(110000/12*ASSUMPTIONS!$B$92,0),0),0)</f>
        <v>11917</v>
      </c>
      <c r="J17" s="28" t="n">
        <f aca="false">IFERROR(IF(9&gt;=6,ROUND(110000/12*ASSUMPTIONS!$B$92,0),0),0)</f>
        <v>11917</v>
      </c>
      <c r="K17" s="28" t="n">
        <f aca="false">IFERROR(IF(10&gt;=6,ROUND(110000/12*ASSUMPTIONS!$B$92,0),0),0)</f>
        <v>11917</v>
      </c>
      <c r="L17" s="28" t="n">
        <f aca="false">IFERROR(IF(11&gt;=6,ROUND(110000/12*ASSUMPTIONS!$B$92,0),0),0)</f>
        <v>11917</v>
      </c>
      <c r="M17" s="28" t="n">
        <f aca="false">IFERROR(IF(12&gt;=6,ROUND(110000/12*ASSUMPTIONS!$B$92,0),0),0)</f>
        <v>11917</v>
      </c>
      <c r="N17" s="28" t="n">
        <f aca="false">IFERROR(IF(13&gt;=6,ROUND(110000/12*ASSUMPTIONS!$B$92,0),0),0)</f>
        <v>11917</v>
      </c>
      <c r="O17" s="28" t="n">
        <f aca="false">IFERROR(IF(14&gt;=6,ROUND(110000/12*ASSUMPTIONS!$B$92,0),0),0)</f>
        <v>11917</v>
      </c>
      <c r="P17" s="28" t="n">
        <f aca="false">IFERROR(IF(15&gt;=6,ROUND(110000/12*ASSUMPTIONS!$B$92,0),0),0)</f>
        <v>11917</v>
      </c>
      <c r="Q17" s="28" t="n">
        <f aca="false">IFERROR(IF(16&gt;=6,ROUND(110000/12*ASSUMPTIONS!$B$92,0),0),0)</f>
        <v>11917</v>
      </c>
      <c r="R17" s="28" t="n">
        <f aca="false">IFERROR(IF(17&gt;=6,ROUND(110000/12*ASSUMPTIONS!$B$92,0),0),0)</f>
        <v>11917</v>
      </c>
      <c r="S17" s="28" t="n">
        <f aca="false">IFERROR(IF(18&gt;=6,ROUND(110000/12*ASSUMPTIONS!$B$92,0),0),0)</f>
        <v>11917</v>
      </c>
      <c r="T17" s="28" t="n">
        <f aca="false">IFERROR(IF(19&gt;=6,ROUND(110000/12*ASSUMPTIONS!$B$92,0),0),0)</f>
        <v>11917</v>
      </c>
      <c r="U17" s="28" t="n">
        <f aca="false">IFERROR(IF(20&gt;=6,ROUND(110000/12*ASSUMPTIONS!$B$92,0),0),0)</f>
        <v>11917</v>
      </c>
      <c r="V17" s="28" t="n">
        <f aca="false">IFERROR(IF(21&gt;=6,ROUND(110000/12*ASSUMPTIONS!$B$92,0),0),0)</f>
        <v>11917</v>
      </c>
      <c r="W17" s="28" t="n">
        <f aca="false">IFERROR(IF(22&gt;=6,ROUND(110000/12*ASSUMPTIONS!$B$92,0),0),0)</f>
        <v>11917</v>
      </c>
      <c r="X17" s="28" t="n">
        <f aca="false">IFERROR(IF(23&gt;=6,ROUND(110000/12*ASSUMPTIONS!$B$92,0),0),0)</f>
        <v>11917</v>
      </c>
      <c r="Y17" s="28" t="n">
        <f aca="false">IFERROR(IF(24&gt;=6,ROUND(110000/12*ASSUMPTIONS!$B$92,0),0),0)</f>
        <v>11917</v>
      </c>
      <c r="Z17" s="28" t="n">
        <f aca="false">IFERROR(IF(25&gt;=6,ROUND(110000/12*ASSUMPTIONS!$B$92,0),0),0)</f>
        <v>11917</v>
      </c>
      <c r="AA17" s="28" t="n">
        <f aca="false">IFERROR(IF(26&gt;=6,ROUND(110000/12*ASSUMPTIONS!$B$92,0),0),0)</f>
        <v>11917</v>
      </c>
      <c r="AB17" s="28" t="n">
        <f aca="false">IFERROR(IF(27&gt;=6,ROUND(110000/12*ASSUMPTIONS!$B$92,0),0),0)</f>
        <v>11917</v>
      </c>
      <c r="AC17" s="28" t="n">
        <f aca="false">IFERROR(IF(28&gt;=6,ROUND(110000/12*ASSUMPTIONS!$B$92,0),0),0)</f>
        <v>11917</v>
      </c>
      <c r="AD17" s="28" t="n">
        <f aca="false">IFERROR(IF(29&gt;=6,ROUND(110000/12*ASSUMPTIONS!$B$92,0),0),0)</f>
        <v>11917</v>
      </c>
      <c r="AE17" s="28" t="n">
        <f aca="false">IFERROR(IF(30&gt;=6,ROUND(110000/12*ASSUMPTIONS!$B$92,0),0),0)</f>
        <v>11917</v>
      </c>
      <c r="AF17" s="28" t="n">
        <f aca="false">IFERROR(IF(31&gt;=6,ROUND(110000/12*ASSUMPTIONS!$B$92,0),0),0)</f>
        <v>11917</v>
      </c>
      <c r="AG17" s="28" t="n">
        <f aca="false">IFERROR(IF(32&gt;=6,ROUND(110000/12*ASSUMPTIONS!$B$92,0),0),0)</f>
        <v>11917</v>
      </c>
      <c r="AH17" s="28" t="n">
        <f aca="false">IFERROR(IF(33&gt;=6,ROUND(110000/12*ASSUMPTIONS!$B$92,0),0),0)</f>
        <v>11917</v>
      </c>
      <c r="AI17" s="28" t="n">
        <f aca="false">IFERROR(IF(34&gt;=6,ROUND(110000/12*ASSUMPTIONS!$B$92,0),0),0)</f>
        <v>11917</v>
      </c>
      <c r="AJ17" s="28" t="n">
        <f aca="false">IFERROR(IF(35&gt;=6,ROUND(110000/12*ASSUMPTIONS!$B$92,0),0),0)</f>
        <v>11917</v>
      </c>
      <c r="AK17" s="28" t="n">
        <f aca="false">IFERROR(IF(36&gt;=6,ROUND(110000/12*ASSUMPTIONS!$B$92,0),0),0)</f>
        <v>11917</v>
      </c>
    </row>
    <row r="18" customFormat="false" ht="15" hidden="false" customHeight="true" outlineLevel="0" collapsed="false">
      <c r="A18" s="6" t="s">
        <v>104</v>
      </c>
      <c r="B18" s="28" t="n">
        <f aca="false">IFERROR(IF(1&gt;=4,ROUND(95000/12*ASSUMPTIONS!$B$92,0),0),0)</f>
        <v>0</v>
      </c>
      <c r="C18" s="28" t="n">
        <f aca="false">IFERROR(IF(2&gt;=4,ROUND(95000/12*ASSUMPTIONS!$B$92,0),0),0)</f>
        <v>0</v>
      </c>
      <c r="D18" s="28" t="n">
        <f aca="false">IFERROR(IF(3&gt;=4,ROUND(95000/12*ASSUMPTIONS!$B$92,0),0),0)</f>
        <v>0</v>
      </c>
      <c r="E18" s="28" t="n">
        <f aca="false">IFERROR(IF(4&gt;=4,ROUND(95000/12*ASSUMPTIONS!$B$92,0),0),0)</f>
        <v>10292</v>
      </c>
      <c r="F18" s="28" t="n">
        <f aca="false">IFERROR(IF(5&gt;=4,ROUND(95000/12*ASSUMPTIONS!$B$92,0),0),0)</f>
        <v>10292</v>
      </c>
      <c r="G18" s="28" t="n">
        <f aca="false">IFERROR(IF(6&gt;=4,ROUND(95000/12*ASSUMPTIONS!$B$92,0),0),0)</f>
        <v>10292</v>
      </c>
      <c r="H18" s="28" t="n">
        <f aca="false">IFERROR(IF(7&gt;=4,ROUND(95000/12*ASSUMPTIONS!$B$92,0),0),0)</f>
        <v>10292</v>
      </c>
      <c r="I18" s="28" t="n">
        <f aca="false">IFERROR(IF(8&gt;=4,ROUND(95000/12*ASSUMPTIONS!$B$92,0),0),0)</f>
        <v>10292</v>
      </c>
      <c r="J18" s="28" t="n">
        <f aca="false">IFERROR(IF(9&gt;=4,ROUND(95000/12*ASSUMPTIONS!$B$92,0),0),0)</f>
        <v>10292</v>
      </c>
      <c r="K18" s="28" t="n">
        <f aca="false">IFERROR(IF(10&gt;=4,ROUND(95000/12*ASSUMPTIONS!$B$92,0),0),0)</f>
        <v>10292</v>
      </c>
      <c r="L18" s="28" t="n">
        <f aca="false">IFERROR(IF(11&gt;=4,ROUND(95000/12*ASSUMPTIONS!$B$92,0),0),0)</f>
        <v>10292</v>
      </c>
      <c r="M18" s="28" t="n">
        <f aca="false">IFERROR(IF(12&gt;=4,ROUND(95000/12*ASSUMPTIONS!$B$92,0),0),0)</f>
        <v>10292</v>
      </c>
      <c r="N18" s="28" t="n">
        <f aca="false">IFERROR(IF(13&gt;=4,ROUND(95000/12*ASSUMPTIONS!$B$92,0),0),0)</f>
        <v>10292</v>
      </c>
      <c r="O18" s="28" t="n">
        <f aca="false">IFERROR(IF(14&gt;=4,ROUND(95000/12*ASSUMPTIONS!$B$92,0),0),0)</f>
        <v>10292</v>
      </c>
      <c r="P18" s="28" t="n">
        <f aca="false">IFERROR(IF(15&gt;=4,ROUND(95000/12*ASSUMPTIONS!$B$92,0),0),0)</f>
        <v>10292</v>
      </c>
      <c r="Q18" s="28" t="n">
        <f aca="false">IFERROR(IF(16&gt;=4,ROUND(95000/12*ASSUMPTIONS!$B$92,0),0),0)</f>
        <v>10292</v>
      </c>
      <c r="R18" s="28" t="n">
        <f aca="false">IFERROR(IF(17&gt;=4,ROUND(95000/12*ASSUMPTIONS!$B$92,0),0),0)</f>
        <v>10292</v>
      </c>
      <c r="S18" s="28" t="n">
        <f aca="false">IFERROR(IF(18&gt;=4,ROUND(95000/12*ASSUMPTIONS!$B$92,0),0),0)</f>
        <v>10292</v>
      </c>
      <c r="T18" s="28" t="n">
        <f aca="false">IFERROR(IF(19&gt;=4,ROUND(95000/12*ASSUMPTIONS!$B$92,0),0),0)</f>
        <v>10292</v>
      </c>
      <c r="U18" s="28" t="n">
        <f aca="false">IFERROR(IF(20&gt;=4,ROUND(95000/12*ASSUMPTIONS!$B$92,0),0),0)</f>
        <v>10292</v>
      </c>
      <c r="V18" s="28" t="n">
        <f aca="false">IFERROR(IF(21&gt;=4,ROUND(95000/12*ASSUMPTIONS!$B$92,0),0),0)</f>
        <v>10292</v>
      </c>
      <c r="W18" s="28" t="n">
        <f aca="false">IFERROR(IF(22&gt;=4,ROUND(95000/12*ASSUMPTIONS!$B$92,0),0),0)</f>
        <v>10292</v>
      </c>
      <c r="X18" s="28" t="n">
        <f aca="false">IFERROR(IF(23&gt;=4,ROUND(95000/12*ASSUMPTIONS!$B$92,0),0),0)</f>
        <v>10292</v>
      </c>
      <c r="Y18" s="28" t="n">
        <f aca="false">IFERROR(IF(24&gt;=4,ROUND(95000/12*ASSUMPTIONS!$B$92,0),0),0)</f>
        <v>10292</v>
      </c>
      <c r="Z18" s="28" t="n">
        <f aca="false">IFERROR(IF(25&gt;=4,ROUND(95000/12*ASSUMPTIONS!$B$92,0),0),0)</f>
        <v>10292</v>
      </c>
      <c r="AA18" s="28" t="n">
        <f aca="false">IFERROR(IF(26&gt;=4,ROUND(95000/12*ASSUMPTIONS!$B$92,0),0),0)</f>
        <v>10292</v>
      </c>
      <c r="AB18" s="28" t="n">
        <f aca="false">IFERROR(IF(27&gt;=4,ROUND(95000/12*ASSUMPTIONS!$B$92,0),0),0)</f>
        <v>10292</v>
      </c>
      <c r="AC18" s="28" t="n">
        <f aca="false">IFERROR(IF(28&gt;=4,ROUND(95000/12*ASSUMPTIONS!$B$92,0),0),0)</f>
        <v>10292</v>
      </c>
      <c r="AD18" s="28" t="n">
        <f aca="false">IFERROR(IF(29&gt;=4,ROUND(95000/12*ASSUMPTIONS!$B$92,0),0),0)</f>
        <v>10292</v>
      </c>
      <c r="AE18" s="28" t="n">
        <f aca="false">IFERROR(IF(30&gt;=4,ROUND(95000/12*ASSUMPTIONS!$B$92,0),0),0)</f>
        <v>10292</v>
      </c>
      <c r="AF18" s="28" t="n">
        <f aca="false">IFERROR(IF(31&gt;=4,ROUND(95000/12*ASSUMPTIONS!$B$92,0),0),0)</f>
        <v>10292</v>
      </c>
      <c r="AG18" s="28" t="n">
        <f aca="false">IFERROR(IF(32&gt;=4,ROUND(95000/12*ASSUMPTIONS!$B$92,0),0),0)</f>
        <v>10292</v>
      </c>
      <c r="AH18" s="28" t="n">
        <f aca="false">IFERROR(IF(33&gt;=4,ROUND(95000/12*ASSUMPTIONS!$B$92,0),0),0)</f>
        <v>10292</v>
      </c>
      <c r="AI18" s="28" t="n">
        <f aca="false">IFERROR(IF(34&gt;=4,ROUND(95000/12*ASSUMPTIONS!$B$92,0),0),0)</f>
        <v>10292</v>
      </c>
      <c r="AJ18" s="28" t="n">
        <f aca="false">IFERROR(IF(35&gt;=4,ROUND(95000/12*ASSUMPTIONS!$B$92,0),0),0)</f>
        <v>10292</v>
      </c>
      <c r="AK18" s="28" t="n">
        <f aca="false">IFERROR(IF(36&gt;=4,ROUND(95000/12*ASSUMPTIONS!$B$92,0),0),0)</f>
        <v>10292</v>
      </c>
    </row>
    <row r="19" customFormat="false" ht="15" hidden="false" customHeight="true" outlineLevel="0" collapsed="false">
      <c r="A19" s="29" t="s">
        <v>185</v>
      </c>
      <c r="B19" s="19" t="n">
        <f aca="false">SUM(B16:B18)</f>
        <v>0</v>
      </c>
      <c r="C19" s="19" t="n">
        <f aca="false">SUM(C16:C18)</f>
        <v>0</v>
      </c>
      <c r="D19" s="19" t="n">
        <f aca="false">SUM(D16:D18)</f>
        <v>14083</v>
      </c>
      <c r="E19" s="19" t="n">
        <f aca="false">SUM(E16:E18)</f>
        <v>24375</v>
      </c>
      <c r="F19" s="19" t="n">
        <f aca="false">SUM(F16:F18)</f>
        <v>24375</v>
      </c>
      <c r="G19" s="19" t="n">
        <f aca="false">SUM(G16:G18)</f>
        <v>36292</v>
      </c>
      <c r="H19" s="19" t="n">
        <f aca="false">SUM(H16:H18)</f>
        <v>36292</v>
      </c>
      <c r="I19" s="19" t="n">
        <f aca="false">SUM(I16:I18)</f>
        <v>36292</v>
      </c>
      <c r="J19" s="19" t="n">
        <f aca="false">SUM(J16:J18)</f>
        <v>36292</v>
      </c>
      <c r="K19" s="19" t="n">
        <f aca="false">SUM(K16:K18)</f>
        <v>36292</v>
      </c>
      <c r="L19" s="19" t="n">
        <f aca="false">SUM(L16:L18)</f>
        <v>36292</v>
      </c>
      <c r="M19" s="19" t="n">
        <f aca="false">SUM(M16:M18)</f>
        <v>36292</v>
      </c>
      <c r="N19" s="19" t="n">
        <f aca="false">SUM(N16:N18)</f>
        <v>36292</v>
      </c>
      <c r="O19" s="19" t="n">
        <f aca="false">SUM(O16:O18)</f>
        <v>36292</v>
      </c>
      <c r="P19" s="19" t="n">
        <f aca="false">SUM(P16:P18)</f>
        <v>36292</v>
      </c>
      <c r="Q19" s="19" t="n">
        <f aca="false">SUM(Q16:Q18)</f>
        <v>36292</v>
      </c>
      <c r="R19" s="19" t="n">
        <f aca="false">SUM(R16:R18)</f>
        <v>36292</v>
      </c>
      <c r="S19" s="19" t="n">
        <f aca="false">SUM(S16:S18)</f>
        <v>36292</v>
      </c>
      <c r="T19" s="19" t="n">
        <f aca="false">SUM(T16:T18)</f>
        <v>36292</v>
      </c>
      <c r="U19" s="19" t="n">
        <f aca="false">SUM(U16:U18)</f>
        <v>36292</v>
      </c>
      <c r="V19" s="19" t="n">
        <f aca="false">SUM(V16:V18)</f>
        <v>36292</v>
      </c>
      <c r="W19" s="19" t="n">
        <f aca="false">SUM(W16:W18)</f>
        <v>36292</v>
      </c>
      <c r="X19" s="19" t="n">
        <f aca="false">SUM(X16:X18)</f>
        <v>36292</v>
      </c>
      <c r="Y19" s="19" t="n">
        <f aca="false">SUM(Y16:Y18)</f>
        <v>36292</v>
      </c>
      <c r="Z19" s="19" t="n">
        <f aca="false">SUM(Z16:Z18)</f>
        <v>36292</v>
      </c>
      <c r="AA19" s="19" t="n">
        <f aca="false">SUM(AA16:AA18)</f>
        <v>36292</v>
      </c>
      <c r="AB19" s="19" t="n">
        <f aca="false">SUM(AB16:AB18)</f>
        <v>36292</v>
      </c>
      <c r="AC19" s="19" t="n">
        <f aca="false">SUM(AC16:AC18)</f>
        <v>36292</v>
      </c>
      <c r="AD19" s="19" t="n">
        <f aca="false">SUM(AD16:AD18)</f>
        <v>36292</v>
      </c>
      <c r="AE19" s="19" t="n">
        <f aca="false">SUM(AE16:AE18)</f>
        <v>36292</v>
      </c>
      <c r="AF19" s="19" t="n">
        <f aca="false">SUM(AF16:AF18)</f>
        <v>36292</v>
      </c>
      <c r="AG19" s="19" t="n">
        <f aca="false">SUM(AG16:AG18)</f>
        <v>36292</v>
      </c>
      <c r="AH19" s="19" t="n">
        <f aca="false">SUM(AH16:AH18)</f>
        <v>36292</v>
      </c>
      <c r="AI19" s="19" t="n">
        <f aca="false">SUM(AI16:AI18)</f>
        <v>36292</v>
      </c>
      <c r="AJ19" s="19" t="n">
        <f aca="false">SUM(AJ16:AJ18)</f>
        <v>36292</v>
      </c>
      <c r="AK19" s="19" t="n">
        <f aca="false">SUM(AK16:AK18)</f>
        <v>36292</v>
      </c>
    </row>
    <row r="20" customFormat="false" ht="15" hidden="false" customHeight="true" outlineLevel="0" collapsed="false">
      <c r="A20" s="15" t="s">
        <v>106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customFormat="false" ht="15" hidden="false" customHeight="true" outlineLevel="0" collapsed="false">
      <c r="A21" s="6" t="s">
        <v>107</v>
      </c>
      <c r="B21" s="28" t="n">
        <f aca="false">IFERROR(IF(1&gt;=1,ROUND(100000/12*ASSUMPTIONS!$B$92,0),0),0)</f>
        <v>10833</v>
      </c>
      <c r="C21" s="28" t="n">
        <f aca="false">IFERROR(IF(2&gt;=1,ROUND(100000/12*ASSUMPTIONS!$B$92,0),0),0)</f>
        <v>10833</v>
      </c>
      <c r="D21" s="28" t="n">
        <f aca="false">IFERROR(IF(3&gt;=1,ROUND(100000/12*ASSUMPTIONS!$B$92,0),0),0)</f>
        <v>10833</v>
      </c>
      <c r="E21" s="28" t="n">
        <f aca="false">IFERROR(IF(4&gt;=1,ROUND(100000/12*ASSUMPTIONS!$B$92,0),0),0)</f>
        <v>10833</v>
      </c>
      <c r="F21" s="28" t="n">
        <f aca="false">IFERROR(IF(5&gt;=1,ROUND(100000/12*ASSUMPTIONS!$B$92,0),0),0)</f>
        <v>10833</v>
      </c>
      <c r="G21" s="28" t="n">
        <f aca="false">IFERROR(IF(6&gt;=1,ROUND(100000/12*ASSUMPTIONS!$B$92,0),0),0)</f>
        <v>10833</v>
      </c>
      <c r="H21" s="28" t="n">
        <f aca="false">IFERROR(IF(7&gt;=1,ROUND(100000/12*ASSUMPTIONS!$B$92,0),0),0)</f>
        <v>10833</v>
      </c>
      <c r="I21" s="28" t="n">
        <f aca="false">IFERROR(IF(8&gt;=1,ROUND(100000/12*ASSUMPTIONS!$B$92,0),0),0)</f>
        <v>10833</v>
      </c>
      <c r="J21" s="28" t="n">
        <f aca="false">IFERROR(IF(9&gt;=1,ROUND(100000/12*ASSUMPTIONS!$B$92,0),0),0)</f>
        <v>10833</v>
      </c>
      <c r="K21" s="28" t="n">
        <f aca="false">IFERROR(IF(10&gt;=1,ROUND(100000/12*ASSUMPTIONS!$B$92,0),0),0)</f>
        <v>10833</v>
      </c>
      <c r="L21" s="28" t="n">
        <f aca="false">IFERROR(IF(11&gt;=1,ROUND(100000/12*ASSUMPTIONS!$B$92,0),0),0)</f>
        <v>10833</v>
      </c>
      <c r="M21" s="28" t="n">
        <f aca="false">IFERROR(IF(12&gt;=1,ROUND(100000/12*ASSUMPTIONS!$B$92,0),0),0)</f>
        <v>10833</v>
      </c>
      <c r="N21" s="28" t="n">
        <f aca="false">IFERROR(IF(13&gt;=1,ROUND(100000/12*ASSUMPTIONS!$B$92,0),0),0)</f>
        <v>10833</v>
      </c>
      <c r="O21" s="28" t="n">
        <f aca="false">IFERROR(IF(14&gt;=1,ROUND(100000/12*ASSUMPTIONS!$B$92,0),0),0)</f>
        <v>10833</v>
      </c>
      <c r="P21" s="28" t="n">
        <f aca="false">IFERROR(IF(15&gt;=1,ROUND(100000/12*ASSUMPTIONS!$B$92,0),0),0)</f>
        <v>10833</v>
      </c>
      <c r="Q21" s="28" t="n">
        <f aca="false">IFERROR(IF(16&gt;=1,ROUND(100000/12*ASSUMPTIONS!$B$92,0),0),0)</f>
        <v>10833</v>
      </c>
      <c r="R21" s="28" t="n">
        <f aca="false">IFERROR(IF(17&gt;=1,ROUND(100000/12*ASSUMPTIONS!$B$92,0),0),0)</f>
        <v>10833</v>
      </c>
      <c r="S21" s="28" t="n">
        <f aca="false">IFERROR(IF(18&gt;=1,ROUND(100000/12*ASSUMPTIONS!$B$92,0),0),0)</f>
        <v>10833</v>
      </c>
      <c r="T21" s="28" t="n">
        <f aca="false">IFERROR(IF(19&gt;=1,ROUND(100000/12*ASSUMPTIONS!$B$92,0),0),0)</f>
        <v>10833</v>
      </c>
      <c r="U21" s="28" t="n">
        <f aca="false">IFERROR(IF(20&gt;=1,ROUND(100000/12*ASSUMPTIONS!$B$92,0),0),0)</f>
        <v>10833</v>
      </c>
      <c r="V21" s="28" t="n">
        <f aca="false">IFERROR(IF(21&gt;=1,ROUND(100000/12*ASSUMPTIONS!$B$92,0),0),0)</f>
        <v>10833</v>
      </c>
      <c r="W21" s="28" t="n">
        <f aca="false">IFERROR(IF(22&gt;=1,ROUND(100000/12*ASSUMPTIONS!$B$92,0),0),0)</f>
        <v>10833</v>
      </c>
      <c r="X21" s="28" t="n">
        <f aca="false">IFERROR(IF(23&gt;=1,ROUND(100000/12*ASSUMPTIONS!$B$92,0),0),0)</f>
        <v>10833</v>
      </c>
      <c r="Y21" s="28" t="n">
        <f aca="false">IFERROR(IF(24&gt;=1,ROUND(100000/12*ASSUMPTIONS!$B$92,0),0),0)</f>
        <v>10833</v>
      </c>
      <c r="Z21" s="28" t="n">
        <f aca="false">IFERROR(IF(25&gt;=1,ROUND(100000/12*ASSUMPTIONS!$B$92,0),0),0)</f>
        <v>10833</v>
      </c>
      <c r="AA21" s="28" t="n">
        <f aca="false">IFERROR(IF(26&gt;=1,ROUND(100000/12*ASSUMPTIONS!$B$92,0),0),0)</f>
        <v>10833</v>
      </c>
      <c r="AB21" s="28" t="n">
        <f aca="false">IFERROR(IF(27&gt;=1,ROUND(100000/12*ASSUMPTIONS!$B$92,0),0),0)</f>
        <v>10833</v>
      </c>
      <c r="AC21" s="28" t="n">
        <f aca="false">IFERROR(IF(28&gt;=1,ROUND(100000/12*ASSUMPTIONS!$B$92,0),0),0)</f>
        <v>10833</v>
      </c>
      <c r="AD21" s="28" t="n">
        <f aca="false">IFERROR(IF(29&gt;=1,ROUND(100000/12*ASSUMPTIONS!$B$92,0),0),0)</f>
        <v>10833</v>
      </c>
      <c r="AE21" s="28" t="n">
        <f aca="false">IFERROR(IF(30&gt;=1,ROUND(100000/12*ASSUMPTIONS!$B$92,0),0),0)</f>
        <v>10833</v>
      </c>
      <c r="AF21" s="28" t="n">
        <f aca="false">IFERROR(IF(31&gt;=1,ROUND(100000/12*ASSUMPTIONS!$B$92,0),0),0)</f>
        <v>10833</v>
      </c>
      <c r="AG21" s="28" t="n">
        <f aca="false">IFERROR(IF(32&gt;=1,ROUND(100000/12*ASSUMPTIONS!$B$92,0),0),0)</f>
        <v>10833</v>
      </c>
      <c r="AH21" s="28" t="n">
        <f aca="false">IFERROR(IF(33&gt;=1,ROUND(100000/12*ASSUMPTIONS!$B$92,0),0),0)</f>
        <v>10833</v>
      </c>
      <c r="AI21" s="28" t="n">
        <f aca="false">IFERROR(IF(34&gt;=1,ROUND(100000/12*ASSUMPTIONS!$B$92,0),0),0)</f>
        <v>10833</v>
      </c>
      <c r="AJ21" s="28" t="n">
        <f aca="false">IFERROR(IF(35&gt;=1,ROUND(100000/12*ASSUMPTIONS!$B$92,0),0),0)</f>
        <v>10833</v>
      </c>
      <c r="AK21" s="28" t="n">
        <f aca="false">IFERROR(IF(36&gt;=1,ROUND(100000/12*ASSUMPTIONS!$B$92,0),0),0)</f>
        <v>10833</v>
      </c>
    </row>
    <row r="22" customFormat="false" ht="15" hidden="false" customHeight="true" outlineLevel="0" collapsed="false">
      <c r="A22" s="6" t="s">
        <v>109</v>
      </c>
      <c r="B22" s="28" t="n">
        <f aca="false">IFERROR(IF(1&gt;=4,ROUND(85000/12*ASSUMPTIONS!$B$92,0),0),0)</f>
        <v>0</v>
      </c>
      <c r="C22" s="28" t="n">
        <f aca="false">IFERROR(IF(2&gt;=4,ROUND(85000/12*ASSUMPTIONS!$B$92,0),0),0)</f>
        <v>0</v>
      </c>
      <c r="D22" s="28" t="n">
        <f aca="false">IFERROR(IF(3&gt;=4,ROUND(85000/12*ASSUMPTIONS!$B$92,0),0),0)</f>
        <v>0</v>
      </c>
      <c r="E22" s="28" t="n">
        <f aca="false">IFERROR(IF(4&gt;=4,ROUND(85000/12*ASSUMPTIONS!$B$92,0),0),0)</f>
        <v>9208</v>
      </c>
      <c r="F22" s="28" t="n">
        <f aca="false">IFERROR(IF(5&gt;=4,ROUND(85000/12*ASSUMPTIONS!$B$92,0),0),0)</f>
        <v>9208</v>
      </c>
      <c r="G22" s="28" t="n">
        <f aca="false">IFERROR(IF(6&gt;=4,ROUND(85000/12*ASSUMPTIONS!$B$92,0),0),0)</f>
        <v>9208</v>
      </c>
      <c r="H22" s="28" t="n">
        <f aca="false">IFERROR(IF(7&gt;=4,ROUND(85000/12*ASSUMPTIONS!$B$92,0),0),0)</f>
        <v>9208</v>
      </c>
      <c r="I22" s="28" t="n">
        <f aca="false">IFERROR(IF(8&gt;=4,ROUND(85000/12*ASSUMPTIONS!$B$92,0),0),0)</f>
        <v>9208</v>
      </c>
      <c r="J22" s="28" t="n">
        <f aca="false">IFERROR(IF(9&gt;=4,ROUND(85000/12*ASSUMPTIONS!$B$92,0),0),0)</f>
        <v>9208</v>
      </c>
      <c r="K22" s="28" t="n">
        <f aca="false">IFERROR(IF(10&gt;=4,ROUND(85000/12*ASSUMPTIONS!$B$92,0),0),0)</f>
        <v>9208</v>
      </c>
      <c r="L22" s="28" t="n">
        <f aca="false">IFERROR(IF(11&gt;=4,ROUND(85000/12*ASSUMPTIONS!$B$92,0),0),0)</f>
        <v>9208</v>
      </c>
      <c r="M22" s="28" t="n">
        <f aca="false">IFERROR(IF(12&gt;=4,ROUND(85000/12*ASSUMPTIONS!$B$92,0),0),0)</f>
        <v>9208</v>
      </c>
      <c r="N22" s="28" t="n">
        <f aca="false">IFERROR(IF(13&gt;=4,ROUND(85000/12*ASSUMPTIONS!$B$92,0),0),0)</f>
        <v>9208</v>
      </c>
      <c r="O22" s="28" t="n">
        <f aca="false">IFERROR(IF(14&gt;=4,ROUND(85000/12*ASSUMPTIONS!$B$92,0),0),0)</f>
        <v>9208</v>
      </c>
      <c r="P22" s="28" t="n">
        <f aca="false">IFERROR(IF(15&gt;=4,ROUND(85000/12*ASSUMPTIONS!$B$92,0),0),0)</f>
        <v>9208</v>
      </c>
      <c r="Q22" s="28" t="n">
        <f aca="false">IFERROR(IF(16&gt;=4,ROUND(85000/12*ASSUMPTIONS!$B$92,0),0),0)</f>
        <v>9208</v>
      </c>
      <c r="R22" s="28" t="n">
        <f aca="false">IFERROR(IF(17&gt;=4,ROUND(85000/12*ASSUMPTIONS!$B$92,0),0),0)</f>
        <v>9208</v>
      </c>
      <c r="S22" s="28" t="n">
        <f aca="false">IFERROR(IF(18&gt;=4,ROUND(85000/12*ASSUMPTIONS!$B$92,0),0),0)</f>
        <v>9208</v>
      </c>
      <c r="T22" s="28" t="n">
        <f aca="false">IFERROR(IF(19&gt;=4,ROUND(85000/12*ASSUMPTIONS!$B$92,0),0),0)</f>
        <v>9208</v>
      </c>
      <c r="U22" s="28" t="n">
        <f aca="false">IFERROR(IF(20&gt;=4,ROUND(85000/12*ASSUMPTIONS!$B$92,0),0),0)</f>
        <v>9208</v>
      </c>
      <c r="V22" s="28" t="n">
        <f aca="false">IFERROR(IF(21&gt;=4,ROUND(85000/12*ASSUMPTIONS!$B$92,0),0),0)</f>
        <v>9208</v>
      </c>
      <c r="W22" s="28" t="n">
        <f aca="false">IFERROR(IF(22&gt;=4,ROUND(85000/12*ASSUMPTIONS!$B$92,0),0),0)</f>
        <v>9208</v>
      </c>
      <c r="X22" s="28" t="n">
        <f aca="false">IFERROR(IF(23&gt;=4,ROUND(85000/12*ASSUMPTIONS!$B$92,0),0),0)</f>
        <v>9208</v>
      </c>
      <c r="Y22" s="28" t="n">
        <f aca="false">IFERROR(IF(24&gt;=4,ROUND(85000/12*ASSUMPTIONS!$B$92,0),0),0)</f>
        <v>9208</v>
      </c>
      <c r="Z22" s="28" t="n">
        <f aca="false">IFERROR(IF(25&gt;=4,ROUND(85000/12*ASSUMPTIONS!$B$92,0),0),0)</f>
        <v>9208</v>
      </c>
      <c r="AA22" s="28" t="n">
        <f aca="false">IFERROR(IF(26&gt;=4,ROUND(85000/12*ASSUMPTIONS!$B$92,0),0),0)</f>
        <v>9208</v>
      </c>
      <c r="AB22" s="28" t="n">
        <f aca="false">IFERROR(IF(27&gt;=4,ROUND(85000/12*ASSUMPTIONS!$B$92,0),0),0)</f>
        <v>9208</v>
      </c>
      <c r="AC22" s="28" t="n">
        <f aca="false">IFERROR(IF(28&gt;=4,ROUND(85000/12*ASSUMPTIONS!$B$92,0),0),0)</f>
        <v>9208</v>
      </c>
      <c r="AD22" s="28" t="n">
        <f aca="false">IFERROR(IF(29&gt;=4,ROUND(85000/12*ASSUMPTIONS!$B$92,0),0),0)</f>
        <v>9208</v>
      </c>
      <c r="AE22" s="28" t="n">
        <f aca="false">IFERROR(IF(30&gt;=4,ROUND(85000/12*ASSUMPTIONS!$B$92,0),0),0)</f>
        <v>9208</v>
      </c>
      <c r="AF22" s="28" t="n">
        <f aca="false">IFERROR(IF(31&gt;=4,ROUND(85000/12*ASSUMPTIONS!$B$92,0),0),0)</f>
        <v>9208</v>
      </c>
      <c r="AG22" s="28" t="n">
        <f aca="false">IFERROR(IF(32&gt;=4,ROUND(85000/12*ASSUMPTIONS!$B$92,0),0),0)</f>
        <v>9208</v>
      </c>
      <c r="AH22" s="28" t="n">
        <f aca="false">IFERROR(IF(33&gt;=4,ROUND(85000/12*ASSUMPTIONS!$B$92,0),0),0)</f>
        <v>9208</v>
      </c>
      <c r="AI22" s="28" t="n">
        <f aca="false">IFERROR(IF(34&gt;=4,ROUND(85000/12*ASSUMPTIONS!$B$92,0),0),0)</f>
        <v>9208</v>
      </c>
      <c r="AJ22" s="28" t="n">
        <f aca="false">IFERROR(IF(35&gt;=4,ROUND(85000/12*ASSUMPTIONS!$B$92,0),0),0)</f>
        <v>9208</v>
      </c>
      <c r="AK22" s="28" t="n">
        <f aca="false">IFERROR(IF(36&gt;=4,ROUND(85000/12*ASSUMPTIONS!$B$92,0),0),0)</f>
        <v>9208</v>
      </c>
    </row>
    <row r="23" customFormat="false" ht="15" hidden="false" customHeight="true" outlineLevel="0" collapsed="false">
      <c r="A23" s="6" t="s">
        <v>111</v>
      </c>
      <c r="B23" s="28" t="n">
        <f aca="false">IFERROR(IF(1&gt;=8,ROUND(85000/12*ASSUMPTIONS!$B$92,0),0),0)</f>
        <v>0</v>
      </c>
      <c r="C23" s="28" t="n">
        <f aca="false">IFERROR(IF(2&gt;=8,ROUND(85000/12*ASSUMPTIONS!$B$92,0),0),0)</f>
        <v>0</v>
      </c>
      <c r="D23" s="28" t="n">
        <f aca="false">IFERROR(IF(3&gt;=8,ROUND(85000/12*ASSUMPTIONS!$B$92,0),0),0)</f>
        <v>0</v>
      </c>
      <c r="E23" s="28" t="n">
        <f aca="false">IFERROR(IF(4&gt;=8,ROUND(85000/12*ASSUMPTIONS!$B$92,0),0),0)</f>
        <v>0</v>
      </c>
      <c r="F23" s="28" t="n">
        <f aca="false">IFERROR(IF(5&gt;=8,ROUND(85000/12*ASSUMPTIONS!$B$92,0),0),0)</f>
        <v>0</v>
      </c>
      <c r="G23" s="28" t="n">
        <f aca="false">IFERROR(IF(6&gt;=8,ROUND(85000/12*ASSUMPTIONS!$B$92,0),0),0)</f>
        <v>0</v>
      </c>
      <c r="H23" s="28" t="n">
        <f aca="false">IFERROR(IF(7&gt;=8,ROUND(85000/12*ASSUMPTIONS!$B$92,0),0),0)</f>
        <v>0</v>
      </c>
      <c r="I23" s="28" t="n">
        <f aca="false">IFERROR(IF(8&gt;=8,ROUND(85000/12*ASSUMPTIONS!$B$92,0),0),0)</f>
        <v>9208</v>
      </c>
      <c r="J23" s="28" t="n">
        <f aca="false">IFERROR(IF(9&gt;=8,ROUND(85000/12*ASSUMPTIONS!$B$92,0),0),0)</f>
        <v>9208</v>
      </c>
      <c r="K23" s="28" t="n">
        <f aca="false">IFERROR(IF(10&gt;=8,ROUND(85000/12*ASSUMPTIONS!$B$92,0),0),0)</f>
        <v>9208</v>
      </c>
      <c r="L23" s="28" t="n">
        <f aca="false">IFERROR(IF(11&gt;=8,ROUND(85000/12*ASSUMPTIONS!$B$92,0),0),0)</f>
        <v>9208</v>
      </c>
      <c r="M23" s="28" t="n">
        <f aca="false">IFERROR(IF(12&gt;=8,ROUND(85000/12*ASSUMPTIONS!$B$92,0),0),0)</f>
        <v>9208</v>
      </c>
      <c r="N23" s="28" t="n">
        <f aca="false">IFERROR(IF(13&gt;=8,ROUND(85000/12*ASSUMPTIONS!$B$92,0),0),0)</f>
        <v>9208</v>
      </c>
      <c r="O23" s="28" t="n">
        <f aca="false">IFERROR(IF(14&gt;=8,ROUND(85000/12*ASSUMPTIONS!$B$92,0),0),0)</f>
        <v>9208</v>
      </c>
      <c r="P23" s="28" t="n">
        <f aca="false">IFERROR(IF(15&gt;=8,ROUND(85000/12*ASSUMPTIONS!$B$92,0),0),0)</f>
        <v>9208</v>
      </c>
      <c r="Q23" s="28" t="n">
        <f aca="false">IFERROR(IF(16&gt;=8,ROUND(85000/12*ASSUMPTIONS!$B$92,0),0),0)</f>
        <v>9208</v>
      </c>
      <c r="R23" s="28" t="n">
        <f aca="false">IFERROR(IF(17&gt;=8,ROUND(85000/12*ASSUMPTIONS!$B$92,0),0),0)</f>
        <v>9208</v>
      </c>
      <c r="S23" s="28" t="n">
        <f aca="false">IFERROR(IF(18&gt;=8,ROUND(85000/12*ASSUMPTIONS!$B$92,0),0),0)</f>
        <v>9208</v>
      </c>
      <c r="T23" s="28" t="n">
        <f aca="false">IFERROR(IF(19&gt;=8,ROUND(85000/12*ASSUMPTIONS!$B$92,0),0),0)</f>
        <v>9208</v>
      </c>
      <c r="U23" s="28" t="n">
        <f aca="false">IFERROR(IF(20&gt;=8,ROUND(85000/12*ASSUMPTIONS!$B$92,0),0),0)</f>
        <v>9208</v>
      </c>
      <c r="V23" s="28" t="n">
        <f aca="false">IFERROR(IF(21&gt;=8,ROUND(85000/12*ASSUMPTIONS!$B$92,0),0),0)</f>
        <v>9208</v>
      </c>
      <c r="W23" s="28" t="n">
        <f aca="false">IFERROR(IF(22&gt;=8,ROUND(85000/12*ASSUMPTIONS!$B$92,0),0),0)</f>
        <v>9208</v>
      </c>
      <c r="X23" s="28" t="n">
        <f aca="false">IFERROR(IF(23&gt;=8,ROUND(85000/12*ASSUMPTIONS!$B$92,0),0),0)</f>
        <v>9208</v>
      </c>
      <c r="Y23" s="28" t="n">
        <f aca="false">IFERROR(IF(24&gt;=8,ROUND(85000/12*ASSUMPTIONS!$B$92,0),0),0)</f>
        <v>9208</v>
      </c>
      <c r="Z23" s="28" t="n">
        <f aca="false">IFERROR(IF(25&gt;=8,ROUND(85000/12*ASSUMPTIONS!$B$92,0),0),0)</f>
        <v>9208</v>
      </c>
      <c r="AA23" s="28" t="n">
        <f aca="false">IFERROR(IF(26&gt;=8,ROUND(85000/12*ASSUMPTIONS!$B$92,0),0),0)</f>
        <v>9208</v>
      </c>
      <c r="AB23" s="28" t="n">
        <f aca="false">IFERROR(IF(27&gt;=8,ROUND(85000/12*ASSUMPTIONS!$B$92,0),0),0)</f>
        <v>9208</v>
      </c>
      <c r="AC23" s="28" t="n">
        <f aca="false">IFERROR(IF(28&gt;=8,ROUND(85000/12*ASSUMPTIONS!$B$92,0),0),0)</f>
        <v>9208</v>
      </c>
      <c r="AD23" s="28" t="n">
        <f aca="false">IFERROR(IF(29&gt;=8,ROUND(85000/12*ASSUMPTIONS!$B$92,0),0),0)</f>
        <v>9208</v>
      </c>
      <c r="AE23" s="28" t="n">
        <f aca="false">IFERROR(IF(30&gt;=8,ROUND(85000/12*ASSUMPTIONS!$B$92,0),0),0)</f>
        <v>9208</v>
      </c>
      <c r="AF23" s="28" t="n">
        <f aca="false">IFERROR(IF(31&gt;=8,ROUND(85000/12*ASSUMPTIONS!$B$92,0),0),0)</f>
        <v>9208</v>
      </c>
      <c r="AG23" s="28" t="n">
        <f aca="false">IFERROR(IF(32&gt;=8,ROUND(85000/12*ASSUMPTIONS!$B$92,0),0),0)</f>
        <v>9208</v>
      </c>
      <c r="AH23" s="28" t="n">
        <f aca="false">IFERROR(IF(33&gt;=8,ROUND(85000/12*ASSUMPTIONS!$B$92,0),0),0)</f>
        <v>9208</v>
      </c>
      <c r="AI23" s="28" t="n">
        <f aca="false">IFERROR(IF(34&gt;=8,ROUND(85000/12*ASSUMPTIONS!$B$92,0),0),0)</f>
        <v>9208</v>
      </c>
      <c r="AJ23" s="28" t="n">
        <f aca="false">IFERROR(IF(35&gt;=8,ROUND(85000/12*ASSUMPTIONS!$B$92,0),0),0)</f>
        <v>9208</v>
      </c>
      <c r="AK23" s="28" t="n">
        <f aca="false">IFERROR(IF(36&gt;=8,ROUND(85000/12*ASSUMPTIONS!$B$92,0),0),0)</f>
        <v>9208</v>
      </c>
    </row>
    <row r="24" customFormat="false" ht="15" hidden="false" customHeight="true" outlineLevel="0" collapsed="false">
      <c r="A24" s="6" t="s">
        <v>113</v>
      </c>
      <c r="B24" s="28" t="n">
        <f aca="false">IFERROR(IF(1&gt;=6,ROUND(55000/12*ASSUMPTIONS!$B$92,0),0),0)</f>
        <v>0</v>
      </c>
      <c r="C24" s="28" t="n">
        <f aca="false">IFERROR(IF(2&gt;=6,ROUND(55000/12*ASSUMPTIONS!$B$92,0),0),0)</f>
        <v>0</v>
      </c>
      <c r="D24" s="28" t="n">
        <f aca="false">IFERROR(IF(3&gt;=6,ROUND(55000/12*ASSUMPTIONS!$B$92,0),0),0)</f>
        <v>0</v>
      </c>
      <c r="E24" s="28" t="n">
        <f aca="false">IFERROR(IF(4&gt;=6,ROUND(55000/12*ASSUMPTIONS!$B$92,0),0),0)</f>
        <v>0</v>
      </c>
      <c r="F24" s="28" t="n">
        <f aca="false">IFERROR(IF(5&gt;=6,ROUND(55000/12*ASSUMPTIONS!$B$92,0),0),0)</f>
        <v>0</v>
      </c>
      <c r="G24" s="28" t="n">
        <f aca="false">IFERROR(IF(6&gt;=6,ROUND(55000/12*ASSUMPTIONS!$B$92,0),0),0)</f>
        <v>5958</v>
      </c>
      <c r="H24" s="28" t="n">
        <f aca="false">IFERROR(IF(7&gt;=6,ROUND(55000/12*ASSUMPTIONS!$B$92,0),0),0)</f>
        <v>5958</v>
      </c>
      <c r="I24" s="28" t="n">
        <f aca="false">IFERROR(IF(8&gt;=6,ROUND(55000/12*ASSUMPTIONS!$B$92,0),0),0)</f>
        <v>5958</v>
      </c>
      <c r="J24" s="28" t="n">
        <f aca="false">IFERROR(IF(9&gt;=6,ROUND(55000/12*ASSUMPTIONS!$B$92,0),0),0)</f>
        <v>5958</v>
      </c>
      <c r="K24" s="28" t="n">
        <f aca="false">IFERROR(IF(10&gt;=6,ROUND(55000/12*ASSUMPTIONS!$B$92,0),0),0)</f>
        <v>5958</v>
      </c>
      <c r="L24" s="28" t="n">
        <f aca="false">IFERROR(IF(11&gt;=6,ROUND(55000/12*ASSUMPTIONS!$B$92,0),0),0)</f>
        <v>5958</v>
      </c>
      <c r="M24" s="28" t="n">
        <f aca="false">IFERROR(IF(12&gt;=6,ROUND(55000/12*ASSUMPTIONS!$B$92,0),0),0)</f>
        <v>5958</v>
      </c>
      <c r="N24" s="28" t="n">
        <f aca="false">IFERROR(IF(13&gt;=6,ROUND(55000/12*ASSUMPTIONS!$B$92,0),0),0)</f>
        <v>5958</v>
      </c>
      <c r="O24" s="28" t="n">
        <f aca="false">IFERROR(IF(14&gt;=6,ROUND(55000/12*ASSUMPTIONS!$B$92,0),0),0)</f>
        <v>5958</v>
      </c>
      <c r="P24" s="28" t="n">
        <f aca="false">IFERROR(IF(15&gt;=6,ROUND(55000/12*ASSUMPTIONS!$B$92,0),0),0)</f>
        <v>5958</v>
      </c>
      <c r="Q24" s="28" t="n">
        <f aca="false">IFERROR(IF(16&gt;=6,ROUND(55000/12*ASSUMPTIONS!$B$92,0),0),0)</f>
        <v>5958</v>
      </c>
      <c r="R24" s="28" t="n">
        <f aca="false">IFERROR(IF(17&gt;=6,ROUND(55000/12*ASSUMPTIONS!$B$92,0),0),0)</f>
        <v>5958</v>
      </c>
      <c r="S24" s="28" t="n">
        <f aca="false">IFERROR(IF(18&gt;=6,ROUND(55000/12*ASSUMPTIONS!$B$92,0),0),0)</f>
        <v>5958</v>
      </c>
      <c r="T24" s="28" t="n">
        <f aca="false">IFERROR(IF(19&gt;=6,ROUND(55000/12*ASSUMPTIONS!$B$92,0),0),0)</f>
        <v>5958</v>
      </c>
      <c r="U24" s="28" t="n">
        <f aca="false">IFERROR(IF(20&gt;=6,ROUND(55000/12*ASSUMPTIONS!$B$92,0),0),0)</f>
        <v>5958</v>
      </c>
      <c r="V24" s="28" t="n">
        <f aca="false">IFERROR(IF(21&gt;=6,ROUND(55000/12*ASSUMPTIONS!$B$92,0),0),0)</f>
        <v>5958</v>
      </c>
      <c r="W24" s="28" t="n">
        <f aca="false">IFERROR(IF(22&gt;=6,ROUND(55000/12*ASSUMPTIONS!$B$92,0),0),0)</f>
        <v>5958</v>
      </c>
      <c r="X24" s="28" t="n">
        <f aca="false">IFERROR(IF(23&gt;=6,ROUND(55000/12*ASSUMPTIONS!$B$92,0),0),0)</f>
        <v>5958</v>
      </c>
      <c r="Y24" s="28" t="n">
        <f aca="false">IFERROR(IF(24&gt;=6,ROUND(55000/12*ASSUMPTIONS!$B$92,0),0),0)</f>
        <v>5958</v>
      </c>
      <c r="Z24" s="28" t="n">
        <f aca="false">IFERROR(IF(25&gt;=6,ROUND(55000/12*ASSUMPTIONS!$B$92,0),0),0)</f>
        <v>5958</v>
      </c>
      <c r="AA24" s="28" t="n">
        <f aca="false">IFERROR(IF(26&gt;=6,ROUND(55000/12*ASSUMPTIONS!$B$92,0),0),0)</f>
        <v>5958</v>
      </c>
      <c r="AB24" s="28" t="n">
        <f aca="false">IFERROR(IF(27&gt;=6,ROUND(55000/12*ASSUMPTIONS!$B$92,0),0),0)</f>
        <v>5958</v>
      </c>
      <c r="AC24" s="28" t="n">
        <f aca="false">IFERROR(IF(28&gt;=6,ROUND(55000/12*ASSUMPTIONS!$B$92,0),0),0)</f>
        <v>5958</v>
      </c>
      <c r="AD24" s="28" t="n">
        <f aca="false">IFERROR(IF(29&gt;=6,ROUND(55000/12*ASSUMPTIONS!$B$92,0),0),0)</f>
        <v>5958</v>
      </c>
      <c r="AE24" s="28" t="n">
        <f aca="false">IFERROR(IF(30&gt;=6,ROUND(55000/12*ASSUMPTIONS!$B$92,0),0),0)</f>
        <v>5958</v>
      </c>
      <c r="AF24" s="28" t="n">
        <f aca="false">IFERROR(IF(31&gt;=6,ROUND(55000/12*ASSUMPTIONS!$B$92,0),0),0)</f>
        <v>5958</v>
      </c>
      <c r="AG24" s="28" t="n">
        <f aca="false">IFERROR(IF(32&gt;=6,ROUND(55000/12*ASSUMPTIONS!$B$92,0),0),0)</f>
        <v>5958</v>
      </c>
      <c r="AH24" s="28" t="n">
        <f aca="false">IFERROR(IF(33&gt;=6,ROUND(55000/12*ASSUMPTIONS!$B$92,0),0),0)</f>
        <v>5958</v>
      </c>
      <c r="AI24" s="28" t="n">
        <f aca="false">IFERROR(IF(34&gt;=6,ROUND(55000/12*ASSUMPTIONS!$B$92,0),0),0)</f>
        <v>5958</v>
      </c>
      <c r="AJ24" s="28" t="n">
        <f aca="false">IFERROR(IF(35&gt;=6,ROUND(55000/12*ASSUMPTIONS!$B$92,0),0),0)</f>
        <v>5958</v>
      </c>
      <c r="AK24" s="28" t="n">
        <f aca="false">IFERROR(IF(36&gt;=6,ROUND(55000/12*ASSUMPTIONS!$B$92,0),0),0)</f>
        <v>5958</v>
      </c>
    </row>
    <row r="25" customFormat="false" ht="15" hidden="false" customHeight="true" outlineLevel="0" collapsed="false">
      <c r="A25" s="29" t="s">
        <v>186</v>
      </c>
      <c r="B25" s="19" t="n">
        <f aca="false">SUM(B21:B24)</f>
        <v>10833</v>
      </c>
      <c r="C25" s="19" t="n">
        <f aca="false">SUM(C21:C24)</f>
        <v>10833</v>
      </c>
      <c r="D25" s="19" t="n">
        <f aca="false">SUM(D21:D24)</f>
        <v>10833</v>
      </c>
      <c r="E25" s="19" t="n">
        <f aca="false">SUM(E21:E24)</f>
        <v>20041</v>
      </c>
      <c r="F25" s="19" t="n">
        <f aca="false">SUM(F21:F24)</f>
        <v>20041</v>
      </c>
      <c r="G25" s="19" t="n">
        <f aca="false">SUM(G21:G24)</f>
        <v>25999</v>
      </c>
      <c r="H25" s="19" t="n">
        <f aca="false">SUM(H21:H24)</f>
        <v>25999</v>
      </c>
      <c r="I25" s="19" t="n">
        <f aca="false">SUM(I21:I24)</f>
        <v>35207</v>
      </c>
      <c r="J25" s="19" t="n">
        <f aca="false">SUM(J21:J24)</f>
        <v>35207</v>
      </c>
      <c r="K25" s="19" t="n">
        <f aca="false">SUM(K21:K24)</f>
        <v>35207</v>
      </c>
      <c r="L25" s="19" t="n">
        <f aca="false">SUM(L21:L24)</f>
        <v>35207</v>
      </c>
      <c r="M25" s="19" t="n">
        <f aca="false">SUM(M21:M24)</f>
        <v>35207</v>
      </c>
      <c r="N25" s="19" t="n">
        <f aca="false">SUM(N21:N24)</f>
        <v>35207</v>
      </c>
      <c r="O25" s="19" t="n">
        <f aca="false">SUM(O21:O24)</f>
        <v>35207</v>
      </c>
      <c r="P25" s="19" t="n">
        <f aca="false">SUM(P21:P24)</f>
        <v>35207</v>
      </c>
      <c r="Q25" s="19" t="n">
        <f aca="false">SUM(Q21:Q24)</f>
        <v>35207</v>
      </c>
      <c r="R25" s="19" t="n">
        <f aca="false">SUM(R21:R24)</f>
        <v>35207</v>
      </c>
      <c r="S25" s="19" t="n">
        <f aca="false">SUM(S21:S24)</f>
        <v>35207</v>
      </c>
      <c r="T25" s="19" t="n">
        <f aca="false">SUM(T21:T24)</f>
        <v>35207</v>
      </c>
      <c r="U25" s="19" t="n">
        <f aca="false">SUM(U21:U24)</f>
        <v>35207</v>
      </c>
      <c r="V25" s="19" t="n">
        <f aca="false">SUM(V21:V24)</f>
        <v>35207</v>
      </c>
      <c r="W25" s="19" t="n">
        <f aca="false">SUM(W21:W24)</f>
        <v>35207</v>
      </c>
      <c r="X25" s="19" t="n">
        <f aca="false">SUM(X21:X24)</f>
        <v>35207</v>
      </c>
      <c r="Y25" s="19" t="n">
        <f aca="false">SUM(Y21:Y24)</f>
        <v>35207</v>
      </c>
      <c r="Z25" s="19" t="n">
        <f aca="false">SUM(Z21:Z24)</f>
        <v>35207</v>
      </c>
      <c r="AA25" s="19" t="n">
        <f aca="false">SUM(AA21:AA24)</f>
        <v>35207</v>
      </c>
      <c r="AB25" s="19" t="n">
        <f aca="false">SUM(AB21:AB24)</f>
        <v>35207</v>
      </c>
      <c r="AC25" s="19" t="n">
        <f aca="false">SUM(AC21:AC24)</f>
        <v>35207</v>
      </c>
      <c r="AD25" s="19" t="n">
        <f aca="false">SUM(AD21:AD24)</f>
        <v>35207</v>
      </c>
      <c r="AE25" s="19" t="n">
        <f aca="false">SUM(AE21:AE24)</f>
        <v>35207</v>
      </c>
      <c r="AF25" s="19" t="n">
        <f aca="false">SUM(AF21:AF24)</f>
        <v>35207</v>
      </c>
      <c r="AG25" s="19" t="n">
        <f aca="false">SUM(AG21:AG24)</f>
        <v>35207</v>
      </c>
      <c r="AH25" s="19" t="n">
        <f aca="false">SUM(AH21:AH24)</f>
        <v>35207</v>
      </c>
      <c r="AI25" s="19" t="n">
        <f aca="false">SUM(AI21:AI24)</f>
        <v>35207</v>
      </c>
      <c r="AJ25" s="19" t="n">
        <f aca="false">SUM(AJ21:AJ24)</f>
        <v>35207</v>
      </c>
      <c r="AK25" s="19" t="n">
        <f aca="false">SUM(AK21:AK24)</f>
        <v>35207</v>
      </c>
    </row>
    <row r="26" customFormat="false" ht="15" hidden="false" customHeight="true" outlineLevel="0" collapsed="false">
      <c r="A26" s="15" t="s">
        <v>115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</row>
    <row r="27" customFormat="false" ht="15" hidden="false" customHeight="true" outlineLevel="0" collapsed="false">
      <c r="A27" s="6" t="s">
        <v>116</v>
      </c>
      <c r="B27" s="28" t="n">
        <f aca="false">IFERROR(IF(1&gt;=3,ROUND(95000/12*ASSUMPTIONS!$B$92,0),0),0)</f>
        <v>0</v>
      </c>
      <c r="C27" s="28" t="n">
        <f aca="false">IFERROR(IF(2&gt;=3,ROUND(95000/12*ASSUMPTIONS!$B$92,0),0),0)</f>
        <v>0</v>
      </c>
      <c r="D27" s="28" t="n">
        <f aca="false">IFERROR(IF(3&gt;=3,ROUND(95000/12*ASSUMPTIONS!$B$92,0),0),0)</f>
        <v>10292</v>
      </c>
      <c r="E27" s="28" t="n">
        <f aca="false">IFERROR(IF(4&gt;=3,ROUND(95000/12*ASSUMPTIONS!$B$92,0),0),0)</f>
        <v>10292</v>
      </c>
      <c r="F27" s="28" t="n">
        <f aca="false">IFERROR(IF(5&gt;=3,ROUND(95000/12*ASSUMPTIONS!$B$92,0),0),0)</f>
        <v>10292</v>
      </c>
      <c r="G27" s="28" t="n">
        <f aca="false">IFERROR(IF(6&gt;=3,ROUND(95000/12*ASSUMPTIONS!$B$92,0),0),0)</f>
        <v>10292</v>
      </c>
      <c r="H27" s="28" t="n">
        <f aca="false">IFERROR(IF(7&gt;=3,ROUND(95000/12*ASSUMPTIONS!$B$92,0),0),0)</f>
        <v>10292</v>
      </c>
      <c r="I27" s="28" t="n">
        <f aca="false">IFERROR(IF(8&gt;=3,ROUND(95000/12*ASSUMPTIONS!$B$92,0),0),0)</f>
        <v>10292</v>
      </c>
      <c r="J27" s="28" t="n">
        <f aca="false">IFERROR(IF(9&gt;=3,ROUND(95000/12*ASSUMPTIONS!$B$92,0),0),0)</f>
        <v>10292</v>
      </c>
      <c r="K27" s="28" t="n">
        <f aca="false">IFERROR(IF(10&gt;=3,ROUND(95000/12*ASSUMPTIONS!$B$92,0),0),0)</f>
        <v>10292</v>
      </c>
      <c r="L27" s="28" t="n">
        <f aca="false">IFERROR(IF(11&gt;=3,ROUND(95000/12*ASSUMPTIONS!$B$92,0),0),0)</f>
        <v>10292</v>
      </c>
      <c r="M27" s="28" t="n">
        <f aca="false">IFERROR(IF(12&gt;=3,ROUND(95000/12*ASSUMPTIONS!$B$92,0),0),0)</f>
        <v>10292</v>
      </c>
      <c r="N27" s="28" t="n">
        <f aca="false">IFERROR(IF(13&gt;=3,ROUND(95000/12*ASSUMPTIONS!$B$92,0),0),0)</f>
        <v>10292</v>
      </c>
      <c r="O27" s="28" t="n">
        <f aca="false">IFERROR(IF(14&gt;=3,ROUND(95000/12*ASSUMPTIONS!$B$92,0),0),0)</f>
        <v>10292</v>
      </c>
      <c r="P27" s="28" t="n">
        <f aca="false">IFERROR(IF(15&gt;=3,ROUND(95000/12*ASSUMPTIONS!$B$92,0),0),0)</f>
        <v>10292</v>
      </c>
      <c r="Q27" s="28" t="n">
        <f aca="false">IFERROR(IF(16&gt;=3,ROUND(95000/12*ASSUMPTIONS!$B$92,0),0),0)</f>
        <v>10292</v>
      </c>
      <c r="R27" s="28" t="n">
        <f aca="false">IFERROR(IF(17&gt;=3,ROUND(95000/12*ASSUMPTIONS!$B$92,0),0),0)</f>
        <v>10292</v>
      </c>
      <c r="S27" s="28" t="n">
        <f aca="false">IFERROR(IF(18&gt;=3,ROUND(95000/12*ASSUMPTIONS!$B$92,0),0),0)</f>
        <v>10292</v>
      </c>
      <c r="T27" s="28" t="n">
        <f aca="false">IFERROR(IF(19&gt;=3,ROUND(95000/12*ASSUMPTIONS!$B$92,0),0),0)</f>
        <v>10292</v>
      </c>
      <c r="U27" s="28" t="n">
        <f aca="false">IFERROR(IF(20&gt;=3,ROUND(95000/12*ASSUMPTIONS!$B$92,0),0),0)</f>
        <v>10292</v>
      </c>
      <c r="V27" s="28" t="n">
        <f aca="false">IFERROR(IF(21&gt;=3,ROUND(95000/12*ASSUMPTIONS!$B$92,0),0),0)</f>
        <v>10292</v>
      </c>
      <c r="W27" s="28" t="n">
        <f aca="false">IFERROR(IF(22&gt;=3,ROUND(95000/12*ASSUMPTIONS!$B$92,0),0),0)</f>
        <v>10292</v>
      </c>
      <c r="X27" s="28" t="n">
        <f aca="false">IFERROR(IF(23&gt;=3,ROUND(95000/12*ASSUMPTIONS!$B$92,0),0),0)</f>
        <v>10292</v>
      </c>
      <c r="Y27" s="28" t="n">
        <f aca="false">IFERROR(IF(24&gt;=3,ROUND(95000/12*ASSUMPTIONS!$B$92,0),0),0)</f>
        <v>10292</v>
      </c>
      <c r="Z27" s="28" t="n">
        <f aca="false">IFERROR(IF(25&gt;=3,ROUND(95000/12*ASSUMPTIONS!$B$92,0),0),0)</f>
        <v>10292</v>
      </c>
      <c r="AA27" s="28" t="n">
        <f aca="false">IFERROR(IF(26&gt;=3,ROUND(95000/12*ASSUMPTIONS!$B$92,0),0),0)</f>
        <v>10292</v>
      </c>
      <c r="AB27" s="28" t="n">
        <f aca="false">IFERROR(IF(27&gt;=3,ROUND(95000/12*ASSUMPTIONS!$B$92,0),0),0)</f>
        <v>10292</v>
      </c>
      <c r="AC27" s="28" t="n">
        <f aca="false">IFERROR(IF(28&gt;=3,ROUND(95000/12*ASSUMPTIONS!$B$92,0),0),0)</f>
        <v>10292</v>
      </c>
      <c r="AD27" s="28" t="n">
        <f aca="false">IFERROR(IF(29&gt;=3,ROUND(95000/12*ASSUMPTIONS!$B$92,0),0),0)</f>
        <v>10292</v>
      </c>
      <c r="AE27" s="28" t="n">
        <f aca="false">IFERROR(IF(30&gt;=3,ROUND(95000/12*ASSUMPTIONS!$B$92,0),0),0)</f>
        <v>10292</v>
      </c>
      <c r="AF27" s="28" t="n">
        <f aca="false">IFERROR(IF(31&gt;=3,ROUND(95000/12*ASSUMPTIONS!$B$92,0),0),0)</f>
        <v>10292</v>
      </c>
      <c r="AG27" s="28" t="n">
        <f aca="false">IFERROR(IF(32&gt;=3,ROUND(95000/12*ASSUMPTIONS!$B$92,0),0),0)</f>
        <v>10292</v>
      </c>
      <c r="AH27" s="28" t="n">
        <f aca="false">IFERROR(IF(33&gt;=3,ROUND(95000/12*ASSUMPTIONS!$B$92,0),0),0)</f>
        <v>10292</v>
      </c>
      <c r="AI27" s="28" t="n">
        <f aca="false">IFERROR(IF(34&gt;=3,ROUND(95000/12*ASSUMPTIONS!$B$92,0),0),0)</f>
        <v>10292</v>
      </c>
      <c r="AJ27" s="28" t="n">
        <f aca="false">IFERROR(IF(35&gt;=3,ROUND(95000/12*ASSUMPTIONS!$B$92,0),0),0)</f>
        <v>10292</v>
      </c>
      <c r="AK27" s="28" t="n">
        <f aca="false">IFERROR(IF(36&gt;=3,ROUND(95000/12*ASSUMPTIONS!$B$92,0),0),0)</f>
        <v>10292</v>
      </c>
    </row>
    <row r="28" customFormat="false" ht="15" hidden="false" customHeight="true" outlineLevel="0" collapsed="false">
      <c r="A28" s="6" t="s">
        <v>118</v>
      </c>
      <c r="B28" s="28" t="n">
        <f aca="false">IFERROR(IF(1&gt;=6,ROUND(80000/12*ASSUMPTIONS!$B$92,0),0),0)</f>
        <v>0</v>
      </c>
      <c r="C28" s="28" t="n">
        <f aca="false">IFERROR(IF(2&gt;=6,ROUND(80000/12*ASSUMPTIONS!$B$92,0),0),0)</f>
        <v>0</v>
      </c>
      <c r="D28" s="28" t="n">
        <f aca="false">IFERROR(IF(3&gt;=6,ROUND(80000/12*ASSUMPTIONS!$B$92,0),0),0)</f>
        <v>0</v>
      </c>
      <c r="E28" s="28" t="n">
        <f aca="false">IFERROR(IF(4&gt;=6,ROUND(80000/12*ASSUMPTIONS!$B$92,0),0),0)</f>
        <v>0</v>
      </c>
      <c r="F28" s="28" t="n">
        <f aca="false">IFERROR(IF(5&gt;=6,ROUND(80000/12*ASSUMPTIONS!$B$92,0),0),0)</f>
        <v>0</v>
      </c>
      <c r="G28" s="28" t="n">
        <f aca="false">IFERROR(IF(6&gt;=6,ROUND(80000/12*ASSUMPTIONS!$B$92,0),0),0)</f>
        <v>8667</v>
      </c>
      <c r="H28" s="28" t="n">
        <f aca="false">IFERROR(IF(7&gt;=6,ROUND(80000/12*ASSUMPTIONS!$B$92,0),0),0)</f>
        <v>8667</v>
      </c>
      <c r="I28" s="28" t="n">
        <f aca="false">IFERROR(IF(8&gt;=6,ROUND(80000/12*ASSUMPTIONS!$B$92,0),0),0)</f>
        <v>8667</v>
      </c>
      <c r="J28" s="28" t="n">
        <f aca="false">IFERROR(IF(9&gt;=6,ROUND(80000/12*ASSUMPTIONS!$B$92,0),0),0)</f>
        <v>8667</v>
      </c>
      <c r="K28" s="28" t="n">
        <f aca="false">IFERROR(IF(10&gt;=6,ROUND(80000/12*ASSUMPTIONS!$B$92,0),0),0)</f>
        <v>8667</v>
      </c>
      <c r="L28" s="28" t="n">
        <f aca="false">IFERROR(IF(11&gt;=6,ROUND(80000/12*ASSUMPTIONS!$B$92,0),0),0)</f>
        <v>8667</v>
      </c>
      <c r="M28" s="28" t="n">
        <f aca="false">IFERROR(IF(12&gt;=6,ROUND(80000/12*ASSUMPTIONS!$B$92,0),0),0)</f>
        <v>8667</v>
      </c>
      <c r="N28" s="28" t="n">
        <f aca="false">IFERROR(IF(13&gt;=6,ROUND(80000/12*ASSUMPTIONS!$B$92,0),0),0)</f>
        <v>8667</v>
      </c>
      <c r="O28" s="28" t="n">
        <f aca="false">IFERROR(IF(14&gt;=6,ROUND(80000/12*ASSUMPTIONS!$B$92,0),0),0)</f>
        <v>8667</v>
      </c>
      <c r="P28" s="28" t="n">
        <f aca="false">IFERROR(IF(15&gt;=6,ROUND(80000/12*ASSUMPTIONS!$B$92,0),0),0)</f>
        <v>8667</v>
      </c>
      <c r="Q28" s="28" t="n">
        <f aca="false">IFERROR(IF(16&gt;=6,ROUND(80000/12*ASSUMPTIONS!$B$92,0),0),0)</f>
        <v>8667</v>
      </c>
      <c r="R28" s="28" t="n">
        <f aca="false">IFERROR(IF(17&gt;=6,ROUND(80000/12*ASSUMPTIONS!$B$92,0),0),0)</f>
        <v>8667</v>
      </c>
      <c r="S28" s="28" t="n">
        <f aca="false">IFERROR(IF(18&gt;=6,ROUND(80000/12*ASSUMPTIONS!$B$92,0),0),0)</f>
        <v>8667</v>
      </c>
      <c r="T28" s="28" t="n">
        <f aca="false">IFERROR(IF(19&gt;=6,ROUND(80000/12*ASSUMPTIONS!$B$92,0),0),0)</f>
        <v>8667</v>
      </c>
      <c r="U28" s="28" t="n">
        <f aca="false">IFERROR(IF(20&gt;=6,ROUND(80000/12*ASSUMPTIONS!$B$92,0),0),0)</f>
        <v>8667</v>
      </c>
      <c r="V28" s="28" t="n">
        <f aca="false">IFERROR(IF(21&gt;=6,ROUND(80000/12*ASSUMPTIONS!$B$92,0),0),0)</f>
        <v>8667</v>
      </c>
      <c r="W28" s="28" t="n">
        <f aca="false">IFERROR(IF(22&gt;=6,ROUND(80000/12*ASSUMPTIONS!$B$92,0),0),0)</f>
        <v>8667</v>
      </c>
      <c r="X28" s="28" t="n">
        <f aca="false">IFERROR(IF(23&gt;=6,ROUND(80000/12*ASSUMPTIONS!$B$92,0),0),0)</f>
        <v>8667</v>
      </c>
      <c r="Y28" s="28" t="n">
        <f aca="false">IFERROR(IF(24&gt;=6,ROUND(80000/12*ASSUMPTIONS!$B$92,0),0),0)</f>
        <v>8667</v>
      </c>
      <c r="Z28" s="28" t="n">
        <f aca="false">IFERROR(IF(25&gt;=6,ROUND(80000/12*ASSUMPTIONS!$B$92,0),0),0)</f>
        <v>8667</v>
      </c>
      <c r="AA28" s="28" t="n">
        <f aca="false">IFERROR(IF(26&gt;=6,ROUND(80000/12*ASSUMPTIONS!$B$92,0),0),0)</f>
        <v>8667</v>
      </c>
      <c r="AB28" s="28" t="n">
        <f aca="false">IFERROR(IF(27&gt;=6,ROUND(80000/12*ASSUMPTIONS!$B$92,0),0),0)</f>
        <v>8667</v>
      </c>
      <c r="AC28" s="28" t="n">
        <f aca="false">IFERROR(IF(28&gt;=6,ROUND(80000/12*ASSUMPTIONS!$B$92,0),0),0)</f>
        <v>8667</v>
      </c>
      <c r="AD28" s="28" t="n">
        <f aca="false">IFERROR(IF(29&gt;=6,ROUND(80000/12*ASSUMPTIONS!$B$92,0),0),0)</f>
        <v>8667</v>
      </c>
      <c r="AE28" s="28" t="n">
        <f aca="false">IFERROR(IF(30&gt;=6,ROUND(80000/12*ASSUMPTIONS!$B$92,0),0),0)</f>
        <v>8667</v>
      </c>
      <c r="AF28" s="28" t="n">
        <f aca="false">IFERROR(IF(31&gt;=6,ROUND(80000/12*ASSUMPTIONS!$B$92,0),0),0)</f>
        <v>8667</v>
      </c>
      <c r="AG28" s="28" t="n">
        <f aca="false">IFERROR(IF(32&gt;=6,ROUND(80000/12*ASSUMPTIONS!$B$92,0),0),0)</f>
        <v>8667</v>
      </c>
      <c r="AH28" s="28" t="n">
        <f aca="false">IFERROR(IF(33&gt;=6,ROUND(80000/12*ASSUMPTIONS!$B$92,0),0),0)</f>
        <v>8667</v>
      </c>
      <c r="AI28" s="28" t="n">
        <f aca="false">IFERROR(IF(34&gt;=6,ROUND(80000/12*ASSUMPTIONS!$B$92,0),0),0)</f>
        <v>8667</v>
      </c>
      <c r="AJ28" s="28" t="n">
        <f aca="false">IFERROR(IF(35&gt;=6,ROUND(80000/12*ASSUMPTIONS!$B$92,0),0),0)</f>
        <v>8667</v>
      </c>
      <c r="AK28" s="28" t="n">
        <f aca="false">IFERROR(IF(36&gt;=6,ROUND(80000/12*ASSUMPTIONS!$B$92,0),0),0)</f>
        <v>8667</v>
      </c>
    </row>
    <row r="29" customFormat="false" ht="15" hidden="false" customHeight="true" outlineLevel="0" collapsed="false">
      <c r="A29" s="29" t="s">
        <v>187</v>
      </c>
      <c r="B29" s="19" t="n">
        <f aca="false">SUM(B27:B28)</f>
        <v>0</v>
      </c>
      <c r="C29" s="19" t="n">
        <f aca="false">SUM(C27:C28)</f>
        <v>0</v>
      </c>
      <c r="D29" s="19" t="n">
        <f aca="false">SUM(D27:D28)</f>
        <v>10292</v>
      </c>
      <c r="E29" s="19" t="n">
        <f aca="false">SUM(E27:E28)</f>
        <v>10292</v>
      </c>
      <c r="F29" s="19" t="n">
        <f aca="false">SUM(F27:F28)</f>
        <v>10292</v>
      </c>
      <c r="G29" s="19" t="n">
        <f aca="false">SUM(G27:G28)</f>
        <v>18959</v>
      </c>
      <c r="H29" s="19" t="n">
        <f aca="false">SUM(H27:H28)</f>
        <v>18959</v>
      </c>
      <c r="I29" s="19" t="n">
        <f aca="false">SUM(I27:I28)</f>
        <v>18959</v>
      </c>
      <c r="J29" s="19" t="n">
        <f aca="false">SUM(J27:J28)</f>
        <v>18959</v>
      </c>
      <c r="K29" s="19" t="n">
        <f aca="false">SUM(K27:K28)</f>
        <v>18959</v>
      </c>
      <c r="L29" s="19" t="n">
        <f aca="false">SUM(L27:L28)</f>
        <v>18959</v>
      </c>
      <c r="M29" s="19" t="n">
        <f aca="false">SUM(M27:M28)</f>
        <v>18959</v>
      </c>
      <c r="N29" s="19" t="n">
        <f aca="false">SUM(N27:N28)</f>
        <v>18959</v>
      </c>
      <c r="O29" s="19" t="n">
        <f aca="false">SUM(O27:O28)</f>
        <v>18959</v>
      </c>
      <c r="P29" s="19" t="n">
        <f aca="false">SUM(P27:P28)</f>
        <v>18959</v>
      </c>
      <c r="Q29" s="19" t="n">
        <f aca="false">SUM(Q27:Q28)</f>
        <v>18959</v>
      </c>
      <c r="R29" s="19" t="n">
        <f aca="false">SUM(R27:R28)</f>
        <v>18959</v>
      </c>
      <c r="S29" s="19" t="n">
        <f aca="false">SUM(S27:S28)</f>
        <v>18959</v>
      </c>
      <c r="T29" s="19" t="n">
        <f aca="false">SUM(T27:T28)</f>
        <v>18959</v>
      </c>
      <c r="U29" s="19" t="n">
        <f aca="false">SUM(U27:U28)</f>
        <v>18959</v>
      </c>
      <c r="V29" s="19" t="n">
        <f aca="false">SUM(V27:V28)</f>
        <v>18959</v>
      </c>
      <c r="W29" s="19" t="n">
        <f aca="false">SUM(W27:W28)</f>
        <v>18959</v>
      </c>
      <c r="X29" s="19" t="n">
        <f aca="false">SUM(X27:X28)</f>
        <v>18959</v>
      </c>
      <c r="Y29" s="19" t="n">
        <f aca="false">SUM(Y27:Y28)</f>
        <v>18959</v>
      </c>
      <c r="Z29" s="19" t="n">
        <f aca="false">SUM(Z27:Z28)</f>
        <v>18959</v>
      </c>
      <c r="AA29" s="19" t="n">
        <f aca="false">SUM(AA27:AA28)</f>
        <v>18959</v>
      </c>
      <c r="AB29" s="19" t="n">
        <f aca="false">SUM(AB27:AB28)</f>
        <v>18959</v>
      </c>
      <c r="AC29" s="19" t="n">
        <f aca="false">SUM(AC27:AC28)</f>
        <v>18959</v>
      </c>
      <c r="AD29" s="19" t="n">
        <f aca="false">SUM(AD27:AD28)</f>
        <v>18959</v>
      </c>
      <c r="AE29" s="19" t="n">
        <f aca="false">SUM(AE27:AE28)</f>
        <v>18959</v>
      </c>
      <c r="AF29" s="19" t="n">
        <f aca="false">SUM(AF27:AF28)</f>
        <v>18959</v>
      </c>
      <c r="AG29" s="19" t="n">
        <f aca="false">SUM(AG27:AG28)</f>
        <v>18959</v>
      </c>
      <c r="AH29" s="19" t="n">
        <f aca="false">SUM(AH27:AH28)</f>
        <v>18959</v>
      </c>
      <c r="AI29" s="19" t="n">
        <f aca="false">SUM(AI27:AI28)</f>
        <v>18959</v>
      </c>
      <c r="AJ29" s="19" t="n">
        <f aca="false">SUM(AJ27:AJ28)</f>
        <v>18959</v>
      </c>
      <c r="AK29" s="19" t="n">
        <f aca="false">SUM(AK27:AK28)</f>
        <v>18959</v>
      </c>
    </row>
    <row r="30" customFormat="false" ht="15" hidden="false" customHeight="true" outlineLevel="0" collapsed="false">
      <c r="A30" s="15" t="s">
        <v>120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</row>
    <row r="31" customFormat="false" ht="15" hidden="false" customHeight="true" outlineLevel="0" collapsed="false">
      <c r="A31" s="6" t="s">
        <v>121</v>
      </c>
      <c r="B31" s="28" t="n">
        <f aca="false">IFERROR(IF(1&gt;=4,ROUND(80000/12*ASSUMPTIONS!$B$92,0),0),0)</f>
        <v>0</v>
      </c>
      <c r="C31" s="28" t="n">
        <f aca="false">IFERROR(IF(2&gt;=4,ROUND(80000/12*ASSUMPTIONS!$B$92,0),0),0)</f>
        <v>0</v>
      </c>
      <c r="D31" s="28" t="n">
        <f aca="false">IFERROR(IF(3&gt;=4,ROUND(80000/12*ASSUMPTIONS!$B$92,0),0),0)</f>
        <v>0</v>
      </c>
      <c r="E31" s="28" t="n">
        <f aca="false">IFERROR(IF(4&gt;=4,ROUND(80000/12*ASSUMPTIONS!$B$92,0),0),0)</f>
        <v>8667</v>
      </c>
      <c r="F31" s="28" t="n">
        <f aca="false">IFERROR(IF(5&gt;=4,ROUND(80000/12*ASSUMPTIONS!$B$92,0),0),0)</f>
        <v>8667</v>
      </c>
      <c r="G31" s="28" t="n">
        <f aca="false">IFERROR(IF(6&gt;=4,ROUND(80000/12*ASSUMPTIONS!$B$92,0),0),0)</f>
        <v>8667</v>
      </c>
      <c r="H31" s="28" t="n">
        <f aca="false">IFERROR(IF(7&gt;=4,ROUND(80000/12*ASSUMPTIONS!$B$92,0),0),0)</f>
        <v>8667</v>
      </c>
      <c r="I31" s="28" t="n">
        <f aca="false">IFERROR(IF(8&gt;=4,ROUND(80000/12*ASSUMPTIONS!$B$92,0),0),0)</f>
        <v>8667</v>
      </c>
      <c r="J31" s="28" t="n">
        <f aca="false">IFERROR(IF(9&gt;=4,ROUND(80000/12*ASSUMPTIONS!$B$92,0),0),0)</f>
        <v>8667</v>
      </c>
      <c r="K31" s="28" t="n">
        <f aca="false">IFERROR(IF(10&gt;=4,ROUND(80000/12*ASSUMPTIONS!$B$92,0),0),0)</f>
        <v>8667</v>
      </c>
      <c r="L31" s="28" t="n">
        <f aca="false">IFERROR(IF(11&gt;=4,ROUND(80000/12*ASSUMPTIONS!$B$92,0),0),0)</f>
        <v>8667</v>
      </c>
      <c r="M31" s="28" t="n">
        <f aca="false">IFERROR(IF(12&gt;=4,ROUND(80000/12*ASSUMPTIONS!$B$92,0),0),0)</f>
        <v>8667</v>
      </c>
      <c r="N31" s="28" t="n">
        <f aca="false">IFERROR(IF(13&gt;=4,ROUND(80000/12*ASSUMPTIONS!$B$92,0),0),0)</f>
        <v>8667</v>
      </c>
      <c r="O31" s="28" t="n">
        <f aca="false">IFERROR(IF(14&gt;=4,ROUND(80000/12*ASSUMPTIONS!$B$92,0),0),0)</f>
        <v>8667</v>
      </c>
      <c r="P31" s="28" t="n">
        <f aca="false">IFERROR(IF(15&gt;=4,ROUND(80000/12*ASSUMPTIONS!$B$92,0),0),0)</f>
        <v>8667</v>
      </c>
      <c r="Q31" s="28" t="n">
        <f aca="false">IFERROR(IF(16&gt;=4,ROUND(80000/12*ASSUMPTIONS!$B$92,0),0),0)</f>
        <v>8667</v>
      </c>
      <c r="R31" s="28" t="n">
        <f aca="false">IFERROR(IF(17&gt;=4,ROUND(80000/12*ASSUMPTIONS!$B$92,0),0),0)</f>
        <v>8667</v>
      </c>
      <c r="S31" s="28" t="n">
        <f aca="false">IFERROR(IF(18&gt;=4,ROUND(80000/12*ASSUMPTIONS!$B$92,0),0),0)</f>
        <v>8667</v>
      </c>
      <c r="T31" s="28" t="n">
        <f aca="false">IFERROR(IF(19&gt;=4,ROUND(80000/12*ASSUMPTIONS!$B$92,0),0),0)</f>
        <v>8667</v>
      </c>
      <c r="U31" s="28" t="n">
        <f aca="false">IFERROR(IF(20&gt;=4,ROUND(80000/12*ASSUMPTIONS!$B$92,0),0),0)</f>
        <v>8667</v>
      </c>
      <c r="V31" s="28" t="n">
        <f aca="false">IFERROR(IF(21&gt;=4,ROUND(80000/12*ASSUMPTIONS!$B$92,0),0),0)</f>
        <v>8667</v>
      </c>
      <c r="W31" s="28" t="n">
        <f aca="false">IFERROR(IF(22&gt;=4,ROUND(80000/12*ASSUMPTIONS!$B$92,0),0),0)</f>
        <v>8667</v>
      </c>
      <c r="X31" s="28" t="n">
        <f aca="false">IFERROR(IF(23&gt;=4,ROUND(80000/12*ASSUMPTIONS!$B$92,0),0),0)</f>
        <v>8667</v>
      </c>
      <c r="Y31" s="28" t="n">
        <f aca="false">IFERROR(IF(24&gt;=4,ROUND(80000/12*ASSUMPTIONS!$B$92,0),0),0)</f>
        <v>8667</v>
      </c>
      <c r="Z31" s="28" t="n">
        <f aca="false">IFERROR(IF(25&gt;=4,ROUND(80000/12*ASSUMPTIONS!$B$92,0),0),0)</f>
        <v>8667</v>
      </c>
      <c r="AA31" s="28" t="n">
        <f aca="false">IFERROR(IF(26&gt;=4,ROUND(80000/12*ASSUMPTIONS!$B$92,0),0),0)</f>
        <v>8667</v>
      </c>
      <c r="AB31" s="28" t="n">
        <f aca="false">IFERROR(IF(27&gt;=4,ROUND(80000/12*ASSUMPTIONS!$B$92,0),0),0)</f>
        <v>8667</v>
      </c>
      <c r="AC31" s="28" t="n">
        <f aca="false">IFERROR(IF(28&gt;=4,ROUND(80000/12*ASSUMPTIONS!$B$92,0),0),0)</f>
        <v>8667</v>
      </c>
      <c r="AD31" s="28" t="n">
        <f aca="false">IFERROR(IF(29&gt;=4,ROUND(80000/12*ASSUMPTIONS!$B$92,0),0),0)</f>
        <v>8667</v>
      </c>
      <c r="AE31" s="28" t="n">
        <f aca="false">IFERROR(IF(30&gt;=4,ROUND(80000/12*ASSUMPTIONS!$B$92,0),0),0)</f>
        <v>8667</v>
      </c>
      <c r="AF31" s="28" t="n">
        <f aca="false">IFERROR(IF(31&gt;=4,ROUND(80000/12*ASSUMPTIONS!$B$92,0),0),0)</f>
        <v>8667</v>
      </c>
      <c r="AG31" s="28" t="n">
        <f aca="false">IFERROR(IF(32&gt;=4,ROUND(80000/12*ASSUMPTIONS!$B$92,0),0),0)</f>
        <v>8667</v>
      </c>
      <c r="AH31" s="28" t="n">
        <f aca="false">IFERROR(IF(33&gt;=4,ROUND(80000/12*ASSUMPTIONS!$B$92,0),0),0)</f>
        <v>8667</v>
      </c>
      <c r="AI31" s="28" t="n">
        <f aca="false">IFERROR(IF(34&gt;=4,ROUND(80000/12*ASSUMPTIONS!$B$92,0),0),0)</f>
        <v>8667</v>
      </c>
      <c r="AJ31" s="28" t="n">
        <f aca="false">IFERROR(IF(35&gt;=4,ROUND(80000/12*ASSUMPTIONS!$B$92,0),0),0)</f>
        <v>8667</v>
      </c>
      <c r="AK31" s="28" t="n">
        <f aca="false">IFERROR(IF(36&gt;=4,ROUND(80000/12*ASSUMPTIONS!$B$92,0),0),0)</f>
        <v>8667</v>
      </c>
    </row>
    <row r="32" customFormat="false" ht="15" hidden="false" customHeight="true" outlineLevel="0" collapsed="false">
      <c r="A32" s="6" t="s">
        <v>123</v>
      </c>
      <c r="B32" s="28" t="n">
        <f aca="false">IFERROR(IF(1&gt;=8,ROUND(60000/12*ASSUMPTIONS!$B$92,0),0),0)</f>
        <v>0</v>
      </c>
      <c r="C32" s="28" t="n">
        <f aca="false">IFERROR(IF(2&gt;=8,ROUND(60000/12*ASSUMPTIONS!$B$92,0),0),0)</f>
        <v>0</v>
      </c>
      <c r="D32" s="28" t="n">
        <f aca="false">IFERROR(IF(3&gt;=8,ROUND(60000/12*ASSUMPTIONS!$B$92,0),0),0)</f>
        <v>0</v>
      </c>
      <c r="E32" s="28" t="n">
        <f aca="false">IFERROR(IF(4&gt;=8,ROUND(60000/12*ASSUMPTIONS!$B$92,0),0),0)</f>
        <v>0</v>
      </c>
      <c r="F32" s="28" t="n">
        <f aca="false">IFERROR(IF(5&gt;=8,ROUND(60000/12*ASSUMPTIONS!$B$92,0),0),0)</f>
        <v>0</v>
      </c>
      <c r="G32" s="28" t="n">
        <f aca="false">IFERROR(IF(6&gt;=8,ROUND(60000/12*ASSUMPTIONS!$B$92,0),0),0)</f>
        <v>0</v>
      </c>
      <c r="H32" s="28" t="n">
        <f aca="false">IFERROR(IF(7&gt;=8,ROUND(60000/12*ASSUMPTIONS!$B$92,0),0),0)</f>
        <v>0</v>
      </c>
      <c r="I32" s="28" t="n">
        <f aca="false">IFERROR(IF(8&gt;=8,ROUND(60000/12*ASSUMPTIONS!$B$92,0),0),0)</f>
        <v>6500</v>
      </c>
      <c r="J32" s="28" t="n">
        <f aca="false">IFERROR(IF(9&gt;=8,ROUND(60000/12*ASSUMPTIONS!$B$92,0),0),0)</f>
        <v>6500</v>
      </c>
      <c r="K32" s="28" t="n">
        <f aca="false">IFERROR(IF(10&gt;=8,ROUND(60000/12*ASSUMPTIONS!$B$92,0),0),0)</f>
        <v>6500</v>
      </c>
      <c r="L32" s="28" t="n">
        <f aca="false">IFERROR(IF(11&gt;=8,ROUND(60000/12*ASSUMPTIONS!$B$92,0),0),0)</f>
        <v>6500</v>
      </c>
      <c r="M32" s="28" t="n">
        <f aca="false">IFERROR(IF(12&gt;=8,ROUND(60000/12*ASSUMPTIONS!$B$92,0),0),0)</f>
        <v>6500</v>
      </c>
      <c r="N32" s="28" t="n">
        <f aca="false">IFERROR(IF(13&gt;=8,ROUND(60000/12*ASSUMPTIONS!$B$92,0),0),0)</f>
        <v>6500</v>
      </c>
      <c r="O32" s="28" t="n">
        <f aca="false">IFERROR(IF(14&gt;=8,ROUND(60000/12*ASSUMPTIONS!$B$92,0),0),0)</f>
        <v>6500</v>
      </c>
      <c r="P32" s="28" t="n">
        <f aca="false">IFERROR(IF(15&gt;=8,ROUND(60000/12*ASSUMPTIONS!$B$92,0),0),0)</f>
        <v>6500</v>
      </c>
      <c r="Q32" s="28" t="n">
        <f aca="false">IFERROR(IF(16&gt;=8,ROUND(60000/12*ASSUMPTIONS!$B$92,0),0),0)</f>
        <v>6500</v>
      </c>
      <c r="R32" s="28" t="n">
        <f aca="false">IFERROR(IF(17&gt;=8,ROUND(60000/12*ASSUMPTIONS!$B$92,0),0),0)</f>
        <v>6500</v>
      </c>
      <c r="S32" s="28" t="n">
        <f aca="false">IFERROR(IF(18&gt;=8,ROUND(60000/12*ASSUMPTIONS!$B$92,0),0),0)</f>
        <v>6500</v>
      </c>
      <c r="T32" s="28" t="n">
        <f aca="false">IFERROR(IF(19&gt;=8,ROUND(60000/12*ASSUMPTIONS!$B$92,0),0),0)</f>
        <v>6500</v>
      </c>
      <c r="U32" s="28" t="n">
        <f aca="false">IFERROR(IF(20&gt;=8,ROUND(60000/12*ASSUMPTIONS!$B$92,0),0),0)</f>
        <v>6500</v>
      </c>
      <c r="V32" s="28" t="n">
        <f aca="false">IFERROR(IF(21&gt;=8,ROUND(60000/12*ASSUMPTIONS!$B$92,0),0),0)</f>
        <v>6500</v>
      </c>
      <c r="W32" s="28" t="n">
        <f aca="false">IFERROR(IF(22&gt;=8,ROUND(60000/12*ASSUMPTIONS!$B$92,0),0),0)</f>
        <v>6500</v>
      </c>
      <c r="X32" s="28" t="n">
        <f aca="false">IFERROR(IF(23&gt;=8,ROUND(60000/12*ASSUMPTIONS!$B$92,0),0),0)</f>
        <v>6500</v>
      </c>
      <c r="Y32" s="28" t="n">
        <f aca="false">IFERROR(IF(24&gt;=8,ROUND(60000/12*ASSUMPTIONS!$B$92,0),0),0)</f>
        <v>6500</v>
      </c>
      <c r="Z32" s="28" t="n">
        <f aca="false">IFERROR(IF(25&gt;=8,ROUND(60000/12*ASSUMPTIONS!$B$92,0),0),0)</f>
        <v>6500</v>
      </c>
      <c r="AA32" s="28" t="n">
        <f aca="false">IFERROR(IF(26&gt;=8,ROUND(60000/12*ASSUMPTIONS!$B$92,0),0),0)</f>
        <v>6500</v>
      </c>
      <c r="AB32" s="28" t="n">
        <f aca="false">IFERROR(IF(27&gt;=8,ROUND(60000/12*ASSUMPTIONS!$B$92,0),0),0)</f>
        <v>6500</v>
      </c>
      <c r="AC32" s="28" t="n">
        <f aca="false">IFERROR(IF(28&gt;=8,ROUND(60000/12*ASSUMPTIONS!$B$92,0),0),0)</f>
        <v>6500</v>
      </c>
      <c r="AD32" s="28" t="n">
        <f aca="false">IFERROR(IF(29&gt;=8,ROUND(60000/12*ASSUMPTIONS!$B$92,0),0),0)</f>
        <v>6500</v>
      </c>
      <c r="AE32" s="28" t="n">
        <f aca="false">IFERROR(IF(30&gt;=8,ROUND(60000/12*ASSUMPTIONS!$B$92,0),0),0)</f>
        <v>6500</v>
      </c>
      <c r="AF32" s="28" t="n">
        <f aca="false">IFERROR(IF(31&gt;=8,ROUND(60000/12*ASSUMPTIONS!$B$92,0),0),0)</f>
        <v>6500</v>
      </c>
      <c r="AG32" s="28" t="n">
        <f aca="false">IFERROR(IF(32&gt;=8,ROUND(60000/12*ASSUMPTIONS!$B$92,0),0),0)</f>
        <v>6500</v>
      </c>
      <c r="AH32" s="28" t="n">
        <f aca="false">IFERROR(IF(33&gt;=8,ROUND(60000/12*ASSUMPTIONS!$B$92,0),0),0)</f>
        <v>6500</v>
      </c>
      <c r="AI32" s="28" t="n">
        <f aca="false">IFERROR(IF(34&gt;=8,ROUND(60000/12*ASSUMPTIONS!$B$92,0),0),0)</f>
        <v>6500</v>
      </c>
      <c r="AJ32" s="28" t="n">
        <f aca="false">IFERROR(IF(35&gt;=8,ROUND(60000/12*ASSUMPTIONS!$B$92,0),0),0)</f>
        <v>6500</v>
      </c>
      <c r="AK32" s="28" t="n">
        <f aca="false">IFERROR(IF(36&gt;=8,ROUND(60000/12*ASSUMPTIONS!$B$92,0),0),0)</f>
        <v>6500</v>
      </c>
    </row>
    <row r="33" customFormat="false" ht="15" hidden="false" customHeight="true" outlineLevel="0" collapsed="false">
      <c r="A33" s="29" t="s">
        <v>188</v>
      </c>
      <c r="B33" s="19" t="n">
        <f aca="false">SUM(B31:B32)</f>
        <v>0</v>
      </c>
      <c r="C33" s="19" t="n">
        <f aca="false">SUM(C31:C32)</f>
        <v>0</v>
      </c>
      <c r="D33" s="19" t="n">
        <f aca="false">SUM(D31:D32)</f>
        <v>0</v>
      </c>
      <c r="E33" s="19" t="n">
        <f aca="false">SUM(E31:E32)</f>
        <v>8667</v>
      </c>
      <c r="F33" s="19" t="n">
        <f aca="false">SUM(F31:F32)</f>
        <v>8667</v>
      </c>
      <c r="G33" s="19" t="n">
        <f aca="false">SUM(G31:G32)</f>
        <v>8667</v>
      </c>
      <c r="H33" s="19" t="n">
        <f aca="false">SUM(H31:H32)</f>
        <v>8667</v>
      </c>
      <c r="I33" s="19" t="n">
        <f aca="false">SUM(I31:I32)</f>
        <v>15167</v>
      </c>
      <c r="J33" s="19" t="n">
        <f aca="false">SUM(J31:J32)</f>
        <v>15167</v>
      </c>
      <c r="K33" s="19" t="n">
        <f aca="false">SUM(K31:K32)</f>
        <v>15167</v>
      </c>
      <c r="L33" s="19" t="n">
        <f aca="false">SUM(L31:L32)</f>
        <v>15167</v>
      </c>
      <c r="M33" s="19" t="n">
        <f aca="false">SUM(M31:M32)</f>
        <v>15167</v>
      </c>
      <c r="N33" s="19" t="n">
        <f aca="false">SUM(N31:N32)</f>
        <v>15167</v>
      </c>
      <c r="O33" s="19" t="n">
        <f aca="false">SUM(O31:O32)</f>
        <v>15167</v>
      </c>
      <c r="P33" s="19" t="n">
        <f aca="false">SUM(P31:P32)</f>
        <v>15167</v>
      </c>
      <c r="Q33" s="19" t="n">
        <f aca="false">SUM(Q31:Q32)</f>
        <v>15167</v>
      </c>
      <c r="R33" s="19" t="n">
        <f aca="false">SUM(R31:R32)</f>
        <v>15167</v>
      </c>
      <c r="S33" s="19" t="n">
        <f aca="false">SUM(S31:S32)</f>
        <v>15167</v>
      </c>
      <c r="T33" s="19" t="n">
        <f aca="false">SUM(T31:T32)</f>
        <v>15167</v>
      </c>
      <c r="U33" s="19" t="n">
        <f aca="false">SUM(U31:U32)</f>
        <v>15167</v>
      </c>
      <c r="V33" s="19" t="n">
        <f aca="false">SUM(V31:V32)</f>
        <v>15167</v>
      </c>
      <c r="W33" s="19" t="n">
        <f aca="false">SUM(W31:W32)</f>
        <v>15167</v>
      </c>
      <c r="X33" s="19" t="n">
        <f aca="false">SUM(X31:X32)</f>
        <v>15167</v>
      </c>
      <c r="Y33" s="19" t="n">
        <f aca="false">SUM(Y31:Y32)</f>
        <v>15167</v>
      </c>
      <c r="Z33" s="19" t="n">
        <f aca="false">SUM(Z31:Z32)</f>
        <v>15167</v>
      </c>
      <c r="AA33" s="19" t="n">
        <f aca="false">SUM(AA31:AA32)</f>
        <v>15167</v>
      </c>
      <c r="AB33" s="19" t="n">
        <f aca="false">SUM(AB31:AB32)</f>
        <v>15167</v>
      </c>
      <c r="AC33" s="19" t="n">
        <f aca="false">SUM(AC31:AC32)</f>
        <v>15167</v>
      </c>
      <c r="AD33" s="19" t="n">
        <f aca="false">SUM(AD31:AD32)</f>
        <v>15167</v>
      </c>
      <c r="AE33" s="19" t="n">
        <f aca="false">SUM(AE31:AE32)</f>
        <v>15167</v>
      </c>
      <c r="AF33" s="19" t="n">
        <f aca="false">SUM(AF31:AF32)</f>
        <v>15167</v>
      </c>
      <c r="AG33" s="19" t="n">
        <f aca="false">SUM(AG31:AG32)</f>
        <v>15167</v>
      </c>
      <c r="AH33" s="19" t="n">
        <f aca="false">SUM(AH31:AH32)</f>
        <v>15167</v>
      </c>
      <c r="AI33" s="19" t="n">
        <f aca="false">SUM(AI31:AI32)</f>
        <v>15167</v>
      </c>
      <c r="AJ33" s="19" t="n">
        <f aca="false">SUM(AJ31:AJ32)</f>
        <v>15167</v>
      </c>
      <c r="AK33" s="19" t="n">
        <f aca="false">SUM(AK31:AK32)</f>
        <v>15167</v>
      </c>
    </row>
    <row r="34" customFormat="false" ht="15" hidden="false" customHeight="true" outlineLevel="0" collapsed="false">
      <c r="A34" s="15" t="s">
        <v>125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</row>
    <row r="35" customFormat="false" ht="15" hidden="false" customHeight="true" outlineLevel="0" collapsed="false">
      <c r="A35" s="6" t="s">
        <v>126</v>
      </c>
      <c r="B35" s="28" t="n">
        <f aca="false">IFERROR(IF(1&gt;=1,ROUND(120000/12*ASSUMPTIONS!$B$92,0),0),0)</f>
        <v>13000</v>
      </c>
      <c r="C35" s="28" t="n">
        <f aca="false">IFERROR(IF(2&gt;=1,ROUND(120000/12*ASSUMPTIONS!$B$92,0),0),0)</f>
        <v>13000</v>
      </c>
      <c r="D35" s="28" t="n">
        <f aca="false">IFERROR(IF(3&gt;=1,ROUND(120000/12*ASSUMPTIONS!$B$92,0),0),0)</f>
        <v>13000</v>
      </c>
      <c r="E35" s="28" t="n">
        <f aca="false">IFERROR(IF(4&gt;=1,ROUND(120000/12*ASSUMPTIONS!$B$92,0),0),0)</f>
        <v>13000</v>
      </c>
      <c r="F35" s="28" t="n">
        <f aca="false">IFERROR(IF(5&gt;=1,ROUND(120000/12*ASSUMPTIONS!$B$92,0),0),0)</f>
        <v>13000</v>
      </c>
      <c r="G35" s="28" t="n">
        <f aca="false">IFERROR(IF(6&gt;=1,ROUND(120000/12*ASSUMPTIONS!$B$92,0),0),0)</f>
        <v>13000</v>
      </c>
      <c r="H35" s="28" t="n">
        <f aca="false">IFERROR(IF(7&gt;=1,ROUND(120000/12*ASSUMPTIONS!$B$92,0),0),0)</f>
        <v>13000</v>
      </c>
      <c r="I35" s="28" t="n">
        <f aca="false">IFERROR(IF(8&gt;=1,ROUND(120000/12*ASSUMPTIONS!$B$92,0),0),0)</f>
        <v>13000</v>
      </c>
      <c r="J35" s="28" t="n">
        <f aca="false">IFERROR(IF(9&gt;=1,ROUND(120000/12*ASSUMPTIONS!$B$92,0),0),0)</f>
        <v>13000</v>
      </c>
      <c r="K35" s="28" t="n">
        <f aca="false">IFERROR(IF(10&gt;=1,ROUND(120000/12*ASSUMPTIONS!$B$92,0),0),0)</f>
        <v>13000</v>
      </c>
      <c r="L35" s="28" t="n">
        <f aca="false">IFERROR(IF(11&gt;=1,ROUND(120000/12*ASSUMPTIONS!$B$92,0),0),0)</f>
        <v>13000</v>
      </c>
      <c r="M35" s="28" t="n">
        <f aca="false">IFERROR(IF(12&gt;=1,ROUND(120000/12*ASSUMPTIONS!$B$92,0),0),0)</f>
        <v>13000</v>
      </c>
      <c r="N35" s="28" t="n">
        <f aca="false">IFERROR(IF(13&gt;=1,ROUND(120000/12*ASSUMPTIONS!$B$92,0),0),0)</f>
        <v>13000</v>
      </c>
      <c r="O35" s="28" t="n">
        <f aca="false">IFERROR(IF(14&gt;=1,ROUND(120000/12*ASSUMPTIONS!$B$92,0),0),0)</f>
        <v>13000</v>
      </c>
      <c r="P35" s="28" t="n">
        <f aca="false">IFERROR(IF(15&gt;=1,ROUND(120000/12*ASSUMPTIONS!$B$92,0),0),0)</f>
        <v>13000</v>
      </c>
      <c r="Q35" s="28" t="n">
        <f aca="false">IFERROR(IF(16&gt;=1,ROUND(120000/12*ASSUMPTIONS!$B$92,0),0),0)</f>
        <v>13000</v>
      </c>
      <c r="R35" s="28" t="n">
        <f aca="false">IFERROR(IF(17&gt;=1,ROUND(120000/12*ASSUMPTIONS!$B$92,0),0),0)</f>
        <v>13000</v>
      </c>
      <c r="S35" s="28" t="n">
        <f aca="false">IFERROR(IF(18&gt;=1,ROUND(120000/12*ASSUMPTIONS!$B$92,0),0),0)</f>
        <v>13000</v>
      </c>
      <c r="T35" s="28" t="n">
        <f aca="false">IFERROR(IF(19&gt;=1,ROUND(120000/12*ASSUMPTIONS!$B$92,0),0),0)</f>
        <v>13000</v>
      </c>
      <c r="U35" s="28" t="n">
        <f aca="false">IFERROR(IF(20&gt;=1,ROUND(120000/12*ASSUMPTIONS!$B$92,0),0),0)</f>
        <v>13000</v>
      </c>
      <c r="V35" s="28" t="n">
        <f aca="false">IFERROR(IF(21&gt;=1,ROUND(120000/12*ASSUMPTIONS!$B$92,0),0),0)</f>
        <v>13000</v>
      </c>
      <c r="W35" s="28" t="n">
        <f aca="false">IFERROR(IF(22&gt;=1,ROUND(120000/12*ASSUMPTIONS!$B$92,0),0),0)</f>
        <v>13000</v>
      </c>
      <c r="X35" s="28" t="n">
        <f aca="false">IFERROR(IF(23&gt;=1,ROUND(120000/12*ASSUMPTIONS!$B$92,0),0),0)</f>
        <v>13000</v>
      </c>
      <c r="Y35" s="28" t="n">
        <f aca="false">IFERROR(IF(24&gt;=1,ROUND(120000/12*ASSUMPTIONS!$B$92,0),0),0)</f>
        <v>13000</v>
      </c>
      <c r="Z35" s="28" t="n">
        <f aca="false">IFERROR(IF(25&gt;=1,ROUND(120000/12*ASSUMPTIONS!$B$92,0),0),0)</f>
        <v>13000</v>
      </c>
      <c r="AA35" s="28" t="n">
        <f aca="false">IFERROR(IF(26&gt;=1,ROUND(120000/12*ASSUMPTIONS!$B$92,0),0),0)</f>
        <v>13000</v>
      </c>
      <c r="AB35" s="28" t="n">
        <f aca="false">IFERROR(IF(27&gt;=1,ROUND(120000/12*ASSUMPTIONS!$B$92,0),0),0)</f>
        <v>13000</v>
      </c>
      <c r="AC35" s="28" t="n">
        <f aca="false">IFERROR(IF(28&gt;=1,ROUND(120000/12*ASSUMPTIONS!$B$92,0),0),0)</f>
        <v>13000</v>
      </c>
      <c r="AD35" s="28" t="n">
        <f aca="false">IFERROR(IF(29&gt;=1,ROUND(120000/12*ASSUMPTIONS!$B$92,0),0),0)</f>
        <v>13000</v>
      </c>
      <c r="AE35" s="28" t="n">
        <f aca="false">IFERROR(IF(30&gt;=1,ROUND(120000/12*ASSUMPTIONS!$B$92,0),0),0)</f>
        <v>13000</v>
      </c>
      <c r="AF35" s="28" t="n">
        <f aca="false">IFERROR(IF(31&gt;=1,ROUND(120000/12*ASSUMPTIONS!$B$92,0),0),0)</f>
        <v>13000</v>
      </c>
      <c r="AG35" s="28" t="n">
        <f aca="false">IFERROR(IF(32&gt;=1,ROUND(120000/12*ASSUMPTIONS!$B$92,0),0),0)</f>
        <v>13000</v>
      </c>
      <c r="AH35" s="28" t="n">
        <f aca="false">IFERROR(IF(33&gt;=1,ROUND(120000/12*ASSUMPTIONS!$B$92,0),0),0)</f>
        <v>13000</v>
      </c>
      <c r="AI35" s="28" t="n">
        <f aca="false">IFERROR(IF(34&gt;=1,ROUND(120000/12*ASSUMPTIONS!$B$92,0),0),0)</f>
        <v>13000</v>
      </c>
      <c r="AJ35" s="28" t="n">
        <f aca="false">IFERROR(IF(35&gt;=1,ROUND(120000/12*ASSUMPTIONS!$B$92,0),0),0)</f>
        <v>13000</v>
      </c>
      <c r="AK35" s="28" t="n">
        <f aca="false">IFERROR(IF(36&gt;=1,ROUND(120000/12*ASSUMPTIONS!$B$92,0),0),0)</f>
        <v>13000</v>
      </c>
    </row>
    <row r="36" customFormat="false" ht="15" hidden="false" customHeight="true" outlineLevel="0" collapsed="false">
      <c r="A36" s="6" t="s">
        <v>128</v>
      </c>
      <c r="B36" s="28" t="n">
        <f aca="false">IFERROR(IF(1&gt;=6,ROUND(90000/12*ASSUMPTIONS!$B$92,0),0),0)</f>
        <v>0</v>
      </c>
      <c r="C36" s="28" t="n">
        <f aca="false">IFERROR(IF(2&gt;=6,ROUND(90000/12*ASSUMPTIONS!$B$92,0),0),0)</f>
        <v>0</v>
      </c>
      <c r="D36" s="28" t="n">
        <f aca="false">IFERROR(IF(3&gt;=6,ROUND(90000/12*ASSUMPTIONS!$B$92,0),0),0)</f>
        <v>0</v>
      </c>
      <c r="E36" s="28" t="n">
        <f aca="false">IFERROR(IF(4&gt;=6,ROUND(90000/12*ASSUMPTIONS!$B$92,0),0),0)</f>
        <v>0</v>
      </c>
      <c r="F36" s="28" t="n">
        <f aca="false">IFERROR(IF(5&gt;=6,ROUND(90000/12*ASSUMPTIONS!$B$92,0),0),0)</f>
        <v>0</v>
      </c>
      <c r="G36" s="28" t="n">
        <f aca="false">IFERROR(IF(6&gt;=6,ROUND(90000/12*ASSUMPTIONS!$B$92,0),0),0)</f>
        <v>9750</v>
      </c>
      <c r="H36" s="28" t="n">
        <f aca="false">IFERROR(IF(7&gt;=6,ROUND(90000/12*ASSUMPTIONS!$B$92,0),0),0)</f>
        <v>9750</v>
      </c>
      <c r="I36" s="28" t="n">
        <f aca="false">IFERROR(IF(8&gt;=6,ROUND(90000/12*ASSUMPTIONS!$B$92,0),0),0)</f>
        <v>9750</v>
      </c>
      <c r="J36" s="28" t="n">
        <f aca="false">IFERROR(IF(9&gt;=6,ROUND(90000/12*ASSUMPTIONS!$B$92,0),0),0)</f>
        <v>9750</v>
      </c>
      <c r="K36" s="28" t="n">
        <f aca="false">IFERROR(IF(10&gt;=6,ROUND(90000/12*ASSUMPTIONS!$B$92,0),0),0)</f>
        <v>9750</v>
      </c>
      <c r="L36" s="28" t="n">
        <f aca="false">IFERROR(IF(11&gt;=6,ROUND(90000/12*ASSUMPTIONS!$B$92,0),0),0)</f>
        <v>9750</v>
      </c>
      <c r="M36" s="28" t="n">
        <f aca="false">IFERROR(IF(12&gt;=6,ROUND(90000/12*ASSUMPTIONS!$B$92,0),0),0)</f>
        <v>9750</v>
      </c>
      <c r="N36" s="28" t="n">
        <f aca="false">IFERROR(IF(13&gt;=6,ROUND(90000/12*ASSUMPTIONS!$B$92,0),0),0)</f>
        <v>9750</v>
      </c>
      <c r="O36" s="28" t="n">
        <f aca="false">IFERROR(IF(14&gt;=6,ROUND(90000/12*ASSUMPTIONS!$B$92,0),0),0)</f>
        <v>9750</v>
      </c>
      <c r="P36" s="28" t="n">
        <f aca="false">IFERROR(IF(15&gt;=6,ROUND(90000/12*ASSUMPTIONS!$B$92,0),0),0)</f>
        <v>9750</v>
      </c>
      <c r="Q36" s="28" t="n">
        <f aca="false">IFERROR(IF(16&gt;=6,ROUND(90000/12*ASSUMPTIONS!$B$92,0),0),0)</f>
        <v>9750</v>
      </c>
      <c r="R36" s="28" t="n">
        <f aca="false">IFERROR(IF(17&gt;=6,ROUND(90000/12*ASSUMPTIONS!$B$92,0),0),0)</f>
        <v>9750</v>
      </c>
      <c r="S36" s="28" t="n">
        <f aca="false">IFERROR(IF(18&gt;=6,ROUND(90000/12*ASSUMPTIONS!$B$92,0),0),0)</f>
        <v>9750</v>
      </c>
      <c r="T36" s="28" t="n">
        <f aca="false">IFERROR(IF(19&gt;=6,ROUND(90000/12*ASSUMPTIONS!$B$92,0),0),0)</f>
        <v>9750</v>
      </c>
      <c r="U36" s="28" t="n">
        <f aca="false">IFERROR(IF(20&gt;=6,ROUND(90000/12*ASSUMPTIONS!$B$92,0),0),0)</f>
        <v>9750</v>
      </c>
      <c r="V36" s="28" t="n">
        <f aca="false">IFERROR(IF(21&gt;=6,ROUND(90000/12*ASSUMPTIONS!$B$92,0),0),0)</f>
        <v>9750</v>
      </c>
      <c r="W36" s="28" t="n">
        <f aca="false">IFERROR(IF(22&gt;=6,ROUND(90000/12*ASSUMPTIONS!$B$92,0),0),0)</f>
        <v>9750</v>
      </c>
      <c r="X36" s="28" t="n">
        <f aca="false">IFERROR(IF(23&gt;=6,ROUND(90000/12*ASSUMPTIONS!$B$92,0),0),0)</f>
        <v>9750</v>
      </c>
      <c r="Y36" s="28" t="n">
        <f aca="false">IFERROR(IF(24&gt;=6,ROUND(90000/12*ASSUMPTIONS!$B$92,0),0),0)</f>
        <v>9750</v>
      </c>
      <c r="Z36" s="28" t="n">
        <f aca="false">IFERROR(IF(25&gt;=6,ROUND(90000/12*ASSUMPTIONS!$B$92,0),0),0)</f>
        <v>9750</v>
      </c>
      <c r="AA36" s="28" t="n">
        <f aca="false">IFERROR(IF(26&gt;=6,ROUND(90000/12*ASSUMPTIONS!$B$92,0),0),0)</f>
        <v>9750</v>
      </c>
      <c r="AB36" s="28" t="n">
        <f aca="false">IFERROR(IF(27&gt;=6,ROUND(90000/12*ASSUMPTIONS!$B$92,0),0),0)</f>
        <v>9750</v>
      </c>
      <c r="AC36" s="28" t="n">
        <f aca="false">IFERROR(IF(28&gt;=6,ROUND(90000/12*ASSUMPTIONS!$B$92,0),0),0)</f>
        <v>9750</v>
      </c>
      <c r="AD36" s="28" t="n">
        <f aca="false">IFERROR(IF(29&gt;=6,ROUND(90000/12*ASSUMPTIONS!$B$92,0),0),0)</f>
        <v>9750</v>
      </c>
      <c r="AE36" s="28" t="n">
        <f aca="false">IFERROR(IF(30&gt;=6,ROUND(90000/12*ASSUMPTIONS!$B$92,0),0),0)</f>
        <v>9750</v>
      </c>
      <c r="AF36" s="28" t="n">
        <f aca="false">IFERROR(IF(31&gt;=6,ROUND(90000/12*ASSUMPTIONS!$B$92,0),0),0)</f>
        <v>9750</v>
      </c>
      <c r="AG36" s="28" t="n">
        <f aca="false">IFERROR(IF(32&gt;=6,ROUND(90000/12*ASSUMPTIONS!$B$92,0),0),0)</f>
        <v>9750</v>
      </c>
      <c r="AH36" s="28" t="n">
        <f aca="false">IFERROR(IF(33&gt;=6,ROUND(90000/12*ASSUMPTIONS!$B$92,0),0),0)</f>
        <v>9750</v>
      </c>
      <c r="AI36" s="28" t="n">
        <f aca="false">IFERROR(IF(34&gt;=6,ROUND(90000/12*ASSUMPTIONS!$B$92,0),0),0)</f>
        <v>9750</v>
      </c>
      <c r="AJ36" s="28" t="n">
        <f aca="false">IFERROR(IF(35&gt;=6,ROUND(90000/12*ASSUMPTIONS!$B$92,0),0),0)</f>
        <v>9750</v>
      </c>
      <c r="AK36" s="28" t="n">
        <f aca="false">IFERROR(IF(36&gt;=6,ROUND(90000/12*ASSUMPTIONS!$B$92,0),0),0)</f>
        <v>9750</v>
      </c>
    </row>
    <row r="37" customFormat="false" ht="15" hidden="false" customHeight="true" outlineLevel="0" collapsed="false">
      <c r="A37" s="29" t="s">
        <v>189</v>
      </c>
      <c r="B37" s="19" t="n">
        <f aca="false">SUM(B35:B36)</f>
        <v>13000</v>
      </c>
      <c r="C37" s="19" t="n">
        <f aca="false">SUM(C35:C36)</f>
        <v>13000</v>
      </c>
      <c r="D37" s="19" t="n">
        <f aca="false">SUM(D35:D36)</f>
        <v>13000</v>
      </c>
      <c r="E37" s="19" t="n">
        <f aca="false">SUM(E35:E36)</f>
        <v>13000</v>
      </c>
      <c r="F37" s="19" t="n">
        <f aca="false">SUM(F35:F36)</f>
        <v>13000</v>
      </c>
      <c r="G37" s="19" t="n">
        <f aca="false">SUM(G35:G36)</f>
        <v>22750</v>
      </c>
      <c r="H37" s="19" t="n">
        <f aca="false">SUM(H35:H36)</f>
        <v>22750</v>
      </c>
      <c r="I37" s="19" t="n">
        <f aca="false">SUM(I35:I36)</f>
        <v>22750</v>
      </c>
      <c r="J37" s="19" t="n">
        <f aca="false">SUM(J35:J36)</f>
        <v>22750</v>
      </c>
      <c r="K37" s="19" t="n">
        <f aca="false">SUM(K35:K36)</f>
        <v>22750</v>
      </c>
      <c r="L37" s="19" t="n">
        <f aca="false">SUM(L35:L36)</f>
        <v>22750</v>
      </c>
      <c r="M37" s="19" t="n">
        <f aca="false">SUM(M35:M36)</f>
        <v>22750</v>
      </c>
      <c r="N37" s="19" t="n">
        <f aca="false">SUM(N35:N36)</f>
        <v>22750</v>
      </c>
      <c r="O37" s="19" t="n">
        <f aca="false">SUM(O35:O36)</f>
        <v>22750</v>
      </c>
      <c r="P37" s="19" t="n">
        <f aca="false">SUM(P35:P36)</f>
        <v>22750</v>
      </c>
      <c r="Q37" s="19" t="n">
        <f aca="false">SUM(Q35:Q36)</f>
        <v>22750</v>
      </c>
      <c r="R37" s="19" t="n">
        <f aca="false">SUM(R35:R36)</f>
        <v>22750</v>
      </c>
      <c r="S37" s="19" t="n">
        <f aca="false">SUM(S35:S36)</f>
        <v>22750</v>
      </c>
      <c r="T37" s="19" t="n">
        <f aca="false">SUM(T35:T36)</f>
        <v>22750</v>
      </c>
      <c r="U37" s="19" t="n">
        <f aca="false">SUM(U35:U36)</f>
        <v>22750</v>
      </c>
      <c r="V37" s="19" t="n">
        <f aca="false">SUM(V35:V36)</f>
        <v>22750</v>
      </c>
      <c r="W37" s="19" t="n">
        <f aca="false">SUM(W35:W36)</f>
        <v>22750</v>
      </c>
      <c r="X37" s="19" t="n">
        <f aca="false">SUM(X35:X36)</f>
        <v>22750</v>
      </c>
      <c r="Y37" s="19" t="n">
        <f aca="false">SUM(Y35:Y36)</f>
        <v>22750</v>
      </c>
      <c r="Z37" s="19" t="n">
        <f aca="false">SUM(Z35:Z36)</f>
        <v>22750</v>
      </c>
      <c r="AA37" s="19" t="n">
        <f aca="false">SUM(AA35:AA36)</f>
        <v>22750</v>
      </c>
      <c r="AB37" s="19" t="n">
        <f aca="false">SUM(AB35:AB36)</f>
        <v>22750</v>
      </c>
      <c r="AC37" s="19" t="n">
        <f aca="false">SUM(AC35:AC36)</f>
        <v>22750</v>
      </c>
      <c r="AD37" s="19" t="n">
        <f aca="false">SUM(AD35:AD36)</f>
        <v>22750</v>
      </c>
      <c r="AE37" s="19" t="n">
        <f aca="false">SUM(AE35:AE36)</f>
        <v>22750</v>
      </c>
      <c r="AF37" s="19" t="n">
        <f aca="false">SUM(AF35:AF36)</f>
        <v>22750</v>
      </c>
      <c r="AG37" s="19" t="n">
        <f aca="false">SUM(AG35:AG36)</f>
        <v>22750</v>
      </c>
      <c r="AH37" s="19" t="n">
        <f aca="false">SUM(AH35:AH36)</f>
        <v>22750</v>
      </c>
      <c r="AI37" s="19" t="n">
        <f aca="false">SUM(AI35:AI36)</f>
        <v>22750</v>
      </c>
      <c r="AJ37" s="19" t="n">
        <f aca="false">SUM(AJ35:AJ36)</f>
        <v>22750</v>
      </c>
      <c r="AK37" s="19" t="n">
        <f aca="false">SUM(AK35:AK36)</f>
        <v>22750</v>
      </c>
    </row>
    <row r="39" customFormat="false" ht="15" hidden="false" customHeight="true" outlineLevel="0" collapsed="false">
      <c r="A39" s="25" t="s">
        <v>190</v>
      </c>
      <c r="B39" s="26" t="n">
        <f aca="false">B14+B19+B25+B29+B33+B37</f>
        <v>53083</v>
      </c>
      <c r="C39" s="26" t="n">
        <f aca="false">C14+C19+C25+C29+C33+C37</f>
        <v>53083</v>
      </c>
      <c r="D39" s="26" t="n">
        <f aca="false">D14+D19+D25+D29+D33+D37</f>
        <v>90458</v>
      </c>
      <c r="E39" s="26" t="n">
        <f aca="false">E14+E19+E25+E29+E33+E37</f>
        <v>118625</v>
      </c>
      <c r="F39" s="26" t="n">
        <f aca="false">F14+F19+F25+F29+F33+F37</f>
        <v>118625</v>
      </c>
      <c r="G39" s="26" t="n">
        <f aca="false">G14+G19+G25+G29+G33+G37</f>
        <v>167917</v>
      </c>
      <c r="H39" s="26" t="n">
        <f aca="false">H14+H19+H25+H29+H33+H37</f>
        <v>167917</v>
      </c>
      <c r="I39" s="26" t="n">
        <f aca="false">I14+I19+I25+I29+I33+I37</f>
        <v>183625</v>
      </c>
      <c r="J39" s="26" t="n">
        <f aca="false">J14+J19+J25+J29+J33+J37</f>
        <v>196625</v>
      </c>
      <c r="K39" s="26" t="n">
        <f aca="false">K14+K19+K25+K29+K33+K37</f>
        <v>196625</v>
      </c>
      <c r="L39" s="26" t="n">
        <f aca="false">L14+L19+L25+L29+L33+L37</f>
        <v>196625</v>
      </c>
      <c r="M39" s="26" t="n">
        <f aca="false">M14+M19+M25+M29+M33+M37</f>
        <v>209625</v>
      </c>
      <c r="N39" s="26" t="n">
        <f aca="false">N14+N19+N25+N29+N33+N37</f>
        <v>209625</v>
      </c>
      <c r="O39" s="26" t="n">
        <f aca="false">O14+O19+O25+O29+O33+O37</f>
        <v>209625</v>
      </c>
      <c r="P39" s="26" t="n">
        <f aca="false">P14+P19+P25+P29+P33+P37</f>
        <v>209625</v>
      </c>
      <c r="Q39" s="26" t="n">
        <f aca="false">Q14+Q19+Q25+Q29+Q33+Q37</f>
        <v>209625</v>
      </c>
      <c r="R39" s="26" t="n">
        <f aca="false">R14+R19+R25+R29+R33+R37</f>
        <v>209625</v>
      </c>
      <c r="S39" s="26" t="n">
        <f aca="false">S14+S19+S25+S29+S33+S37</f>
        <v>209625</v>
      </c>
      <c r="T39" s="26" t="n">
        <f aca="false">T14+T19+T25+T29+T33+T37</f>
        <v>209625</v>
      </c>
      <c r="U39" s="26" t="n">
        <f aca="false">U14+U19+U25+U29+U33+U37</f>
        <v>209625</v>
      </c>
      <c r="V39" s="26" t="n">
        <f aca="false">V14+V19+V25+V29+V33+V37</f>
        <v>209625</v>
      </c>
      <c r="W39" s="26" t="n">
        <f aca="false">W14+W19+W25+W29+W33+W37</f>
        <v>209625</v>
      </c>
      <c r="X39" s="26" t="n">
        <f aca="false">X14+X19+X25+X29+X33+X37</f>
        <v>209625</v>
      </c>
      <c r="Y39" s="26" t="n">
        <f aca="false">Y14+Y19+Y25+Y29+Y33+Y37</f>
        <v>209625</v>
      </c>
      <c r="Z39" s="26" t="n">
        <f aca="false">Z14+Z19+Z25+Z29+Z33+Z37</f>
        <v>209625</v>
      </c>
      <c r="AA39" s="26" t="n">
        <f aca="false">AA14+AA19+AA25+AA29+AA33+AA37</f>
        <v>209625</v>
      </c>
      <c r="AB39" s="26" t="n">
        <f aca="false">AB14+AB19+AB25+AB29+AB33+AB37</f>
        <v>209625</v>
      </c>
      <c r="AC39" s="26" t="n">
        <f aca="false">AC14+AC19+AC25+AC29+AC33+AC37</f>
        <v>209625</v>
      </c>
      <c r="AD39" s="26" t="n">
        <f aca="false">AD14+AD19+AD25+AD29+AD33+AD37</f>
        <v>209625</v>
      </c>
      <c r="AE39" s="26" t="n">
        <f aca="false">AE14+AE19+AE25+AE29+AE33+AE37</f>
        <v>209625</v>
      </c>
      <c r="AF39" s="26" t="n">
        <f aca="false">AF14+AF19+AF25+AF29+AF33+AF37</f>
        <v>209625</v>
      </c>
      <c r="AG39" s="26" t="n">
        <f aca="false">AG14+AG19+AG25+AG29+AG33+AG37</f>
        <v>209625</v>
      </c>
      <c r="AH39" s="26" t="n">
        <f aca="false">AH14+AH19+AH25+AH29+AH33+AH37</f>
        <v>209625</v>
      </c>
      <c r="AI39" s="26" t="n">
        <f aca="false">AI14+AI19+AI25+AI29+AI33+AI37</f>
        <v>209625</v>
      </c>
      <c r="AJ39" s="26" t="n">
        <f aca="false">AJ14+AJ19+AJ25+AJ29+AJ33+AJ37</f>
        <v>209625</v>
      </c>
      <c r="AK39" s="26" t="n">
        <f aca="false">AK14+AK19+AK25+AK29+AK33+AK37</f>
        <v>209625</v>
      </c>
      <c r="AL39" s="27"/>
      <c r="AM39" s="27"/>
      <c r="AN39" s="27"/>
      <c r="AO39" s="27"/>
      <c r="AP39" s="27"/>
      <c r="AQ39" s="27"/>
      <c r="AR39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R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2" min="2" style="1" width="13"/>
  </cols>
  <sheetData>
    <row r="1" customFormat="false" ht="17.25" hidden="false" customHeight="true" outlineLevel="0" collapsed="false">
      <c r="A1" s="2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8" t="s">
        <v>192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4" customFormat="false" ht="15" hidden="false" customHeight="true" outlineLevel="0" collapsed="false">
      <c r="B4" s="22" t="s">
        <v>144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2" t="s">
        <v>145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2" t="s">
        <v>146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18"/>
      <c r="AM4" s="18"/>
      <c r="AN4" s="18"/>
    </row>
    <row r="5" customFormat="false" ht="15" hidden="false" customHeight="true" outlineLevel="0" collapsed="false">
      <c r="B5" s="22" t="s">
        <v>147</v>
      </c>
      <c r="C5" s="22" t="s">
        <v>148</v>
      </c>
      <c r="D5" s="22" t="s">
        <v>149</v>
      </c>
      <c r="E5" s="22" t="s">
        <v>150</v>
      </c>
      <c r="F5" s="22" t="s">
        <v>151</v>
      </c>
      <c r="G5" s="22" t="s">
        <v>152</v>
      </c>
      <c r="H5" s="22" t="s">
        <v>153</v>
      </c>
      <c r="I5" s="22" t="s">
        <v>154</v>
      </c>
      <c r="J5" s="22" t="s">
        <v>155</v>
      </c>
      <c r="K5" s="22" t="s">
        <v>156</v>
      </c>
      <c r="L5" s="22" t="s">
        <v>157</v>
      </c>
      <c r="M5" s="22" t="s">
        <v>158</v>
      </c>
      <c r="N5" s="22" t="s">
        <v>147</v>
      </c>
      <c r="O5" s="22" t="s">
        <v>148</v>
      </c>
      <c r="P5" s="22" t="s">
        <v>149</v>
      </c>
      <c r="Q5" s="22" t="s">
        <v>150</v>
      </c>
      <c r="R5" s="22" t="s">
        <v>151</v>
      </c>
      <c r="S5" s="22" t="s">
        <v>152</v>
      </c>
      <c r="T5" s="22" t="s">
        <v>153</v>
      </c>
      <c r="U5" s="22" t="s">
        <v>154</v>
      </c>
      <c r="V5" s="22" t="s">
        <v>155</v>
      </c>
      <c r="W5" s="22" t="s">
        <v>156</v>
      </c>
      <c r="X5" s="22" t="s">
        <v>157</v>
      </c>
      <c r="Y5" s="22" t="s">
        <v>158</v>
      </c>
      <c r="Z5" s="22" t="s">
        <v>147</v>
      </c>
      <c r="AA5" s="22" t="s">
        <v>148</v>
      </c>
      <c r="AB5" s="22" t="s">
        <v>149</v>
      </c>
      <c r="AC5" s="22" t="s">
        <v>150</v>
      </c>
      <c r="AD5" s="22" t="s">
        <v>151</v>
      </c>
      <c r="AE5" s="22" t="s">
        <v>152</v>
      </c>
      <c r="AF5" s="22" t="s">
        <v>153</v>
      </c>
      <c r="AG5" s="22" t="s">
        <v>154</v>
      </c>
      <c r="AH5" s="22" t="s">
        <v>155</v>
      </c>
      <c r="AI5" s="22" t="s">
        <v>156</v>
      </c>
      <c r="AJ5" s="22" t="s">
        <v>157</v>
      </c>
      <c r="AK5" s="22" t="s">
        <v>158</v>
      </c>
      <c r="AL5" s="23" t="s">
        <v>159</v>
      </c>
      <c r="AM5" s="23" t="s">
        <v>160</v>
      </c>
      <c r="AN5" s="23" t="s">
        <v>161</v>
      </c>
    </row>
    <row r="6" customFormat="false" ht="15" hidden="false" customHeight="true" outlineLevel="0" collapsed="false">
      <c r="A6" s="10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8" customFormat="false" ht="15" hidden="false" customHeight="true" outlineLevel="0" collapsed="false">
      <c r="A8" s="11" t="s">
        <v>193</v>
      </c>
      <c r="B8" s="28" t="n">
        <f aca="false">IFERROR(REVENUE!B19,0)</f>
        <v>5995</v>
      </c>
      <c r="C8" s="28" t="n">
        <f aca="false">IFERROR(REVENUE!C19,0)</f>
        <v>7500</v>
      </c>
      <c r="D8" s="28" t="n">
        <f aca="false">IFERROR(REVENUE!D19,0)</f>
        <v>9005</v>
      </c>
      <c r="E8" s="28" t="n">
        <f aca="false">IFERROR(REVENUE!E19,0)</f>
        <v>10510</v>
      </c>
      <c r="F8" s="28" t="n">
        <f aca="false">IFERROR(REVENUE!F19,0)</f>
        <v>12105</v>
      </c>
      <c r="G8" s="28" t="n">
        <f aca="false">IFERROR(REVENUE!G19,0)</f>
        <v>13790</v>
      </c>
      <c r="H8" s="28" t="n">
        <f aca="false">IFERROR(REVENUE!H19,0)</f>
        <v>15516</v>
      </c>
      <c r="I8" s="28" t="n">
        <f aca="false">IFERROR(REVENUE!I19,0)</f>
        <v>17422</v>
      </c>
      <c r="J8" s="28" t="n">
        <f aca="false">IFERROR(REVENUE!J19,0)</f>
        <v>19418</v>
      </c>
      <c r="K8" s="28" t="n">
        <f aca="false">IFERROR(REVENUE!K19,0)</f>
        <v>21504</v>
      </c>
      <c r="L8" s="28" t="n">
        <f aca="false">IFERROR(REVENUE!L19,0)</f>
        <v>23680</v>
      </c>
      <c r="M8" s="28" t="n">
        <f aca="false">IFERROR(REVENUE!M19,0)</f>
        <v>25946</v>
      </c>
      <c r="N8" s="28" t="n">
        <f aca="false">IFERROR(REVENUE!N19,0)</f>
        <v>28392</v>
      </c>
      <c r="O8" s="28" t="n">
        <f aca="false">IFERROR(REVENUE!O19,0)</f>
        <v>31018</v>
      </c>
      <c r="P8" s="28" t="n">
        <f aca="false">IFERROR(REVENUE!P19,0)</f>
        <v>33734</v>
      </c>
      <c r="Q8" s="28" t="n">
        <f aca="false">IFERROR(REVENUE!Q19,0)</f>
        <v>36581</v>
      </c>
      <c r="R8" s="28" t="n">
        <f aca="false">IFERROR(REVENUE!R19,0)</f>
        <v>39698</v>
      </c>
      <c r="S8" s="28" t="n">
        <f aca="false">IFERROR(REVENUE!S19,0)</f>
        <v>42995</v>
      </c>
      <c r="T8" s="28" t="n">
        <f aca="false">IFERROR(REVENUE!T19,0)</f>
        <v>46562</v>
      </c>
      <c r="U8" s="28" t="n">
        <f aca="false">IFERROR(REVENUE!U19,0)</f>
        <v>50399</v>
      </c>
      <c r="V8" s="28" t="n">
        <f aca="false">IFERROR(REVENUE!V19,0)</f>
        <v>54506</v>
      </c>
      <c r="W8" s="28" t="n">
        <f aca="false">IFERROR(REVENUE!W19,0)</f>
        <v>58883</v>
      </c>
      <c r="X8" s="28" t="n">
        <f aca="false">IFERROR(REVENUE!X19,0)</f>
        <v>63620</v>
      </c>
      <c r="Y8" s="28" t="n">
        <f aca="false">IFERROR(REVENUE!Y19,0)</f>
        <v>68717</v>
      </c>
      <c r="Z8" s="28" t="n">
        <f aca="false">IFERROR(REVENUE!Z19,0)</f>
        <v>74174</v>
      </c>
      <c r="AA8" s="28" t="n">
        <f aca="false">IFERROR(REVENUE!AA19,0)</f>
        <v>80081</v>
      </c>
      <c r="AB8" s="28" t="n">
        <f aca="false">IFERROR(REVENUE!AB19,0)</f>
        <v>86389</v>
      </c>
      <c r="AC8" s="28" t="n">
        <f aca="false">IFERROR(REVENUE!AC19,0)</f>
        <v>93147</v>
      </c>
      <c r="AD8" s="28" t="n">
        <f aca="false">IFERROR(REVENUE!AD19,0)</f>
        <v>100355</v>
      </c>
      <c r="AE8" s="28" t="n">
        <f aca="false">IFERROR(REVENUE!AE19,0)</f>
        <v>108193</v>
      </c>
      <c r="AF8" s="28" t="n">
        <f aca="false">IFERROR(REVENUE!AF19,0)</f>
        <v>116661</v>
      </c>
      <c r="AG8" s="28" t="n">
        <f aca="false">IFERROR(REVENUE!AG19,0)</f>
        <v>125849</v>
      </c>
      <c r="AH8" s="28" t="n">
        <f aca="false">IFERROR(REVENUE!AH19,0)</f>
        <v>135667</v>
      </c>
      <c r="AI8" s="28" t="n">
        <f aca="false">IFERROR(REVENUE!AI19,0)</f>
        <v>146205</v>
      </c>
      <c r="AJ8" s="28" t="n">
        <f aca="false">IFERROR(REVENUE!AJ19,0)</f>
        <v>157553</v>
      </c>
      <c r="AK8" s="28" t="n">
        <f aca="false">IFERROR(REVENUE!AK19,0)</f>
        <v>169891</v>
      </c>
    </row>
    <row r="9" customFormat="false" ht="15" hidden="false" customHeight="true" outlineLevel="0" collapsed="false">
      <c r="A9" s="13" t="s">
        <v>194</v>
      </c>
      <c r="B9" s="28" t="n">
        <f aca="false">IFERROR(REVENUE!B25,0)</f>
        <v>2838</v>
      </c>
      <c r="C9" s="28" t="n">
        <f aca="false">IFERROR(REVENUE!C25,0)</f>
        <v>3870</v>
      </c>
      <c r="D9" s="28" t="n">
        <f aca="false">IFERROR(REVENUE!D25,0)</f>
        <v>5031</v>
      </c>
      <c r="E9" s="28" t="n">
        <f aca="false">IFERROR(REVENUE!E25,0)</f>
        <v>6321</v>
      </c>
      <c r="F9" s="28" t="n">
        <f aca="false">IFERROR(REVENUE!F25,0)</f>
        <v>7611</v>
      </c>
      <c r="G9" s="28" t="n">
        <f aca="false">IFERROR(REVENUE!G25,0)</f>
        <v>9030</v>
      </c>
      <c r="H9" s="28" t="n">
        <f aca="false">IFERROR(REVENUE!H25,0)</f>
        <v>10578</v>
      </c>
      <c r="I9" s="28" t="n">
        <f aca="false">IFERROR(REVENUE!I25,0)</f>
        <v>12126</v>
      </c>
      <c r="J9" s="28" t="n">
        <f aca="false">IFERROR(REVENUE!J25,0)</f>
        <v>13803</v>
      </c>
      <c r="K9" s="28" t="n">
        <f aca="false">IFERROR(REVENUE!K25,0)</f>
        <v>15480</v>
      </c>
      <c r="L9" s="28" t="n">
        <f aca="false">IFERROR(REVENUE!L25,0)</f>
        <v>17286</v>
      </c>
      <c r="M9" s="28" t="n">
        <f aca="false">IFERROR(REVENUE!M25,0)</f>
        <v>19092</v>
      </c>
      <c r="N9" s="28" t="n">
        <f aca="false">IFERROR(REVENUE!N25,0)</f>
        <v>21156</v>
      </c>
      <c r="O9" s="28" t="n">
        <f aca="false">IFERROR(REVENUE!O25,0)</f>
        <v>23349</v>
      </c>
      <c r="P9" s="28" t="n">
        <f aca="false">IFERROR(REVENUE!P25,0)</f>
        <v>25800</v>
      </c>
      <c r="Q9" s="28" t="n">
        <f aca="false">IFERROR(REVENUE!Q25,0)</f>
        <v>28380</v>
      </c>
      <c r="R9" s="28" t="n">
        <f aca="false">IFERROR(REVENUE!R25,0)</f>
        <v>31089</v>
      </c>
      <c r="S9" s="28" t="n">
        <f aca="false">IFERROR(REVENUE!S25,0)</f>
        <v>34056</v>
      </c>
      <c r="T9" s="28" t="n">
        <f aca="false">IFERROR(REVENUE!T25,0)</f>
        <v>37152</v>
      </c>
      <c r="U9" s="28" t="n">
        <f aca="false">IFERROR(REVENUE!U25,0)</f>
        <v>40506</v>
      </c>
      <c r="V9" s="28" t="n">
        <f aca="false">IFERROR(REVENUE!V25,0)</f>
        <v>44118</v>
      </c>
      <c r="W9" s="28" t="n">
        <f aca="false">IFERROR(REVENUE!W25,0)</f>
        <v>47988</v>
      </c>
      <c r="X9" s="28" t="n">
        <f aca="false">IFERROR(REVENUE!X25,0)</f>
        <v>52116</v>
      </c>
      <c r="Y9" s="28" t="n">
        <f aca="false">IFERROR(REVENUE!Y25,0)</f>
        <v>56631</v>
      </c>
      <c r="Z9" s="28" t="n">
        <f aca="false">IFERROR(REVENUE!Z25,0)</f>
        <v>61533</v>
      </c>
      <c r="AA9" s="28" t="n">
        <f aca="false">IFERROR(REVENUE!AA25,0)</f>
        <v>66693</v>
      </c>
      <c r="AB9" s="28" t="n">
        <f aca="false">IFERROR(REVENUE!AB25,0)</f>
        <v>72369</v>
      </c>
      <c r="AC9" s="28" t="n">
        <f aca="false">IFERROR(REVENUE!AC25,0)</f>
        <v>78432</v>
      </c>
      <c r="AD9" s="28" t="n">
        <f aca="false">IFERROR(REVENUE!AD25,0)</f>
        <v>85011</v>
      </c>
      <c r="AE9" s="28" t="n">
        <f aca="false">IFERROR(REVENUE!AE25,0)</f>
        <v>92106</v>
      </c>
      <c r="AF9" s="28" t="n">
        <f aca="false">IFERROR(REVENUE!AF25,0)</f>
        <v>99717</v>
      </c>
      <c r="AG9" s="28" t="n">
        <f aca="false">IFERROR(REVENUE!AG25,0)</f>
        <v>107973</v>
      </c>
      <c r="AH9" s="28" t="n">
        <f aca="false">IFERROR(REVENUE!AH25,0)</f>
        <v>116874</v>
      </c>
      <c r="AI9" s="28" t="n">
        <f aca="false">IFERROR(REVENUE!AI25,0)</f>
        <v>126420</v>
      </c>
      <c r="AJ9" s="28" t="n">
        <f aca="false">IFERROR(REVENUE!AJ25,0)</f>
        <v>136740</v>
      </c>
      <c r="AK9" s="28" t="n">
        <f aca="false">IFERROR(REVENUE!AK25,0)</f>
        <v>147834</v>
      </c>
    </row>
    <row r="10" customFormat="false" ht="15" hidden="false" customHeight="true" outlineLevel="0" collapsed="false">
      <c r="A10" s="25" t="s">
        <v>180</v>
      </c>
      <c r="B10" s="26" t="n">
        <f aca="false">B8+B9</f>
        <v>8833</v>
      </c>
      <c r="C10" s="26" t="n">
        <f aca="false">C8+C9</f>
        <v>11370</v>
      </c>
      <c r="D10" s="26" t="n">
        <f aca="false">D8+D9</f>
        <v>14036</v>
      </c>
      <c r="E10" s="26" t="n">
        <f aca="false">E8+E9</f>
        <v>16831</v>
      </c>
      <c r="F10" s="26" t="n">
        <f aca="false">F8+F9</f>
        <v>19716</v>
      </c>
      <c r="G10" s="26" t="n">
        <f aca="false">G8+G9</f>
        <v>22820</v>
      </c>
      <c r="H10" s="26" t="n">
        <f aca="false">H8+H9</f>
        <v>26094</v>
      </c>
      <c r="I10" s="26" t="n">
        <f aca="false">I8+I9</f>
        <v>29548</v>
      </c>
      <c r="J10" s="26" t="n">
        <f aca="false">J8+J9</f>
        <v>33221</v>
      </c>
      <c r="K10" s="26" t="n">
        <f aca="false">K8+K9</f>
        <v>36984</v>
      </c>
      <c r="L10" s="26" t="n">
        <f aca="false">L8+L9</f>
        <v>40966</v>
      </c>
      <c r="M10" s="26" t="n">
        <f aca="false">M8+M9</f>
        <v>45038</v>
      </c>
      <c r="N10" s="26" t="n">
        <f aca="false">N8+N9</f>
        <v>49548</v>
      </c>
      <c r="O10" s="26" t="n">
        <f aca="false">O8+O9</f>
        <v>54367</v>
      </c>
      <c r="P10" s="26" t="n">
        <f aca="false">P8+P9</f>
        <v>59534</v>
      </c>
      <c r="Q10" s="26" t="n">
        <f aca="false">Q8+Q9</f>
        <v>64961</v>
      </c>
      <c r="R10" s="26" t="n">
        <f aca="false">R8+R9</f>
        <v>70787</v>
      </c>
      <c r="S10" s="26" t="n">
        <f aca="false">S8+S9</f>
        <v>77051</v>
      </c>
      <c r="T10" s="26" t="n">
        <f aca="false">T8+T9</f>
        <v>83714</v>
      </c>
      <c r="U10" s="26" t="n">
        <f aca="false">U8+U9</f>
        <v>90905</v>
      </c>
      <c r="V10" s="26" t="n">
        <f aca="false">V8+V9</f>
        <v>98624</v>
      </c>
      <c r="W10" s="26" t="n">
        <f aca="false">W8+W9</f>
        <v>106871</v>
      </c>
      <c r="X10" s="26" t="n">
        <f aca="false">X8+X9</f>
        <v>115736</v>
      </c>
      <c r="Y10" s="26" t="n">
        <f aca="false">Y8+Y9</f>
        <v>125348</v>
      </c>
      <c r="Z10" s="26" t="n">
        <f aca="false">Z8+Z9</f>
        <v>135707</v>
      </c>
      <c r="AA10" s="26" t="n">
        <f aca="false">AA8+AA9</f>
        <v>146774</v>
      </c>
      <c r="AB10" s="26" t="n">
        <f aca="false">AB8+AB9</f>
        <v>158758</v>
      </c>
      <c r="AC10" s="26" t="n">
        <f aca="false">AC8+AC9</f>
        <v>171579</v>
      </c>
      <c r="AD10" s="26" t="n">
        <f aca="false">AD8+AD9</f>
        <v>185366</v>
      </c>
      <c r="AE10" s="26" t="n">
        <f aca="false">AE8+AE9</f>
        <v>200299</v>
      </c>
      <c r="AF10" s="26" t="n">
        <f aca="false">AF8+AF9</f>
        <v>216378</v>
      </c>
      <c r="AG10" s="26" t="n">
        <f aca="false">AG8+AG9</f>
        <v>233822</v>
      </c>
      <c r="AH10" s="26" t="n">
        <f aca="false">AH8+AH9</f>
        <v>252541</v>
      </c>
      <c r="AI10" s="26" t="n">
        <f aca="false">AI8+AI9</f>
        <v>272625</v>
      </c>
      <c r="AJ10" s="26" t="n">
        <f aca="false">AJ8+AJ9</f>
        <v>294293</v>
      </c>
      <c r="AK10" s="26" t="n">
        <f aca="false">AK8+AK9</f>
        <v>317725</v>
      </c>
      <c r="AL10" s="27"/>
      <c r="AM10" s="27"/>
      <c r="AN10" s="27"/>
      <c r="AO10" s="27"/>
      <c r="AP10" s="27"/>
      <c r="AQ10" s="27"/>
      <c r="AR10" s="27"/>
    </row>
    <row r="12" customFormat="false" ht="15" hidden="false" customHeight="true" outlineLevel="0" collapsed="false">
      <c r="A12" s="10" t="s">
        <v>195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customFormat="false" ht="15" hidden="false" customHeight="true" outlineLevel="0" collapsed="false">
      <c r="A13" s="11" t="s">
        <v>196</v>
      </c>
      <c r="B13" s="19" t="n">
        <f aca="false">IFERROR((REVENUE!B9+REVENUE!B24)*(ASSUMPTIONS!$B$60+ASSUMPTIONS!$B$62)+B10*ASSUMPTIONS!$B$61,0)</f>
        <v>745.825</v>
      </c>
      <c r="C13" s="19" t="n">
        <f aca="false">IFERROR((REVENUE!C9+REVENUE!C24)*(ASSUMPTIONS!$B$60+ASSUMPTIONS!$B$62)+C10*ASSUMPTIONS!$B$61,0)</f>
        <v>963.25</v>
      </c>
      <c r="D13" s="19" t="n">
        <f aca="false">IFERROR((REVENUE!D9+REVENUE!D24)*(ASSUMPTIONS!$B$60+ASSUMPTIONS!$B$62)+D10*ASSUMPTIONS!$B$61,0)</f>
        <v>1190.9</v>
      </c>
      <c r="E13" s="19" t="n">
        <f aca="false">IFERROR((REVENUE!E9+REVENUE!E24)*(ASSUMPTIONS!$B$60+ASSUMPTIONS!$B$62)+E10*ASSUMPTIONS!$B$61,0)</f>
        <v>1428.775</v>
      </c>
      <c r="F13" s="19" t="n">
        <f aca="false">IFERROR((REVENUE!F9+REVENUE!F24)*(ASSUMPTIONS!$B$60+ASSUMPTIONS!$B$62)+F10*ASSUMPTIONS!$B$61,0)</f>
        <v>1675.9</v>
      </c>
      <c r="G13" s="19" t="n">
        <f aca="false">IFERROR((REVENUE!G9+REVENUE!G24)*(ASSUMPTIONS!$B$60+ASSUMPTIONS!$B$62)+G10*ASSUMPTIONS!$B$61,0)</f>
        <v>1942.5</v>
      </c>
      <c r="H13" s="19" t="n">
        <f aca="false">IFERROR((REVENUE!H9+REVENUE!H24)*(ASSUMPTIONS!$B$60+ASSUMPTIONS!$B$62)+H10*ASSUMPTIONS!$B$61,0)</f>
        <v>2227.35</v>
      </c>
      <c r="I13" s="19" t="n">
        <f aca="false">IFERROR((REVENUE!I9+REVENUE!I24)*(ASSUMPTIONS!$B$60+ASSUMPTIONS!$B$62)+I10*ASSUMPTIONS!$B$61,0)</f>
        <v>2530.7</v>
      </c>
      <c r="J13" s="19" t="n">
        <f aca="false">IFERROR((REVENUE!J9+REVENUE!J24)*(ASSUMPTIONS!$B$60+ASSUMPTIONS!$B$62)+J10*ASSUMPTIONS!$B$61,0)</f>
        <v>2853.525</v>
      </c>
      <c r="K13" s="19" t="n">
        <f aca="false">IFERROR((REVENUE!K9+REVENUE!K24)*(ASSUMPTIONS!$B$60+ASSUMPTIONS!$B$62)+K10*ASSUMPTIONS!$B$61,0)</f>
        <v>3185.6</v>
      </c>
      <c r="L13" s="19" t="n">
        <f aca="false">IFERROR((REVENUE!L9+REVENUE!L24)*(ASSUMPTIONS!$B$60+ASSUMPTIONS!$B$62)+L10*ASSUMPTIONS!$B$61,0)</f>
        <v>3537.15</v>
      </c>
      <c r="M13" s="19" t="n">
        <f aca="false">IFERROR((REVENUE!M9+REVENUE!M24)*(ASSUMPTIONS!$B$60+ASSUMPTIONS!$B$62)+M10*ASSUMPTIONS!$B$61,0)</f>
        <v>3897.95</v>
      </c>
      <c r="N13" s="19" t="n">
        <f aca="false">IFERROR((REVENUE!N9+REVENUE!N24)*(ASSUMPTIONS!$B$60+ASSUMPTIONS!$B$62)+N10*ASSUMPTIONS!$B$61,0)</f>
        <v>4297.7</v>
      </c>
      <c r="O13" s="19" t="n">
        <f aca="false">IFERROR((REVENUE!O9+REVENUE!O24)*(ASSUMPTIONS!$B$60+ASSUMPTIONS!$B$62)+O10*ASSUMPTIONS!$B$61,0)</f>
        <v>4726.175</v>
      </c>
      <c r="P13" s="19" t="n">
        <f aca="false">IFERROR((REVENUE!P9+REVENUE!P24)*(ASSUMPTIONS!$B$60+ASSUMPTIONS!$B$62)+P10*ASSUMPTIONS!$B$61,0)</f>
        <v>5184.35</v>
      </c>
      <c r="Q13" s="19" t="n">
        <f aca="false">IFERROR((REVENUE!Q9+REVENUE!Q24)*(ASSUMPTIONS!$B$60+ASSUMPTIONS!$B$62)+Q10*ASSUMPTIONS!$B$61,0)</f>
        <v>5670.025</v>
      </c>
      <c r="R13" s="19" t="n">
        <f aca="false">IFERROR((REVENUE!R9+REVENUE!R24)*(ASSUMPTIONS!$B$60+ASSUMPTIONS!$B$62)+R10*ASSUMPTIONS!$B$61,0)</f>
        <v>6193.675</v>
      </c>
      <c r="S13" s="19" t="n">
        <f aca="false">IFERROR((REVENUE!S9+REVENUE!S24)*(ASSUMPTIONS!$B$60+ASSUMPTIONS!$B$62)+S10*ASSUMPTIONS!$B$61,0)</f>
        <v>6756.275</v>
      </c>
      <c r="T13" s="19" t="n">
        <f aca="false">IFERROR((REVENUE!T9+REVENUE!T24)*(ASSUMPTIONS!$B$60+ASSUMPTIONS!$B$62)+T10*ASSUMPTIONS!$B$61,0)</f>
        <v>7356.85</v>
      </c>
      <c r="U13" s="19" t="n">
        <f aca="false">IFERROR((REVENUE!U9+REVENUE!U24)*(ASSUMPTIONS!$B$60+ASSUMPTIONS!$B$62)+U10*ASSUMPTIONS!$B$61,0)</f>
        <v>8005.625</v>
      </c>
      <c r="V13" s="19" t="n">
        <f aca="false">IFERROR((REVENUE!V9+REVENUE!V24)*(ASSUMPTIONS!$B$60+ASSUMPTIONS!$B$62)+V10*ASSUMPTIONS!$B$61,0)</f>
        <v>8702.6</v>
      </c>
      <c r="W13" s="19" t="n">
        <f aca="false">IFERROR((REVENUE!W9+REVENUE!W24)*(ASSUMPTIONS!$B$60+ASSUMPTIONS!$B$62)+W10*ASSUMPTIONS!$B$61,0)</f>
        <v>9447.775</v>
      </c>
      <c r="X13" s="19" t="n">
        <f aca="false">IFERROR((REVENUE!X9+REVENUE!X24)*(ASSUMPTIONS!$B$60+ASSUMPTIONS!$B$62)+X10*ASSUMPTIONS!$B$61,0)</f>
        <v>10250.4</v>
      </c>
      <c r="Y13" s="19" t="n">
        <f aca="false">IFERROR((REVENUE!Y9+REVENUE!Y24)*(ASSUMPTIONS!$B$60+ASSUMPTIONS!$B$62)+Y10*ASSUMPTIONS!$B$61,0)</f>
        <v>11120.7</v>
      </c>
      <c r="Z13" s="19" t="n">
        <f aca="false">IFERROR((REVENUE!Z9+REVENUE!Z24)*(ASSUMPTIONS!$B$60+ASSUMPTIONS!$B$62)+Z10*ASSUMPTIONS!$B$61,0)</f>
        <v>12058.675</v>
      </c>
      <c r="AA13" s="19" t="n">
        <f aca="false">IFERROR((REVENUE!AA9+REVENUE!AA24)*(ASSUMPTIONS!$B$60+ASSUMPTIONS!$B$62)+AA10*ASSUMPTIONS!$B$61,0)</f>
        <v>13063.35</v>
      </c>
      <c r="AB13" s="19" t="n">
        <f aca="false">IFERROR((REVENUE!AB9+REVENUE!AB24)*(ASSUMPTIONS!$B$60+ASSUMPTIONS!$B$62)+AB10*ASSUMPTIONS!$B$61,0)</f>
        <v>14153.95</v>
      </c>
      <c r="AC13" s="19" t="n">
        <f aca="false">IFERROR((REVENUE!AC9+REVENUE!AC24)*(ASSUMPTIONS!$B$60+ASSUMPTIONS!$B$62)+AC10*ASSUMPTIONS!$B$61,0)</f>
        <v>15321.475</v>
      </c>
      <c r="AD13" s="19" t="n">
        <f aca="false">IFERROR((REVENUE!AD9+REVENUE!AD24)*(ASSUMPTIONS!$B$60+ASSUMPTIONS!$B$62)+AD10*ASSUMPTIONS!$B$61,0)</f>
        <v>16576.15</v>
      </c>
      <c r="AE13" s="19" t="n">
        <f aca="false">IFERROR((REVENUE!AE9+REVENUE!AE24)*(ASSUMPTIONS!$B$60+ASSUMPTIONS!$B$62)+AE10*ASSUMPTIONS!$B$61,0)</f>
        <v>17936.475</v>
      </c>
      <c r="AF13" s="19" t="n">
        <f aca="false">IFERROR((REVENUE!AF9+REVENUE!AF24)*(ASSUMPTIONS!$B$60+ASSUMPTIONS!$B$62)+AF10*ASSUMPTIONS!$B$61,0)</f>
        <v>19402.45</v>
      </c>
      <c r="AG13" s="19" t="n">
        <f aca="false">IFERROR((REVENUE!AG9+REVENUE!AG24)*(ASSUMPTIONS!$B$60+ASSUMPTIONS!$B$62)+AG10*ASSUMPTIONS!$B$61,0)</f>
        <v>20993.55</v>
      </c>
      <c r="AH13" s="19" t="n">
        <f aca="false">IFERROR((REVENUE!AH9+REVENUE!AH24)*(ASSUMPTIONS!$B$60+ASSUMPTIONS!$B$62)+AH10*ASSUMPTIONS!$B$61,0)</f>
        <v>22700.525</v>
      </c>
      <c r="AI13" s="19" t="n">
        <f aca="false">IFERROR((REVENUE!AI9+REVENUE!AI24)*(ASSUMPTIONS!$B$60+ASSUMPTIONS!$B$62)+AI10*ASSUMPTIONS!$B$61,0)</f>
        <v>24532.625</v>
      </c>
      <c r="AJ13" s="19" t="n">
        <f aca="false">IFERROR((REVENUE!AJ9+REVENUE!AJ24)*(ASSUMPTIONS!$B$60+ASSUMPTIONS!$B$62)+AJ10*ASSUMPTIONS!$B$61,0)</f>
        <v>26509.325</v>
      </c>
      <c r="AK13" s="19" t="n">
        <f aca="false">IFERROR((REVENUE!AK9+REVENUE!AK24)*(ASSUMPTIONS!$B$60+ASSUMPTIONS!$B$62)+AK10*ASSUMPTIONS!$B$61,0)</f>
        <v>28649.125</v>
      </c>
    </row>
    <row r="14" customFormat="false" ht="15" hidden="false" customHeight="true" outlineLevel="0" collapsed="false">
      <c r="A14" s="29" t="s">
        <v>197</v>
      </c>
      <c r="B14" s="30" t="n">
        <f aca="false">B10-B13</f>
        <v>8087.175</v>
      </c>
      <c r="C14" s="30" t="n">
        <f aca="false">C10-C13</f>
        <v>10406.75</v>
      </c>
      <c r="D14" s="30" t="n">
        <f aca="false">D10-D13</f>
        <v>12845.1</v>
      </c>
      <c r="E14" s="30" t="n">
        <f aca="false">E10-E13</f>
        <v>15402.225</v>
      </c>
      <c r="F14" s="30" t="n">
        <f aca="false">F10-F13</f>
        <v>18040.1</v>
      </c>
      <c r="G14" s="30" t="n">
        <f aca="false">G10-G13</f>
        <v>20877.5</v>
      </c>
      <c r="H14" s="30" t="n">
        <f aca="false">H10-H13</f>
        <v>23866.65</v>
      </c>
      <c r="I14" s="30" t="n">
        <f aca="false">I10-I13</f>
        <v>27017.3</v>
      </c>
      <c r="J14" s="30" t="n">
        <f aca="false">J10-J13</f>
        <v>30367.475</v>
      </c>
      <c r="K14" s="30" t="n">
        <f aca="false">K10-K13</f>
        <v>33798.4</v>
      </c>
      <c r="L14" s="30" t="n">
        <f aca="false">L10-L13</f>
        <v>37428.85</v>
      </c>
      <c r="M14" s="30" t="n">
        <f aca="false">M10-M13</f>
        <v>41140.05</v>
      </c>
      <c r="N14" s="30" t="n">
        <f aca="false">N10-N13</f>
        <v>45250.3</v>
      </c>
      <c r="O14" s="30" t="n">
        <f aca="false">O10-O13</f>
        <v>49640.825</v>
      </c>
      <c r="P14" s="30" t="n">
        <f aca="false">P10-P13</f>
        <v>54349.65</v>
      </c>
      <c r="Q14" s="30" t="n">
        <f aca="false">Q10-Q13</f>
        <v>59290.975</v>
      </c>
      <c r="R14" s="30" t="n">
        <f aca="false">R10-R13</f>
        <v>64593.325</v>
      </c>
      <c r="S14" s="30" t="n">
        <f aca="false">S10-S13</f>
        <v>70294.725</v>
      </c>
      <c r="T14" s="30" t="n">
        <f aca="false">T10-T13</f>
        <v>76357.15</v>
      </c>
      <c r="U14" s="30" t="n">
        <f aca="false">U10-U13</f>
        <v>82899.375</v>
      </c>
      <c r="V14" s="30" t="n">
        <f aca="false">V10-V13</f>
        <v>89921.4</v>
      </c>
      <c r="W14" s="30" t="n">
        <f aca="false">W10-W13</f>
        <v>97423.225</v>
      </c>
      <c r="X14" s="30" t="n">
        <f aca="false">X10-X13</f>
        <v>105485.6</v>
      </c>
      <c r="Y14" s="30" t="n">
        <f aca="false">Y10-Y13</f>
        <v>114227.3</v>
      </c>
      <c r="Z14" s="30" t="n">
        <f aca="false">Z10-Z13</f>
        <v>123648.325</v>
      </c>
      <c r="AA14" s="30" t="n">
        <f aca="false">AA10-AA13</f>
        <v>133710.65</v>
      </c>
      <c r="AB14" s="30" t="n">
        <f aca="false">AB10-AB13</f>
        <v>144604.05</v>
      </c>
      <c r="AC14" s="30" t="n">
        <f aca="false">AC10-AC13</f>
        <v>156257.525</v>
      </c>
      <c r="AD14" s="30" t="n">
        <f aca="false">AD10-AD13</f>
        <v>168789.85</v>
      </c>
      <c r="AE14" s="30" t="n">
        <f aca="false">AE10-AE13</f>
        <v>182362.525</v>
      </c>
      <c r="AF14" s="30" t="n">
        <f aca="false">AF10-AF13</f>
        <v>196975.55</v>
      </c>
      <c r="AG14" s="30" t="n">
        <f aca="false">AG10-AG13</f>
        <v>212828.45</v>
      </c>
      <c r="AH14" s="30" t="n">
        <f aca="false">AH10-AH13</f>
        <v>229840.475</v>
      </c>
      <c r="AI14" s="30" t="n">
        <f aca="false">AI10-AI13</f>
        <v>248092.375</v>
      </c>
      <c r="AJ14" s="30" t="n">
        <f aca="false">AJ10-AJ13</f>
        <v>267783.675</v>
      </c>
      <c r="AK14" s="30" t="n">
        <f aca="false">AK10-AK13</f>
        <v>289075.875</v>
      </c>
    </row>
    <row r="15" customFormat="false" ht="15" hidden="false" customHeight="true" outlineLevel="0" collapsed="false">
      <c r="A15" s="13" t="s">
        <v>198</v>
      </c>
      <c r="B15" s="20" t="n">
        <f aca="false">IFERROR(B14/B10,0)</f>
        <v>0.915563794860184</v>
      </c>
      <c r="C15" s="20" t="n">
        <f aca="false">IFERROR(C14/C10,0)</f>
        <v>0.91528144239226</v>
      </c>
      <c r="D15" s="20" t="n">
        <f aca="false">IFERROR(D14/D10,0)</f>
        <v>0.91515388999715</v>
      </c>
      <c r="E15" s="20" t="n">
        <f aca="false">IFERROR(E14/E10,0)</f>
        <v>0.915110510367774</v>
      </c>
      <c r="F15" s="20" t="n">
        <f aca="false">IFERROR(F14/F10,0)</f>
        <v>0.914997971190911</v>
      </c>
      <c r="G15" s="20" t="n">
        <f aca="false">IFERROR(G14/G10,0)</f>
        <v>0.914877300613497</v>
      </c>
      <c r="H15" s="20" t="n">
        <f aca="false">IFERROR(H14/H10,0)</f>
        <v>0.914641296849851</v>
      </c>
      <c r="I15" s="20" t="n">
        <f aca="false">IFERROR(I14/I10,0)</f>
        <v>0.914352917287126</v>
      </c>
      <c r="J15" s="20" t="n">
        <f aca="false">IFERROR(J14/J10,0)</f>
        <v>0.914104783119111</v>
      </c>
      <c r="K15" s="20" t="n">
        <f aca="false">IFERROR(K14/K10,0)</f>
        <v>0.913865455332036</v>
      </c>
      <c r="L15" s="20" t="n">
        <f aca="false">IFERROR(L14/L10,0)</f>
        <v>0.913656446809549</v>
      </c>
      <c r="M15" s="20" t="n">
        <f aca="false">IFERROR(M14/M10,0)</f>
        <v>0.913451973888716</v>
      </c>
      <c r="N15" s="20" t="n">
        <f aca="false">IFERROR(N14/N10,0)</f>
        <v>0.913261887462663</v>
      </c>
      <c r="O15" s="20" t="n">
        <f aca="false">IFERROR(O14/O10,0)</f>
        <v>0.913069049239428</v>
      </c>
      <c r="P15" s="20" t="n">
        <f aca="false">IFERROR(P14/P10,0)</f>
        <v>0.912917828467766</v>
      </c>
      <c r="Q15" s="20" t="n">
        <f aca="false">IFERROR(Q14/Q10,0)</f>
        <v>0.91271647603947</v>
      </c>
      <c r="R15" s="20" t="n">
        <f aca="false">IFERROR(R14/R10,0)</f>
        <v>0.912502648791445</v>
      </c>
      <c r="S15" s="20" t="n">
        <f aca="false">IFERROR(S14/S10,0)</f>
        <v>0.912314246408223</v>
      </c>
      <c r="T15" s="20" t="n">
        <f aca="false">IFERROR(T14/T10,0)</f>
        <v>0.91211923931481</v>
      </c>
      <c r="U15" s="20" t="n">
        <f aca="false">IFERROR(U14/U10,0)</f>
        <v>0.911934162037292</v>
      </c>
      <c r="V15" s="20" t="n">
        <f aca="false">IFERROR(V14/V10,0)</f>
        <v>0.911759815055159</v>
      </c>
      <c r="W15" s="20" t="n">
        <f aca="false">IFERROR(W14/W10,0)</f>
        <v>0.911596457411272</v>
      </c>
      <c r="X15" s="20" t="n">
        <f aca="false">IFERROR(X14/X10,0)</f>
        <v>0.911432916292251</v>
      </c>
      <c r="Y15" s="20" t="n">
        <f aca="false">IFERROR(Y14/Y10,0)</f>
        <v>0.911281392602993</v>
      </c>
      <c r="Z15" s="20" t="n">
        <f aca="false">IFERROR(Z14/Z10,0)</f>
        <v>0.91114183498272</v>
      </c>
      <c r="AA15" s="20" t="n">
        <f aca="false">IFERROR(AA14/AA10,0)</f>
        <v>0.91099683867715</v>
      </c>
      <c r="AB15" s="20" t="n">
        <f aca="false">IFERROR(AB14/AB10,0)</f>
        <v>0.910845752654984</v>
      </c>
      <c r="AC15" s="20" t="n">
        <f aca="false">IFERROR(AC14/AC10,0)</f>
        <v>0.910703087207642</v>
      </c>
      <c r="AD15" s="20" t="n">
        <f aca="false">IFERROR(AD14/AD10,0)</f>
        <v>0.91057610349255</v>
      </c>
      <c r="AE15" s="20" t="n">
        <f aca="false">IFERROR(AE14/AE10,0)</f>
        <v>0.910451500007489</v>
      </c>
      <c r="AF15" s="20" t="n">
        <f aca="false">IFERROR(AF14/AF10,0)</f>
        <v>0.91033076375602</v>
      </c>
      <c r="AG15" s="20" t="n">
        <f aca="false">IFERROR(AG14/AG10,0)</f>
        <v>0.910215676882415</v>
      </c>
      <c r="AH15" s="20" t="n">
        <f aca="false">IFERROR(AH14/AH10,0)</f>
        <v>0.910111526445211</v>
      </c>
      <c r="AI15" s="20" t="n">
        <f aca="false">IFERROR(AI14/AI10,0)</f>
        <v>0.910013296652912</v>
      </c>
      <c r="AJ15" s="20" t="n">
        <f aca="false">IFERROR(AJ14/AJ10,0)</f>
        <v>0.909921999503896</v>
      </c>
      <c r="AK15" s="20" t="n">
        <f aca="false">IFERROR(AK14/AK10,0)</f>
        <v>0.909830435124715</v>
      </c>
    </row>
    <row r="17" customFormat="false" ht="15" hidden="false" customHeight="true" outlineLevel="0" collapsed="false">
      <c r="A17" s="10" t="s">
        <v>199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customFormat="false" ht="15" hidden="false" customHeight="true" outlineLevel="0" collapsed="false">
      <c r="A18" s="11" t="s">
        <v>200</v>
      </c>
      <c r="B18" s="28" t="n">
        <f aca="false">IFERROR(HEADCOUNT!B39,0)</f>
        <v>53083</v>
      </c>
      <c r="C18" s="28" t="n">
        <f aca="false">IFERROR(HEADCOUNT!C39,0)</f>
        <v>53083</v>
      </c>
      <c r="D18" s="28" t="n">
        <f aca="false">IFERROR(HEADCOUNT!D39,0)</f>
        <v>90458</v>
      </c>
      <c r="E18" s="28" t="n">
        <f aca="false">IFERROR(HEADCOUNT!E39,0)</f>
        <v>118625</v>
      </c>
      <c r="F18" s="28" t="n">
        <f aca="false">IFERROR(HEADCOUNT!F39,0)</f>
        <v>118625</v>
      </c>
      <c r="G18" s="28" t="n">
        <f aca="false">IFERROR(HEADCOUNT!G39,0)</f>
        <v>167917</v>
      </c>
      <c r="H18" s="28" t="n">
        <f aca="false">IFERROR(HEADCOUNT!H39,0)</f>
        <v>167917</v>
      </c>
      <c r="I18" s="28" t="n">
        <f aca="false">IFERROR(HEADCOUNT!I39,0)</f>
        <v>183625</v>
      </c>
      <c r="J18" s="28" t="n">
        <f aca="false">IFERROR(HEADCOUNT!J39,0)</f>
        <v>196625</v>
      </c>
      <c r="K18" s="28" t="n">
        <f aca="false">IFERROR(HEADCOUNT!K39,0)</f>
        <v>196625</v>
      </c>
      <c r="L18" s="28" t="n">
        <f aca="false">IFERROR(HEADCOUNT!L39,0)</f>
        <v>196625</v>
      </c>
      <c r="M18" s="28" t="n">
        <f aca="false">IFERROR(HEADCOUNT!M39,0)</f>
        <v>209625</v>
      </c>
      <c r="N18" s="28" t="n">
        <f aca="false">IFERROR(HEADCOUNT!N39,0)</f>
        <v>209625</v>
      </c>
      <c r="O18" s="28" t="n">
        <f aca="false">IFERROR(HEADCOUNT!O39,0)</f>
        <v>209625</v>
      </c>
      <c r="P18" s="28" t="n">
        <f aca="false">IFERROR(HEADCOUNT!P39,0)</f>
        <v>209625</v>
      </c>
      <c r="Q18" s="28" t="n">
        <f aca="false">IFERROR(HEADCOUNT!Q39,0)</f>
        <v>209625</v>
      </c>
      <c r="R18" s="28" t="n">
        <f aca="false">IFERROR(HEADCOUNT!R39,0)</f>
        <v>209625</v>
      </c>
      <c r="S18" s="28" t="n">
        <f aca="false">IFERROR(HEADCOUNT!S39,0)</f>
        <v>209625</v>
      </c>
      <c r="T18" s="28" t="n">
        <f aca="false">IFERROR(HEADCOUNT!T39,0)</f>
        <v>209625</v>
      </c>
      <c r="U18" s="28" t="n">
        <f aca="false">IFERROR(HEADCOUNT!U39,0)</f>
        <v>209625</v>
      </c>
      <c r="V18" s="28" t="n">
        <f aca="false">IFERROR(HEADCOUNT!V39,0)</f>
        <v>209625</v>
      </c>
      <c r="W18" s="28" t="n">
        <f aca="false">IFERROR(HEADCOUNT!W39,0)</f>
        <v>209625</v>
      </c>
      <c r="X18" s="28" t="n">
        <f aca="false">IFERROR(HEADCOUNT!X39,0)</f>
        <v>209625</v>
      </c>
      <c r="Y18" s="28" t="n">
        <f aca="false">IFERROR(HEADCOUNT!Y39,0)</f>
        <v>209625</v>
      </c>
      <c r="Z18" s="28" t="n">
        <f aca="false">IFERROR(HEADCOUNT!Z39,0)</f>
        <v>209625</v>
      </c>
      <c r="AA18" s="28" t="n">
        <f aca="false">IFERROR(HEADCOUNT!AA39,0)</f>
        <v>209625</v>
      </c>
      <c r="AB18" s="28" t="n">
        <f aca="false">IFERROR(HEADCOUNT!AB39,0)</f>
        <v>209625</v>
      </c>
      <c r="AC18" s="28" t="n">
        <f aca="false">IFERROR(HEADCOUNT!AC39,0)</f>
        <v>209625</v>
      </c>
      <c r="AD18" s="28" t="n">
        <f aca="false">IFERROR(HEADCOUNT!AD39,0)</f>
        <v>209625</v>
      </c>
      <c r="AE18" s="28" t="n">
        <f aca="false">IFERROR(HEADCOUNT!AE39,0)</f>
        <v>209625</v>
      </c>
      <c r="AF18" s="28" t="n">
        <f aca="false">IFERROR(HEADCOUNT!AF39,0)</f>
        <v>209625</v>
      </c>
      <c r="AG18" s="28" t="n">
        <f aca="false">IFERROR(HEADCOUNT!AG39,0)</f>
        <v>209625</v>
      </c>
      <c r="AH18" s="28" t="n">
        <f aca="false">IFERROR(HEADCOUNT!AH39,0)</f>
        <v>209625</v>
      </c>
      <c r="AI18" s="28" t="n">
        <f aca="false">IFERROR(HEADCOUNT!AI39,0)</f>
        <v>209625</v>
      </c>
      <c r="AJ18" s="28" t="n">
        <f aca="false">IFERROR(HEADCOUNT!AJ39,0)</f>
        <v>209625</v>
      </c>
      <c r="AK18" s="28" t="n">
        <f aca="false">IFERROR(HEADCOUNT!AK39,0)</f>
        <v>209625</v>
      </c>
    </row>
    <row r="19" customFormat="false" ht="15" hidden="false" customHeight="true" outlineLevel="0" collapsed="false">
      <c r="A19" s="11" t="s">
        <v>201</v>
      </c>
      <c r="B19" s="28" t="n">
        <f aca="false">IFERROR(HEADCOUNT!B14,0)</f>
        <v>29250</v>
      </c>
      <c r="C19" s="28" t="n">
        <f aca="false">IFERROR(HEADCOUNT!C14,0)</f>
        <v>29250</v>
      </c>
      <c r="D19" s="28" t="n">
        <f aca="false">IFERROR(HEADCOUNT!D14,0)</f>
        <v>42250</v>
      </c>
      <c r="E19" s="28" t="n">
        <f aca="false">IFERROR(HEADCOUNT!E14,0)</f>
        <v>42250</v>
      </c>
      <c r="F19" s="28" t="n">
        <f aca="false">IFERROR(HEADCOUNT!F14,0)</f>
        <v>42250</v>
      </c>
      <c r="G19" s="28" t="n">
        <f aca="false">IFERROR(HEADCOUNT!G14,0)</f>
        <v>55250</v>
      </c>
      <c r="H19" s="28" t="n">
        <f aca="false">IFERROR(HEADCOUNT!H14,0)</f>
        <v>55250</v>
      </c>
      <c r="I19" s="28" t="n">
        <f aca="false">IFERROR(HEADCOUNT!I14,0)</f>
        <v>55250</v>
      </c>
      <c r="J19" s="28" t="n">
        <f aca="false">IFERROR(HEADCOUNT!J14,0)</f>
        <v>68250</v>
      </c>
      <c r="K19" s="28" t="n">
        <f aca="false">IFERROR(HEADCOUNT!K14,0)</f>
        <v>68250</v>
      </c>
      <c r="L19" s="28" t="n">
        <f aca="false">IFERROR(HEADCOUNT!L14,0)</f>
        <v>68250</v>
      </c>
      <c r="M19" s="28" t="n">
        <f aca="false">IFERROR(HEADCOUNT!M14,0)</f>
        <v>81250</v>
      </c>
      <c r="N19" s="28" t="n">
        <f aca="false">IFERROR(HEADCOUNT!N14,0)</f>
        <v>81250</v>
      </c>
      <c r="O19" s="28" t="n">
        <f aca="false">IFERROR(HEADCOUNT!O14,0)</f>
        <v>81250</v>
      </c>
      <c r="P19" s="28" t="n">
        <f aca="false">IFERROR(HEADCOUNT!P14,0)</f>
        <v>81250</v>
      </c>
      <c r="Q19" s="28" t="n">
        <f aca="false">IFERROR(HEADCOUNT!Q14,0)</f>
        <v>81250</v>
      </c>
      <c r="R19" s="28" t="n">
        <f aca="false">IFERROR(HEADCOUNT!R14,0)</f>
        <v>81250</v>
      </c>
      <c r="S19" s="28" t="n">
        <f aca="false">IFERROR(HEADCOUNT!S14,0)</f>
        <v>81250</v>
      </c>
      <c r="T19" s="28" t="n">
        <f aca="false">IFERROR(HEADCOUNT!T14,0)</f>
        <v>81250</v>
      </c>
      <c r="U19" s="28" t="n">
        <f aca="false">IFERROR(HEADCOUNT!U14,0)</f>
        <v>81250</v>
      </c>
      <c r="V19" s="28" t="n">
        <f aca="false">IFERROR(HEADCOUNT!V14,0)</f>
        <v>81250</v>
      </c>
      <c r="W19" s="28" t="n">
        <f aca="false">IFERROR(HEADCOUNT!W14,0)</f>
        <v>81250</v>
      </c>
      <c r="X19" s="28" t="n">
        <f aca="false">IFERROR(HEADCOUNT!X14,0)</f>
        <v>81250</v>
      </c>
      <c r="Y19" s="28" t="n">
        <f aca="false">IFERROR(HEADCOUNT!Y14,0)</f>
        <v>81250</v>
      </c>
      <c r="Z19" s="28" t="n">
        <f aca="false">IFERROR(HEADCOUNT!Z14,0)</f>
        <v>81250</v>
      </c>
      <c r="AA19" s="28" t="n">
        <f aca="false">IFERROR(HEADCOUNT!AA14,0)</f>
        <v>81250</v>
      </c>
      <c r="AB19" s="28" t="n">
        <f aca="false">IFERROR(HEADCOUNT!AB14,0)</f>
        <v>81250</v>
      </c>
      <c r="AC19" s="28" t="n">
        <f aca="false">IFERROR(HEADCOUNT!AC14,0)</f>
        <v>81250</v>
      </c>
      <c r="AD19" s="28" t="n">
        <f aca="false">IFERROR(HEADCOUNT!AD14,0)</f>
        <v>81250</v>
      </c>
      <c r="AE19" s="28" t="n">
        <f aca="false">IFERROR(HEADCOUNT!AE14,0)</f>
        <v>81250</v>
      </c>
      <c r="AF19" s="28" t="n">
        <f aca="false">IFERROR(HEADCOUNT!AF14,0)</f>
        <v>81250</v>
      </c>
      <c r="AG19" s="28" t="n">
        <f aca="false">IFERROR(HEADCOUNT!AG14,0)</f>
        <v>81250</v>
      </c>
      <c r="AH19" s="28" t="n">
        <f aca="false">IFERROR(HEADCOUNT!AH14,0)</f>
        <v>81250</v>
      </c>
      <c r="AI19" s="28" t="n">
        <f aca="false">IFERROR(HEADCOUNT!AI14,0)</f>
        <v>81250</v>
      </c>
      <c r="AJ19" s="28" t="n">
        <f aca="false">IFERROR(HEADCOUNT!AJ14,0)</f>
        <v>81250</v>
      </c>
      <c r="AK19" s="28" t="n">
        <f aca="false">IFERROR(HEADCOUNT!AK14,0)</f>
        <v>81250</v>
      </c>
    </row>
    <row r="20" customFormat="false" ht="15" hidden="false" customHeight="true" outlineLevel="0" collapsed="false">
      <c r="A20" s="13" t="s">
        <v>202</v>
      </c>
      <c r="B20" s="28" t="n">
        <f aca="false">IFERROR(HEADCOUNT!B19,0)</f>
        <v>0</v>
      </c>
      <c r="C20" s="28" t="n">
        <f aca="false">IFERROR(HEADCOUNT!C19,0)</f>
        <v>0</v>
      </c>
      <c r="D20" s="28" t="n">
        <f aca="false">IFERROR(HEADCOUNT!D19,0)</f>
        <v>14083</v>
      </c>
      <c r="E20" s="28" t="n">
        <f aca="false">IFERROR(HEADCOUNT!E19,0)</f>
        <v>24375</v>
      </c>
      <c r="F20" s="28" t="n">
        <f aca="false">IFERROR(HEADCOUNT!F19,0)</f>
        <v>24375</v>
      </c>
      <c r="G20" s="28" t="n">
        <f aca="false">IFERROR(HEADCOUNT!G19,0)</f>
        <v>36292</v>
      </c>
      <c r="H20" s="28" t="n">
        <f aca="false">IFERROR(HEADCOUNT!H19,0)</f>
        <v>36292</v>
      </c>
      <c r="I20" s="28" t="n">
        <f aca="false">IFERROR(HEADCOUNT!I19,0)</f>
        <v>36292</v>
      </c>
      <c r="J20" s="28" t="n">
        <f aca="false">IFERROR(HEADCOUNT!J19,0)</f>
        <v>36292</v>
      </c>
      <c r="K20" s="28" t="n">
        <f aca="false">IFERROR(HEADCOUNT!K19,0)</f>
        <v>36292</v>
      </c>
      <c r="L20" s="28" t="n">
        <f aca="false">IFERROR(HEADCOUNT!L19,0)</f>
        <v>36292</v>
      </c>
      <c r="M20" s="28" t="n">
        <f aca="false">IFERROR(HEADCOUNT!M19,0)</f>
        <v>36292</v>
      </c>
      <c r="N20" s="28" t="n">
        <f aca="false">IFERROR(HEADCOUNT!N19,0)</f>
        <v>36292</v>
      </c>
      <c r="O20" s="28" t="n">
        <f aca="false">IFERROR(HEADCOUNT!O19,0)</f>
        <v>36292</v>
      </c>
      <c r="P20" s="28" t="n">
        <f aca="false">IFERROR(HEADCOUNT!P19,0)</f>
        <v>36292</v>
      </c>
      <c r="Q20" s="28" t="n">
        <f aca="false">IFERROR(HEADCOUNT!Q19,0)</f>
        <v>36292</v>
      </c>
      <c r="R20" s="28" t="n">
        <f aca="false">IFERROR(HEADCOUNT!R19,0)</f>
        <v>36292</v>
      </c>
      <c r="S20" s="28" t="n">
        <f aca="false">IFERROR(HEADCOUNT!S19,0)</f>
        <v>36292</v>
      </c>
      <c r="T20" s="28" t="n">
        <f aca="false">IFERROR(HEADCOUNT!T19,0)</f>
        <v>36292</v>
      </c>
      <c r="U20" s="28" t="n">
        <f aca="false">IFERROR(HEADCOUNT!U19,0)</f>
        <v>36292</v>
      </c>
      <c r="V20" s="28" t="n">
        <f aca="false">IFERROR(HEADCOUNT!V19,0)</f>
        <v>36292</v>
      </c>
      <c r="W20" s="28" t="n">
        <f aca="false">IFERROR(HEADCOUNT!W19,0)</f>
        <v>36292</v>
      </c>
      <c r="X20" s="28" t="n">
        <f aca="false">IFERROR(HEADCOUNT!X19,0)</f>
        <v>36292</v>
      </c>
      <c r="Y20" s="28" t="n">
        <f aca="false">IFERROR(HEADCOUNT!Y19,0)</f>
        <v>36292</v>
      </c>
      <c r="Z20" s="28" t="n">
        <f aca="false">IFERROR(HEADCOUNT!Z19,0)</f>
        <v>36292</v>
      </c>
      <c r="AA20" s="28" t="n">
        <f aca="false">IFERROR(HEADCOUNT!AA19,0)</f>
        <v>36292</v>
      </c>
      <c r="AB20" s="28" t="n">
        <f aca="false">IFERROR(HEADCOUNT!AB19,0)</f>
        <v>36292</v>
      </c>
      <c r="AC20" s="28" t="n">
        <f aca="false">IFERROR(HEADCOUNT!AC19,0)</f>
        <v>36292</v>
      </c>
      <c r="AD20" s="28" t="n">
        <f aca="false">IFERROR(HEADCOUNT!AD19,0)</f>
        <v>36292</v>
      </c>
      <c r="AE20" s="28" t="n">
        <f aca="false">IFERROR(HEADCOUNT!AE19,0)</f>
        <v>36292</v>
      </c>
      <c r="AF20" s="28" t="n">
        <f aca="false">IFERROR(HEADCOUNT!AF19,0)</f>
        <v>36292</v>
      </c>
      <c r="AG20" s="28" t="n">
        <f aca="false">IFERROR(HEADCOUNT!AG19,0)</f>
        <v>36292</v>
      </c>
      <c r="AH20" s="28" t="n">
        <f aca="false">IFERROR(HEADCOUNT!AH19,0)</f>
        <v>36292</v>
      </c>
      <c r="AI20" s="28" t="n">
        <f aca="false">IFERROR(HEADCOUNT!AI19,0)</f>
        <v>36292</v>
      </c>
      <c r="AJ20" s="28" t="n">
        <f aca="false">IFERROR(HEADCOUNT!AJ19,0)</f>
        <v>36292</v>
      </c>
      <c r="AK20" s="28" t="n">
        <f aca="false">IFERROR(HEADCOUNT!AK19,0)</f>
        <v>36292</v>
      </c>
    </row>
    <row r="21" customFormat="false" ht="15" hidden="false" customHeight="true" outlineLevel="0" collapsed="false">
      <c r="A21" s="11" t="s">
        <v>203</v>
      </c>
      <c r="B21" s="28" t="n">
        <f aca="false">IFERROR(HEADCOUNT!B25,0)</f>
        <v>10833</v>
      </c>
      <c r="C21" s="28" t="n">
        <f aca="false">IFERROR(HEADCOUNT!C25,0)</f>
        <v>10833</v>
      </c>
      <c r="D21" s="28" t="n">
        <f aca="false">IFERROR(HEADCOUNT!D25,0)</f>
        <v>10833</v>
      </c>
      <c r="E21" s="28" t="n">
        <f aca="false">IFERROR(HEADCOUNT!E25,0)</f>
        <v>20041</v>
      </c>
      <c r="F21" s="28" t="n">
        <f aca="false">IFERROR(HEADCOUNT!F25,0)</f>
        <v>20041</v>
      </c>
      <c r="G21" s="28" t="n">
        <f aca="false">IFERROR(HEADCOUNT!G25,0)</f>
        <v>25999</v>
      </c>
      <c r="H21" s="28" t="n">
        <f aca="false">IFERROR(HEADCOUNT!H25,0)</f>
        <v>25999</v>
      </c>
      <c r="I21" s="28" t="n">
        <f aca="false">IFERROR(HEADCOUNT!I25,0)</f>
        <v>35207</v>
      </c>
      <c r="J21" s="28" t="n">
        <f aca="false">IFERROR(HEADCOUNT!J25,0)</f>
        <v>35207</v>
      </c>
      <c r="K21" s="28" t="n">
        <f aca="false">IFERROR(HEADCOUNT!K25,0)</f>
        <v>35207</v>
      </c>
      <c r="L21" s="28" t="n">
        <f aca="false">IFERROR(HEADCOUNT!L25,0)</f>
        <v>35207</v>
      </c>
      <c r="M21" s="28" t="n">
        <f aca="false">IFERROR(HEADCOUNT!M25,0)</f>
        <v>35207</v>
      </c>
      <c r="N21" s="28" t="n">
        <f aca="false">IFERROR(HEADCOUNT!N25,0)</f>
        <v>35207</v>
      </c>
      <c r="O21" s="28" t="n">
        <f aca="false">IFERROR(HEADCOUNT!O25,0)</f>
        <v>35207</v>
      </c>
      <c r="P21" s="28" t="n">
        <f aca="false">IFERROR(HEADCOUNT!P25,0)</f>
        <v>35207</v>
      </c>
      <c r="Q21" s="28" t="n">
        <f aca="false">IFERROR(HEADCOUNT!Q25,0)</f>
        <v>35207</v>
      </c>
      <c r="R21" s="28" t="n">
        <f aca="false">IFERROR(HEADCOUNT!R25,0)</f>
        <v>35207</v>
      </c>
      <c r="S21" s="28" t="n">
        <f aca="false">IFERROR(HEADCOUNT!S25,0)</f>
        <v>35207</v>
      </c>
      <c r="T21" s="28" t="n">
        <f aca="false">IFERROR(HEADCOUNT!T25,0)</f>
        <v>35207</v>
      </c>
      <c r="U21" s="28" t="n">
        <f aca="false">IFERROR(HEADCOUNT!U25,0)</f>
        <v>35207</v>
      </c>
      <c r="V21" s="28" t="n">
        <f aca="false">IFERROR(HEADCOUNT!V25,0)</f>
        <v>35207</v>
      </c>
      <c r="W21" s="28" t="n">
        <f aca="false">IFERROR(HEADCOUNT!W25,0)</f>
        <v>35207</v>
      </c>
      <c r="X21" s="28" t="n">
        <f aca="false">IFERROR(HEADCOUNT!X25,0)</f>
        <v>35207</v>
      </c>
      <c r="Y21" s="28" t="n">
        <f aca="false">IFERROR(HEADCOUNT!Y25,0)</f>
        <v>35207</v>
      </c>
      <c r="Z21" s="28" t="n">
        <f aca="false">IFERROR(HEADCOUNT!Z25,0)</f>
        <v>35207</v>
      </c>
      <c r="AA21" s="28" t="n">
        <f aca="false">IFERROR(HEADCOUNT!AA25,0)</f>
        <v>35207</v>
      </c>
      <c r="AB21" s="28" t="n">
        <f aca="false">IFERROR(HEADCOUNT!AB25,0)</f>
        <v>35207</v>
      </c>
      <c r="AC21" s="28" t="n">
        <f aca="false">IFERROR(HEADCOUNT!AC25,0)</f>
        <v>35207</v>
      </c>
      <c r="AD21" s="28" t="n">
        <f aca="false">IFERROR(HEADCOUNT!AD25,0)</f>
        <v>35207</v>
      </c>
      <c r="AE21" s="28" t="n">
        <f aca="false">IFERROR(HEADCOUNT!AE25,0)</f>
        <v>35207</v>
      </c>
      <c r="AF21" s="28" t="n">
        <f aca="false">IFERROR(HEADCOUNT!AF25,0)</f>
        <v>35207</v>
      </c>
      <c r="AG21" s="28" t="n">
        <f aca="false">IFERROR(HEADCOUNT!AG25,0)</f>
        <v>35207</v>
      </c>
      <c r="AH21" s="28" t="n">
        <f aca="false">IFERROR(HEADCOUNT!AH25,0)</f>
        <v>35207</v>
      </c>
      <c r="AI21" s="28" t="n">
        <f aca="false">IFERROR(HEADCOUNT!AI25,0)</f>
        <v>35207</v>
      </c>
      <c r="AJ21" s="28" t="n">
        <f aca="false">IFERROR(HEADCOUNT!AJ25,0)</f>
        <v>35207</v>
      </c>
      <c r="AK21" s="28" t="n">
        <f aca="false">IFERROR(HEADCOUNT!AK25,0)</f>
        <v>35207</v>
      </c>
    </row>
    <row r="22" customFormat="false" ht="15" hidden="false" customHeight="true" outlineLevel="0" collapsed="false">
      <c r="A22" s="13" t="s">
        <v>204</v>
      </c>
      <c r="B22" s="28" t="n">
        <f aca="false">IFERROR(HEADCOUNT!B29,0)</f>
        <v>0</v>
      </c>
      <c r="C22" s="28" t="n">
        <f aca="false">IFERROR(HEADCOUNT!C29,0)</f>
        <v>0</v>
      </c>
      <c r="D22" s="28" t="n">
        <f aca="false">IFERROR(HEADCOUNT!D29,0)</f>
        <v>10292</v>
      </c>
      <c r="E22" s="28" t="n">
        <f aca="false">IFERROR(HEADCOUNT!E29,0)</f>
        <v>10292</v>
      </c>
      <c r="F22" s="28" t="n">
        <f aca="false">IFERROR(HEADCOUNT!F29,0)</f>
        <v>10292</v>
      </c>
      <c r="G22" s="28" t="n">
        <f aca="false">IFERROR(HEADCOUNT!G29,0)</f>
        <v>18959</v>
      </c>
      <c r="H22" s="28" t="n">
        <f aca="false">IFERROR(HEADCOUNT!H29,0)</f>
        <v>18959</v>
      </c>
      <c r="I22" s="28" t="n">
        <f aca="false">IFERROR(HEADCOUNT!I29,0)</f>
        <v>18959</v>
      </c>
      <c r="J22" s="28" t="n">
        <f aca="false">IFERROR(HEADCOUNT!J29,0)</f>
        <v>18959</v>
      </c>
      <c r="K22" s="28" t="n">
        <f aca="false">IFERROR(HEADCOUNT!K29,0)</f>
        <v>18959</v>
      </c>
      <c r="L22" s="28" t="n">
        <f aca="false">IFERROR(HEADCOUNT!L29,0)</f>
        <v>18959</v>
      </c>
      <c r="M22" s="28" t="n">
        <f aca="false">IFERROR(HEADCOUNT!M29,0)</f>
        <v>18959</v>
      </c>
      <c r="N22" s="28" t="n">
        <f aca="false">IFERROR(HEADCOUNT!N29,0)</f>
        <v>18959</v>
      </c>
      <c r="O22" s="28" t="n">
        <f aca="false">IFERROR(HEADCOUNT!O29,0)</f>
        <v>18959</v>
      </c>
      <c r="P22" s="28" t="n">
        <f aca="false">IFERROR(HEADCOUNT!P29,0)</f>
        <v>18959</v>
      </c>
      <c r="Q22" s="28" t="n">
        <f aca="false">IFERROR(HEADCOUNT!Q29,0)</f>
        <v>18959</v>
      </c>
      <c r="R22" s="28" t="n">
        <f aca="false">IFERROR(HEADCOUNT!R29,0)</f>
        <v>18959</v>
      </c>
      <c r="S22" s="28" t="n">
        <f aca="false">IFERROR(HEADCOUNT!S29,0)</f>
        <v>18959</v>
      </c>
      <c r="T22" s="28" t="n">
        <f aca="false">IFERROR(HEADCOUNT!T29,0)</f>
        <v>18959</v>
      </c>
      <c r="U22" s="28" t="n">
        <f aca="false">IFERROR(HEADCOUNT!U29,0)</f>
        <v>18959</v>
      </c>
      <c r="V22" s="28" t="n">
        <f aca="false">IFERROR(HEADCOUNT!V29,0)</f>
        <v>18959</v>
      </c>
      <c r="W22" s="28" t="n">
        <f aca="false">IFERROR(HEADCOUNT!W29,0)</f>
        <v>18959</v>
      </c>
      <c r="X22" s="28" t="n">
        <f aca="false">IFERROR(HEADCOUNT!X29,0)</f>
        <v>18959</v>
      </c>
      <c r="Y22" s="28" t="n">
        <f aca="false">IFERROR(HEADCOUNT!Y29,0)</f>
        <v>18959</v>
      </c>
      <c r="Z22" s="28" t="n">
        <f aca="false">IFERROR(HEADCOUNT!Z29,0)</f>
        <v>18959</v>
      </c>
      <c r="AA22" s="28" t="n">
        <f aca="false">IFERROR(HEADCOUNT!AA29,0)</f>
        <v>18959</v>
      </c>
      <c r="AB22" s="28" t="n">
        <f aca="false">IFERROR(HEADCOUNT!AB29,0)</f>
        <v>18959</v>
      </c>
      <c r="AC22" s="28" t="n">
        <f aca="false">IFERROR(HEADCOUNT!AC29,0)</f>
        <v>18959</v>
      </c>
      <c r="AD22" s="28" t="n">
        <f aca="false">IFERROR(HEADCOUNT!AD29,0)</f>
        <v>18959</v>
      </c>
      <c r="AE22" s="28" t="n">
        <f aca="false">IFERROR(HEADCOUNT!AE29,0)</f>
        <v>18959</v>
      </c>
      <c r="AF22" s="28" t="n">
        <f aca="false">IFERROR(HEADCOUNT!AF29,0)</f>
        <v>18959</v>
      </c>
      <c r="AG22" s="28" t="n">
        <f aca="false">IFERROR(HEADCOUNT!AG29,0)</f>
        <v>18959</v>
      </c>
      <c r="AH22" s="28" t="n">
        <f aca="false">IFERROR(HEADCOUNT!AH29,0)</f>
        <v>18959</v>
      </c>
      <c r="AI22" s="28" t="n">
        <f aca="false">IFERROR(HEADCOUNT!AI29,0)</f>
        <v>18959</v>
      </c>
      <c r="AJ22" s="28" t="n">
        <f aca="false">IFERROR(HEADCOUNT!AJ29,0)</f>
        <v>18959</v>
      </c>
      <c r="AK22" s="28" t="n">
        <f aca="false">IFERROR(HEADCOUNT!AK29,0)</f>
        <v>18959</v>
      </c>
    </row>
    <row r="23" customFormat="false" ht="15" hidden="false" customHeight="true" outlineLevel="0" collapsed="false">
      <c r="A23" s="11" t="s">
        <v>205</v>
      </c>
      <c r="B23" s="28" t="n">
        <f aca="false">IFERROR(HEADCOUNT!B33,0)</f>
        <v>0</v>
      </c>
      <c r="C23" s="28" t="n">
        <f aca="false">IFERROR(HEADCOUNT!C33,0)</f>
        <v>0</v>
      </c>
      <c r="D23" s="28" t="n">
        <f aca="false">IFERROR(HEADCOUNT!D33,0)</f>
        <v>0</v>
      </c>
      <c r="E23" s="28" t="n">
        <f aca="false">IFERROR(HEADCOUNT!E33,0)</f>
        <v>8667</v>
      </c>
      <c r="F23" s="28" t="n">
        <f aca="false">IFERROR(HEADCOUNT!F33,0)</f>
        <v>8667</v>
      </c>
      <c r="G23" s="28" t="n">
        <f aca="false">IFERROR(HEADCOUNT!G33,0)</f>
        <v>8667</v>
      </c>
      <c r="H23" s="28" t="n">
        <f aca="false">IFERROR(HEADCOUNT!H33,0)</f>
        <v>8667</v>
      </c>
      <c r="I23" s="28" t="n">
        <f aca="false">IFERROR(HEADCOUNT!I33,0)</f>
        <v>15167</v>
      </c>
      <c r="J23" s="28" t="n">
        <f aca="false">IFERROR(HEADCOUNT!J33,0)</f>
        <v>15167</v>
      </c>
      <c r="K23" s="28" t="n">
        <f aca="false">IFERROR(HEADCOUNT!K33,0)</f>
        <v>15167</v>
      </c>
      <c r="L23" s="28" t="n">
        <f aca="false">IFERROR(HEADCOUNT!L33,0)</f>
        <v>15167</v>
      </c>
      <c r="M23" s="28" t="n">
        <f aca="false">IFERROR(HEADCOUNT!M33,0)</f>
        <v>15167</v>
      </c>
      <c r="N23" s="28" t="n">
        <f aca="false">IFERROR(HEADCOUNT!N33,0)</f>
        <v>15167</v>
      </c>
      <c r="O23" s="28" t="n">
        <f aca="false">IFERROR(HEADCOUNT!O33,0)</f>
        <v>15167</v>
      </c>
      <c r="P23" s="28" t="n">
        <f aca="false">IFERROR(HEADCOUNT!P33,0)</f>
        <v>15167</v>
      </c>
      <c r="Q23" s="28" t="n">
        <f aca="false">IFERROR(HEADCOUNT!Q33,0)</f>
        <v>15167</v>
      </c>
      <c r="R23" s="28" t="n">
        <f aca="false">IFERROR(HEADCOUNT!R33,0)</f>
        <v>15167</v>
      </c>
      <c r="S23" s="28" t="n">
        <f aca="false">IFERROR(HEADCOUNT!S33,0)</f>
        <v>15167</v>
      </c>
      <c r="T23" s="28" t="n">
        <f aca="false">IFERROR(HEADCOUNT!T33,0)</f>
        <v>15167</v>
      </c>
      <c r="U23" s="28" t="n">
        <f aca="false">IFERROR(HEADCOUNT!U33,0)</f>
        <v>15167</v>
      </c>
      <c r="V23" s="28" t="n">
        <f aca="false">IFERROR(HEADCOUNT!V33,0)</f>
        <v>15167</v>
      </c>
      <c r="W23" s="28" t="n">
        <f aca="false">IFERROR(HEADCOUNT!W33,0)</f>
        <v>15167</v>
      </c>
      <c r="X23" s="28" t="n">
        <f aca="false">IFERROR(HEADCOUNT!X33,0)</f>
        <v>15167</v>
      </c>
      <c r="Y23" s="28" t="n">
        <f aca="false">IFERROR(HEADCOUNT!Y33,0)</f>
        <v>15167</v>
      </c>
      <c r="Z23" s="28" t="n">
        <f aca="false">IFERROR(HEADCOUNT!Z33,0)</f>
        <v>15167</v>
      </c>
      <c r="AA23" s="28" t="n">
        <f aca="false">IFERROR(HEADCOUNT!AA33,0)</f>
        <v>15167</v>
      </c>
      <c r="AB23" s="28" t="n">
        <f aca="false">IFERROR(HEADCOUNT!AB33,0)</f>
        <v>15167</v>
      </c>
      <c r="AC23" s="28" t="n">
        <f aca="false">IFERROR(HEADCOUNT!AC33,0)</f>
        <v>15167</v>
      </c>
      <c r="AD23" s="28" t="n">
        <f aca="false">IFERROR(HEADCOUNT!AD33,0)</f>
        <v>15167</v>
      </c>
      <c r="AE23" s="28" t="n">
        <f aca="false">IFERROR(HEADCOUNT!AE33,0)</f>
        <v>15167</v>
      </c>
      <c r="AF23" s="28" t="n">
        <f aca="false">IFERROR(HEADCOUNT!AF33,0)</f>
        <v>15167</v>
      </c>
      <c r="AG23" s="28" t="n">
        <f aca="false">IFERROR(HEADCOUNT!AG33,0)</f>
        <v>15167</v>
      </c>
      <c r="AH23" s="28" t="n">
        <f aca="false">IFERROR(HEADCOUNT!AH33,0)</f>
        <v>15167</v>
      </c>
      <c r="AI23" s="28" t="n">
        <f aca="false">IFERROR(HEADCOUNT!AI33,0)</f>
        <v>15167</v>
      </c>
      <c r="AJ23" s="28" t="n">
        <f aca="false">IFERROR(HEADCOUNT!AJ33,0)</f>
        <v>15167</v>
      </c>
      <c r="AK23" s="28" t="n">
        <f aca="false">IFERROR(HEADCOUNT!AK33,0)</f>
        <v>15167</v>
      </c>
    </row>
    <row r="24" customFormat="false" ht="15" hidden="false" customHeight="true" outlineLevel="0" collapsed="false">
      <c r="A24" s="13" t="s">
        <v>206</v>
      </c>
      <c r="B24" s="28" t="n">
        <f aca="false">IFERROR(HEADCOUNT!B37,0)</f>
        <v>13000</v>
      </c>
      <c r="C24" s="28" t="n">
        <f aca="false">IFERROR(HEADCOUNT!C37,0)</f>
        <v>13000</v>
      </c>
      <c r="D24" s="28" t="n">
        <f aca="false">IFERROR(HEADCOUNT!D37,0)</f>
        <v>13000</v>
      </c>
      <c r="E24" s="28" t="n">
        <f aca="false">IFERROR(HEADCOUNT!E37,0)</f>
        <v>13000</v>
      </c>
      <c r="F24" s="28" t="n">
        <f aca="false">IFERROR(HEADCOUNT!F37,0)</f>
        <v>13000</v>
      </c>
      <c r="G24" s="28" t="n">
        <f aca="false">IFERROR(HEADCOUNT!G37,0)</f>
        <v>22750</v>
      </c>
      <c r="H24" s="28" t="n">
        <f aca="false">IFERROR(HEADCOUNT!H37,0)</f>
        <v>22750</v>
      </c>
      <c r="I24" s="28" t="n">
        <f aca="false">IFERROR(HEADCOUNT!I37,0)</f>
        <v>22750</v>
      </c>
      <c r="J24" s="28" t="n">
        <f aca="false">IFERROR(HEADCOUNT!J37,0)</f>
        <v>22750</v>
      </c>
      <c r="K24" s="28" t="n">
        <f aca="false">IFERROR(HEADCOUNT!K37,0)</f>
        <v>22750</v>
      </c>
      <c r="L24" s="28" t="n">
        <f aca="false">IFERROR(HEADCOUNT!L37,0)</f>
        <v>22750</v>
      </c>
      <c r="M24" s="28" t="n">
        <f aca="false">IFERROR(HEADCOUNT!M37,0)</f>
        <v>22750</v>
      </c>
      <c r="N24" s="28" t="n">
        <f aca="false">IFERROR(HEADCOUNT!N37,0)</f>
        <v>22750</v>
      </c>
      <c r="O24" s="28" t="n">
        <f aca="false">IFERROR(HEADCOUNT!O37,0)</f>
        <v>22750</v>
      </c>
      <c r="P24" s="28" t="n">
        <f aca="false">IFERROR(HEADCOUNT!P37,0)</f>
        <v>22750</v>
      </c>
      <c r="Q24" s="28" t="n">
        <f aca="false">IFERROR(HEADCOUNT!Q37,0)</f>
        <v>22750</v>
      </c>
      <c r="R24" s="28" t="n">
        <f aca="false">IFERROR(HEADCOUNT!R37,0)</f>
        <v>22750</v>
      </c>
      <c r="S24" s="28" t="n">
        <f aca="false">IFERROR(HEADCOUNT!S37,0)</f>
        <v>22750</v>
      </c>
      <c r="T24" s="28" t="n">
        <f aca="false">IFERROR(HEADCOUNT!T37,0)</f>
        <v>22750</v>
      </c>
      <c r="U24" s="28" t="n">
        <f aca="false">IFERROR(HEADCOUNT!U37,0)</f>
        <v>22750</v>
      </c>
      <c r="V24" s="28" t="n">
        <f aca="false">IFERROR(HEADCOUNT!V37,0)</f>
        <v>22750</v>
      </c>
      <c r="W24" s="28" t="n">
        <f aca="false">IFERROR(HEADCOUNT!W37,0)</f>
        <v>22750</v>
      </c>
      <c r="X24" s="28" t="n">
        <f aca="false">IFERROR(HEADCOUNT!X37,0)</f>
        <v>22750</v>
      </c>
      <c r="Y24" s="28" t="n">
        <f aca="false">IFERROR(HEADCOUNT!Y37,0)</f>
        <v>22750</v>
      </c>
      <c r="Z24" s="28" t="n">
        <f aca="false">IFERROR(HEADCOUNT!Z37,0)</f>
        <v>22750</v>
      </c>
      <c r="AA24" s="28" t="n">
        <f aca="false">IFERROR(HEADCOUNT!AA37,0)</f>
        <v>22750</v>
      </c>
      <c r="AB24" s="28" t="n">
        <f aca="false">IFERROR(HEADCOUNT!AB37,0)</f>
        <v>22750</v>
      </c>
      <c r="AC24" s="28" t="n">
        <f aca="false">IFERROR(HEADCOUNT!AC37,0)</f>
        <v>22750</v>
      </c>
      <c r="AD24" s="28" t="n">
        <f aca="false">IFERROR(HEADCOUNT!AD37,0)</f>
        <v>22750</v>
      </c>
      <c r="AE24" s="28" t="n">
        <f aca="false">IFERROR(HEADCOUNT!AE37,0)</f>
        <v>22750</v>
      </c>
      <c r="AF24" s="28" t="n">
        <f aca="false">IFERROR(HEADCOUNT!AF37,0)</f>
        <v>22750</v>
      </c>
      <c r="AG24" s="28" t="n">
        <f aca="false">IFERROR(HEADCOUNT!AG37,0)</f>
        <v>22750</v>
      </c>
      <c r="AH24" s="28" t="n">
        <f aca="false">IFERROR(HEADCOUNT!AH37,0)</f>
        <v>22750</v>
      </c>
      <c r="AI24" s="28" t="n">
        <f aca="false">IFERROR(HEADCOUNT!AI37,0)</f>
        <v>22750</v>
      </c>
      <c r="AJ24" s="28" t="n">
        <f aca="false">IFERROR(HEADCOUNT!AJ37,0)</f>
        <v>22750</v>
      </c>
      <c r="AK24" s="28" t="n">
        <f aca="false">IFERROR(HEADCOUNT!AK37,0)</f>
        <v>22750</v>
      </c>
    </row>
    <row r="25" customFormat="false" ht="15" hidden="false" customHeight="true" outlineLevel="0" collapsed="false">
      <c r="A25" s="13" t="s">
        <v>207</v>
      </c>
      <c r="B25" s="19" t="n">
        <f aca="false">IFERROR(ASSUMPTIONS!$B$95,0)</f>
        <v>8000</v>
      </c>
      <c r="C25" s="19" t="n">
        <f aca="false">IFERROR(ROUND(B25*(1+ASSUMPTIONS!$B$96),0),0)</f>
        <v>8480</v>
      </c>
      <c r="D25" s="19" t="n">
        <f aca="false">IFERROR(ROUND(C25*(1+ASSUMPTIONS!$B$96),0),0)</f>
        <v>8989</v>
      </c>
      <c r="E25" s="19" t="n">
        <f aca="false">IFERROR(ROUND(D25*(1+ASSUMPTIONS!$B$96),0),0)</f>
        <v>9528</v>
      </c>
      <c r="F25" s="19" t="n">
        <f aca="false">IFERROR(ROUND(E25*(1+ASSUMPTIONS!$B$96),0),0)</f>
        <v>10100</v>
      </c>
      <c r="G25" s="19" t="n">
        <f aca="false">IFERROR(ROUND(F25*(1+ASSUMPTIONS!$B$96),0),0)</f>
        <v>10706</v>
      </c>
      <c r="H25" s="19" t="n">
        <f aca="false">IFERROR(ROUND(G25*(1+ASSUMPTIONS!$B$96),0),0)</f>
        <v>11348</v>
      </c>
      <c r="I25" s="19" t="n">
        <f aca="false">IFERROR(ROUND(H25*(1+ASSUMPTIONS!$B$96),0),0)</f>
        <v>12029</v>
      </c>
      <c r="J25" s="19" t="n">
        <f aca="false">IFERROR(ROUND(I25*(1+ASSUMPTIONS!$B$96),0),0)</f>
        <v>12751</v>
      </c>
      <c r="K25" s="19" t="n">
        <f aca="false">IFERROR(ROUND(J25*(1+ASSUMPTIONS!$B$96),0),0)</f>
        <v>13516</v>
      </c>
      <c r="L25" s="19" t="n">
        <f aca="false">IFERROR(ROUND(K25*(1+ASSUMPTIONS!$B$96),0),0)</f>
        <v>14327</v>
      </c>
      <c r="M25" s="19" t="n">
        <f aca="false">IFERROR(ROUND(L25*(1+ASSUMPTIONS!$B$96),0),0)</f>
        <v>15187</v>
      </c>
      <c r="N25" s="19" t="n">
        <f aca="false">IFERROR(ROUND(M25*(1+ASSUMPTIONS!$B$96),0),0)</f>
        <v>16098</v>
      </c>
      <c r="O25" s="19" t="n">
        <f aca="false">IFERROR(ROUND(N25*(1+ASSUMPTIONS!$B$96),0),0)</f>
        <v>17064</v>
      </c>
      <c r="P25" s="19" t="n">
        <f aca="false">IFERROR(ROUND(O25*(1+ASSUMPTIONS!$B$96),0),0)</f>
        <v>18088</v>
      </c>
      <c r="Q25" s="19" t="n">
        <f aca="false">IFERROR(ROUND(P25*(1+ASSUMPTIONS!$B$96),0),0)</f>
        <v>19173</v>
      </c>
      <c r="R25" s="19" t="n">
        <f aca="false">IFERROR(ROUND(Q25*(1+ASSUMPTIONS!$B$96),0),0)</f>
        <v>20323</v>
      </c>
      <c r="S25" s="19" t="n">
        <f aca="false">IFERROR(ROUND(R25*(1+ASSUMPTIONS!$B$96),0),0)</f>
        <v>21542</v>
      </c>
      <c r="T25" s="19" t="n">
        <f aca="false">IFERROR(ROUND(S25*(1+ASSUMPTIONS!$B$96),0),0)</f>
        <v>22835</v>
      </c>
      <c r="U25" s="19" t="n">
        <f aca="false">IFERROR(ROUND(T25*(1+ASSUMPTIONS!$B$96),0),0)</f>
        <v>24205</v>
      </c>
      <c r="V25" s="19" t="n">
        <f aca="false">IFERROR(ROUND(U25*(1+ASSUMPTIONS!$B$96),0),0)</f>
        <v>25657</v>
      </c>
      <c r="W25" s="19" t="n">
        <f aca="false">IFERROR(ROUND(V25*(1+ASSUMPTIONS!$B$96),0),0)</f>
        <v>27196</v>
      </c>
      <c r="X25" s="19" t="n">
        <f aca="false">IFERROR(ROUND(W25*(1+ASSUMPTIONS!$B$96),0),0)</f>
        <v>28828</v>
      </c>
      <c r="Y25" s="19" t="n">
        <f aca="false">IFERROR(ROUND(X25*(1+ASSUMPTIONS!$B$96),0),0)</f>
        <v>30558</v>
      </c>
      <c r="Z25" s="19" t="n">
        <f aca="false">IFERROR(ROUND(Y25*(1+ASSUMPTIONS!$B$96),0),0)</f>
        <v>32391</v>
      </c>
      <c r="AA25" s="19" t="n">
        <f aca="false">IFERROR(ROUND(Z25*(1+ASSUMPTIONS!$B$96),0),0)</f>
        <v>34334</v>
      </c>
      <c r="AB25" s="19" t="n">
        <f aca="false">IFERROR(ROUND(AA25*(1+ASSUMPTIONS!$B$96),0),0)</f>
        <v>36394</v>
      </c>
      <c r="AC25" s="19" t="n">
        <f aca="false">IFERROR(ROUND(AB25*(1+ASSUMPTIONS!$B$96),0),0)</f>
        <v>38578</v>
      </c>
      <c r="AD25" s="19" t="n">
        <f aca="false">IFERROR(ROUND(AC25*(1+ASSUMPTIONS!$B$96),0),0)</f>
        <v>40893</v>
      </c>
      <c r="AE25" s="19" t="n">
        <f aca="false">IFERROR(ROUND(AD25*(1+ASSUMPTIONS!$B$96),0),0)</f>
        <v>43347</v>
      </c>
      <c r="AF25" s="19" t="n">
        <f aca="false">IFERROR(ROUND(AE25*(1+ASSUMPTIONS!$B$96),0),0)</f>
        <v>45948</v>
      </c>
      <c r="AG25" s="19" t="n">
        <f aca="false">IFERROR(ROUND(AF25*(1+ASSUMPTIONS!$B$96),0),0)</f>
        <v>48705</v>
      </c>
      <c r="AH25" s="19" t="n">
        <f aca="false">IFERROR(ROUND(AG25*(1+ASSUMPTIONS!$B$96),0),0)</f>
        <v>51627</v>
      </c>
      <c r="AI25" s="19" t="n">
        <f aca="false">IFERROR(ROUND(AH25*(1+ASSUMPTIONS!$B$96),0),0)</f>
        <v>54725</v>
      </c>
      <c r="AJ25" s="19" t="n">
        <f aca="false">IFERROR(ROUND(AI25*(1+ASSUMPTIONS!$B$96),0),0)</f>
        <v>58009</v>
      </c>
      <c r="AK25" s="19" t="n">
        <f aca="false">IFERROR(ROUND(AJ25*(1+ASSUMPTIONS!$B$96),0),0)</f>
        <v>61490</v>
      </c>
    </row>
    <row r="26" customFormat="false" ht="15" hidden="false" customHeight="true" outlineLevel="0" collapsed="false">
      <c r="A26" s="11" t="s">
        <v>208</v>
      </c>
      <c r="B26" s="19" t="n">
        <f aca="false">IFERROR(ASSUMPTIONS!$B$97+ASSUMPTIONS!$B$98+ASSUMPTIONS!$B$99+ASSUMPTIONS!$B$100,0)</f>
        <v>7500</v>
      </c>
      <c r="C26" s="19" t="n">
        <f aca="false">IFERROR(ASSUMPTIONS!$B$97+ASSUMPTIONS!$B$98+ASSUMPTIONS!$B$99+ASSUMPTIONS!$B$100,0)</f>
        <v>7500</v>
      </c>
      <c r="D26" s="19" t="n">
        <f aca="false">IFERROR(ASSUMPTIONS!$B$97+ASSUMPTIONS!$B$98+ASSUMPTIONS!$B$99+ASSUMPTIONS!$B$100,0)</f>
        <v>7500</v>
      </c>
      <c r="E26" s="19" t="n">
        <f aca="false">IFERROR(ASSUMPTIONS!$B$97+ASSUMPTIONS!$B$98+ASSUMPTIONS!$B$99+ASSUMPTIONS!$B$100,0)</f>
        <v>7500</v>
      </c>
      <c r="F26" s="19" t="n">
        <f aca="false">IFERROR(ASSUMPTIONS!$B$97+ASSUMPTIONS!$B$98+ASSUMPTIONS!$B$99+ASSUMPTIONS!$B$100,0)</f>
        <v>7500</v>
      </c>
      <c r="G26" s="19" t="n">
        <f aca="false">IFERROR(ASSUMPTIONS!$B$97+ASSUMPTIONS!$B$98+ASSUMPTIONS!$B$99+ASSUMPTIONS!$B$100,0)</f>
        <v>7500</v>
      </c>
      <c r="H26" s="19" t="n">
        <f aca="false">IFERROR(ASSUMPTIONS!$B$97+ASSUMPTIONS!$B$98+ASSUMPTIONS!$B$99+ASSUMPTIONS!$B$100,0)</f>
        <v>7500</v>
      </c>
      <c r="I26" s="19" t="n">
        <f aca="false">IFERROR(ASSUMPTIONS!$B$97+ASSUMPTIONS!$B$98+ASSUMPTIONS!$B$99+ASSUMPTIONS!$B$100,0)</f>
        <v>7500</v>
      </c>
      <c r="J26" s="19" t="n">
        <f aca="false">IFERROR(ASSUMPTIONS!$B$97+ASSUMPTIONS!$B$98+ASSUMPTIONS!$B$99+ASSUMPTIONS!$B$100,0)</f>
        <v>7500</v>
      </c>
      <c r="K26" s="19" t="n">
        <f aca="false">IFERROR(ASSUMPTIONS!$B$97+ASSUMPTIONS!$B$98+ASSUMPTIONS!$B$99+ASSUMPTIONS!$B$100,0)</f>
        <v>7500</v>
      </c>
      <c r="L26" s="19" t="n">
        <f aca="false">IFERROR(ASSUMPTIONS!$B$97+ASSUMPTIONS!$B$98+ASSUMPTIONS!$B$99+ASSUMPTIONS!$B$100,0)</f>
        <v>7500</v>
      </c>
      <c r="M26" s="19" t="n">
        <f aca="false">IFERROR(ASSUMPTIONS!$B$97+ASSUMPTIONS!$B$98+ASSUMPTIONS!$B$99+ASSUMPTIONS!$B$100,0)</f>
        <v>7500</v>
      </c>
      <c r="N26" s="19" t="n">
        <f aca="false">IFERROR(ASSUMPTIONS!$B$97+ASSUMPTIONS!$B$98+ASSUMPTIONS!$B$99+ASSUMPTIONS!$B$100,0)</f>
        <v>7500</v>
      </c>
      <c r="O26" s="19" t="n">
        <f aca="false">IFERROR(ASSUMPTIONS!$B$97+ASSUMPTIONS!$B$98+ASSUMPTIONS!$B$99+ASSUMPTIONS!$B$100,0)</f>
        <v>7500</v>
      </c>
      <c r="P26" s="19" t="n">
        <f aca="false">IFERROR(ASSUMPTIONS!$B$97+ASSUMPTIONS!$B$98+ASSUMPTIONS!$B$99+ASSUMPTIONS!$B$100,0)</f>
        <v>7500</v>
      </c>
      <c r="Q26" s="19" t="n">
        <f aca="false">IFERROR(ASSUMPTIONS!$B$97+ASSUMPTIONS!$B$98+ASSUMPTIONS!$B$99+ASSUMPTIONS!$B$100,0)</f>
        <v>7500</v>
      </c>
      <c r="R26" s="19" t="n">
        <f aca="false">IFERROR(ASSUMPTIONS!$B$97+ASSUMPTIONS!$B$98+ASSUMPTIONS!$B$99+ASSUMPTIONS!$B$100,0)</f>
        <v>7500</v>
      </c>
      <c r="S26" s="19" t="n">
        <f aca="false">IFERROR(ASSUMPTIONS!$B$97+ASSUMPTIONS!$B$98+ASSUMPTIONS!$B$99+ASSUMPTIONS!$B$100,0)</f>
        <v>7500</v>
      </c>
      <c r="T26" s="19" t="n">
        <f aca="false">IFERROR(ASSUMPTIONS!$B$97+ASSUMPTIONS!$B$98+ASSUMPTIONS!$B$99+ASSUMPTIONS!$B$100,0)</f>
        <v>7500</v>
      </c>
      <c r="U26" s="19" t="n">
        <f aca="false">IFERROR(ASSUMPTIONS!$B$97+ASSUMPTIONS!$B$98+ASSUMPTIONS!$B$99+ASSUMPTIONS!$B$100,0)</f>
        <v>7500</v>
      </c>
      <c r="V26" s="19" t="n">
        <f aca="false">IFERROR(ASSUMPTIONS!$B$97+ASSUMPTIONS!$B$98+ASSUMPTIONS!$B$99+ASSUMPTIONS!$B$100,0)</f>
        <v>7500</v>
      </c>
      <c r="W26" s="19" t="n">
        <f aca="false">IFERROR(ASSUMPTIONS!$B$97+ASSUMPTIONS!$B$98+ASSUMPTIONS!$B$99+ASSUMPTIONS!$B$100,0)</f>
        <v>7500</v>
      </c>
      <c r="X26" s="19" t="n">
        <f aca="false">IFERROR(ASSUMPTIONS!$B$97+ASSUMPTIONS!$B$98+ASSUMPTIONS!$B$99+ASSUMPTIONS!$B$100,0)</f>
        <v>7500</v>
      </c>
      <c r="Y26" s="19" t="n">
        <f aca="false">IFERROR(ASSUMPTIONS!$B$97+ASSUMPTIONS!$B$98+ASSUMPTIONS!$B$99+ASSUMPTIONS!$B$100,0)</f>
        <v>7500</v>
      </c>
      <c r="Z26" s="19" t="n">
        <f aca="false">IFERROR(ASSUMPTIONS!$B$97+ASSUMPTIONS!$B$98+ASSUMPTIONS!$B$99+ASSUMPTIONS!$B$100,0)</f>
        <v>7500</v>
      </c>
      <c r="AA26" s="19" t="n">
        <f aca="false">IFERROR(ASSUMPTIONS!$B$97+ASSUMPTIONS!$B$98+ASSUMPTIONS!$B$99+ASSUMPTIONS!$B$100,0)</f>
        <v>7500</v>
      </c>
      <c r="AB26" s="19" t="n">
        <f aca="false">IFERROR(ASSUMPTIONS!$B$97+ASSUMPTIONS!$B$98+ASSUMPTIONS!$B$99+ASSUMPTIONS!$B$100,0)</f>
        <v>7500</v>
      </c>
      <c r="AC26" s="19" t="n">
        <f aca="false">IFERROR(ASSUMPTIONS!$B$97+ASSUMPTIONS!$B$98+ASSUMPTIONS!$B$99+ASSUMPTIONS!$B$100,0)</f>
        <v>7500</v>
      </c>
      <c r="AD26" s="19" t="n">
        <f aca="false">IFERROR(ASSUMPTIONS!$B$97+ASSUMPTIONS!$B$98+ASSUMPTIONS!$B$99+ASSUMPTIONS!$B$100,0)</f>
        <v>7500</v>
      </c>
      <c r="AE26" s="19" t="n">
        <f aca="false">IFERROR(ASSUMPTIONS!$B$97+ASSUMPTIONS!$B$98+ASSUMPTIONS!$B$99+ASSUMPTIONS!$B$100,0)</f>
        <v>7500</v>
      </c>
      <c r="AF26" s="19" t="n">
        <f aca="false">IFERROR(ASSUMPTIONS!$B$97+ASSUMPTIONS!$B$98+ASSUMPTIONS!$B$99+ASSUMPTIONS!$B$100,0)</f>
        <v>7500</v>
      </c>
      <c r="AG26" s="19" t="n">
        <f aca="false">IFERROR(ASSUMPTIONS!$B$97+ASSUMPTIONS!$B$98+ASSUMPTIONS!$B$99+ASSUMPTIONS!$B$100,0)</f>
        <v>7500</v>
      </c>
      <c r="AH26" s="19" t="n">
        <f aca="false">IFERROR(ASSUMPTIONS!$B$97+ASSUMPTIONS!$B$98+ASSUMPTIONS!$B$99+ASSUMPTIONS!$B$100,0)</f>
        <v>7500</v>
      </c>
      <c r="AI26" s="19" t="n">
        <f aca="false">IFERROR(ASSUMPTIONS!$B$97+ASSUMPTIONS!$B$98+ASSUMPTIONS!$B$99+ASSUMPTIONS!$B$100,0)</f>
        <v>7500</v>
      </c>
      <c r="AJ26" s="19" t="n">
        <f aca="false">IFERROR(ASSUMPTIONS!$B$97+ASSUMPTIONS!$B$98+ASSUMPTIONS!$B$99+ASSUMPTIONS!$B$100,0)</f>
        <v>7500</v>
      </c>
      <c r="AK26" s="19" t="n">
        <f aca="false">IFERROR(ASSUMPTIONS!$B$97+ASSUMPTIONS!$B$98+ASSUMPTIONS!$B$99+ASSUMPTIONS!$B$100,0)</f>
        <v>7500</v>
      </c>
    </row>
    <row r="27" customFormat="false" ht="15" hidden="false" customHeight="true" outlineLevel="0" collapsed="false">
      <c r="A27" s="25" t="s">
        <v>209</v>
      </c>
      <c r="B27" s="31" t="n">
        <f aca="false">B18+B25+B26</f>
        <v>68583</v>
      </c>
      <c r="C27" s="31" t="n">
        <f aca="false">C18+C25+C26</f>
        <v>69063</v>
      </c>
      <c r="D27" s="31" t="n">
        <f aca="false">D18+D25+D26</f>
        <v>106947</v>
      </c>
      <c r="E27" s="31" t="n">
        <f aca="false">E18+E25+E26</f>
        <v>135653</v>
      </c>
      <c r="F27" s="31" t="n">
        <f aca="false">F18+F25+F26</f>
        <v>136225</v>
      </c>
      <c r="G27" s="31" t="n">
        <f aca="false">G18+G25+G26</f>
        <v>186123</v>
      </c>
      <c r="H27" s="31" t="n">
        <f aca="false">H18+H25+H26</f>
        <v>186765</v>
      </c>
      <c r="I27" s="31" t="n">
        <f aca="false">I18+I25+I26</f>
        <v>203154</v>
      </c>
      <c r="J27" s="31" t="n">
        <f aca="false">J18+J25+J26</f>
        <v>216876</v>
      </c>
      <c r="K27" s="31" t="n">
        <f aca="false">K18+K25+K26</f>
        <v>217641</v>
      </c>
      <c r="L27" s="31" t="n">
        <f aca="false">L18+L25+L26</f>
        <v>218452</v>
      </c>
      <c r="M27" s="31" t="n">
        <f aca="false">M18+M25+M26</f>
        <v>232312</v>
      </c>
      <c r="N27" s="31" t="n">
        <f aca="false">N18+N25+N26</f>
        <v>233223</v>
      </c>
      <c r="O27" s="31" t="n">
        <f aca="false">O18+O25+O26</f>
        <v>234189</v>
      </c>
      <c r="P27" s="31" t="n">
        <f aca="false">P18+P25+P26</f>
        <v>235213</v>
      </c>
      <c r="Q27" s="31" t="n">
        <f aca="false">Q18+Q25+Q26</f>
        <v>236298</v>
      </c>
      <c r="R27" s="31" t="n">
        <f aca="false">R18+R25+R26</f>
        <v>237448</v>
      </c>
      <c r="S27" s="31" t="n">
        <f aca="false">S18+S25+S26</f>
        <v>238667</v>
      </c>
      <c r="T27" s="31" t="n">
        <f aca="false">T18+T25+T26</f>
        <v>239960</v>
      </c>
      <c r="U27" s="31" t="n">
        <f aca="false">U18+U25+U26</f>
        <v>241330</v>
      </c>
      <c r="V27" s="31" t="n">
        <f aca="false">V18+V25+V26</f>
        <v>242782</v>
      </c>
      <c r="W27" s="31" t="n">
        <f aca="false">W18+W25+W26</f>
        <v>244321</v>
      </c>
      <c r="X27" s="31" t="n">
        <f aca="false">X18+X25+X26</f>
        <v>245953</v>
      </c>
      <c r="Y27" s="31" t="n">
        <f aca="false">Y18+Y25+Y26</f>
        <v>247683</v>
      </c>
      <c r="Z27" s="31" t="n">
        <f aca="false">Z18+Z25+Z26</f>
        <v>249516</v>
      </c>
      <c r="AA27" s="31" t="n">
        <f aca="false">AA18+AA25+AA26</f>
        <v>251459</v>
      </c>
      <c r="AB27" s="31" t="n">
        <f aca="false">AB18+AB25+AB26</f>
        <v>253519</v>
      </c>
      <c r="AC27" s="31" t="n">
        <f aca="false">AC18+AC25+AC26</f>
        <v>255703</v>
      </c>
      <c r="AD27" s="31" t="n">
        <f aca="false">AD18+AD25+AD26</f>
        <v>258018</v>
      </c>
      <c r="AE27" s="31" t="n">
        <f aca="false">AE18+AE25+AE26</f>
        <v>260472</v>
      </c>
      <c r="AF27" s="31" t="n">
        <f aca="false">AF18+AF25+AF26</f>
        <v>263073</v>
      </c>
      <c r="AG27" s="31" t="n">
        <f aca="false">AG18+AG25+AG26</f>
        <v>265830</v>
      </c>
      <c r="AH27" s="31" t="n">
        <f aca="false">AH18+AH25+AH26</f>
        <v>268752</v>
      </c>
      <c r="AI27" s="31" t="n">
        <f aca="false">AI18+AI25+AI26</f>
        <v>271850</v>
      </c>
      <c r="AJ27" s="31" t="n">
        <f aca="false">AJ18+AJ25+AJ26</f>
        <v>275134</v>
      </c>
      <c r="AK27" s="31" t="n">
        <f aca="false">AK18+AK25+AK26</f>
        <v>278615</v>
      </c>
      <c r="AL27" s="27"/>
      <c r="AM27" s="27"/>
      <c r="AN27" s="27"/>
      <c r="AO27" s="27"/>
      <c r="AP27" s="27"/>
      <c r="AQ27" s="27"/>
      <c r="AR27" s="27"/>
    </row>
    <row r="29" customFormat="false" ht="15" hidden="false" customHeight="true" outlineLevel="0" collapsed="false">
      <c r="A29" s="29" t="s">
        <v>210</v>
      </c>
      <c r="B29" s="30" t="n">
        <f aca="false">B14-B27</f>
        <v>-60495.825</v>
      </c>
      <c r="C29" s="30" t="n">
        <f aca="false">C14-C27</f>
        <v>-58656.25</v>
      </c>
      <c r="D29" s="30" t="n">
        <f aca="false">D14-D27</f>
        <v>-94101.9</v>
      </c>
      <c r="E29" s="30" t="n">
        <f aca="false">E14-E27</f>
        <v>-120250.775</v>
      </c>
      <c r="F29" s="30" t="n">
        <f aca="false">F14-F27</f>
        <v>-118184.9</v>
      </c>
      <c r="G29" s="30" t="n">
        <f aca="false">G14-G27</f>
        <v>-165245.5</v>
      </c>
      <c r="H29" s="30" t="n">
        <f aca="false">H14-H27</f>
        <v>-162898.35</v>
      </c>
      <c r="I29" s="30" t="n">
        <f aca="false">I14-I27</f>
        <v>-176136.7</v>
      </c>
      <c r="J29" s="30" t="n">
        <f aca="false">J14-J27</f>
        <v>-186508.525</v>
      </c>
      <c r="K29" s="30" t="n">
        <f aca="false">K14-K27</f>
        <v>-183842.6</v>
      </c>
      <c r="L29" s="30" t="n">
        <f aca="false">L14-L27</f>
        <v>-181023.15</v>
      </c>
      <c r="M29" s="30" t="n">
        <f aca="false">M14-M27</f>
        <v>-191171.95</v>
      </c>
      <c r="N29" s="30" t="n">
        <f aca="false">N14-N27</f>
        <v>-187972.7</v>
      </c>
      <c r="O29" s="30" t="n">
        <f aca="false">O14-O27</f>
        <v>-184548.175</v>
      </c>
      <c r="P29" s="30" t="n">
        <f aca="false">P14-P27</f>
        <v>-180863.35</v>
      </c>
      <c r="Q29" s="30" t="n">
        <f aca="false">Q14-Q27</f>
        <v>-177007.025</v>
      </c>
      <c r="R29" s="30" t="n">
        <f aca="false">R14-R27</f>
        <v>-172854.675</v>
      </c>
      <c r="S29" s="30" t="n">
        <f aca="false">S14-S27</f>
        <v>-168372.275</v>
      </c>
      <c r="T29" s="30" t="n">
        <f aca="false">T14-T27</f>
        <v>-163602.85</v>
      </c>
      <c r="U29" s="30" t="n">
        <f aca="false">U14-U27</f>
        <v>-158430.625</v>
      </c>
      <c r="V29" s="30" t="n">
        <f aca="false">V14-V27</f>
        <v>-152860.6</v>
      </c>
      <c r="W29" s="30" t="n">
        <f aca="false">W14-W27</f>
        <v>-146897.775</v>
      </c>
      <c r="X29" s="30" t="n">
        <f aca="false">X14-X27</f>
        <v>-140467.4</v>
      </c>
      <c r="Y29" s="30" t="n">
        <f aca="false">Y14-Y27</f>
        <v>-133455.7</v>
      </c>
      <c r="Z29" s="30" t="n">
        <f aca="false">Z14-Z27</f>
        <v>-125867.675</v>
      </c>
      <c r="AA29" s="30" t="n">
        <f aca="false">AA14-AA27</f>
        <v>-117748.35</v>
      </c>
      <c r="AB29" s="30" t="n">
        <f aca="false">AB14-AB27</f>
        <v>-108914.95</v>
      </c>
      <c r="AC29" s="30" t="n">
        <f aca="false">AC14-AC27</f>
        <v>-99445.475</v>
      </c>
      <c r="AD29" s="30" t="n">
        <f aca="false">AD14-AD27</f>
        <v>-89228.15</v>
      </c>
      <c r="AE29" s="30" t="n">
        <f aca="false">AE14-AE27</f>
        <v>-78109.475</v>
      </c>
      <c r="AF29" s="30" t="n">
        <f aca="false">AF14-AF27</f>
        <v>-66097.45</v>
      </c>
      <c r="AG29" s="30" t="n">
        <f aca="false">AG14-AG27</f>
        <v>-53001.55</v>
      </c>
      <c r="AH29" s="30" t="n">
        <f aca="false">AH14-AH27</f>
        <v>-38911.525</v>
      </c>
      <c r="AI29" s="30" t="n">
        <f aca="false">AI14-AI27</f>
        <v>-23757.625</v>
      </c>
      <c r="AJ29" s="30" t="n">
        <f aca="false">AJ14-AJ27</f>
        <v>-7350.32500000001</v>
      </c>
      <c r="AK29" s="30" t="n">
        <f aca="false">AK14-AK27</f>
        <v>10460.875</v>
      </c>
    </row>
    <row r="30" customFormat="false" ht="15" hidden="false" customHeight="true" outlineLevel="0" collapsed="false">
      <c r="A30" s="13" t="s">
        <v>211</v>
      </c>
      <c r="B30" s="20" t="n">
        <f aca="false">IFERROR(B29/B10,0)</f>
        <v>-6.84884240914751</v>
      </c>
      <c r="C30" s="20" t="n">
        <f aca="false">IFERROR(C29/C10,0)</f>
        <v>-5.15886103781882</v>
      </c>
      <c r="D30" s="20" t="n">
        <f aca="false">IFERROR(D29/D10,0)</f>
        <v>-6.7043245939014</v>
      </c>
      <c r="E30" s="20" t="n">
        <f aca="false">IFERROR(E29/E10,0)</f>
        <v>-7.14460073673579</v>
      </c>
      <c r="F30" s="20" t="n">
        <f aca="false">IFERROR(F29/F10,0)</f>
        <v>-5.99436498275512</v>
      </c>
      <c r="G30" s="20" t="n">
        <f aca="false">IFERROR(G29/G10,0)</f>
        <v>-7.24125766871166</v>
      </c>
      <c r="H30" s="20" t="n">
        <f aca="false">IFERROR(H29/H10,0)</f>
        <v>-6.24275120717406</v>
      </c>
      <c r="I30" s="20" t="n">
        <f aca="false">IFERROR(I29/I10,0)</f>
        <v>-5.96103627995127</v>
      </c>
      <c r="J30" s="20" t="n">
        <f aca="false">IFERROR(J29/J10,0)</f>
        <v>-5.61417552150748</v>
      </c>
      <c r="K30" s="20" t="n">
        <f aca="false">IFERROR(K29/K10,0)</f>
        <v>-4.97086848366861</v>
      </c>
      <c r="L30" s="20" t="n">
        <f aca="false">IFERROR(L29/L10,0)</f>
        <v>-4.41886320363228</v>
      </c>
      <c r="M30" s="20" t="n">
        <f aca="false">IFERROR(M29/M10,0)</f>
        <v>-4.24468115813313</v>
      </c>
      <c r="N30" s="20" t="n">
        <f aca="false">IFERROR(N29/N10,0)</f>
        <v>-3.79374949543877</v>
      </c>
      <c r="O30" s="20" t="n">
        <f aca="false">IFERROR(O29/O10,0)</f>
        <v>-3.39448884433572</v>
      </c>
      <c r="P30" s="20" t="n">
        <f aca="false">IFERROR(P29/P10,0)</f>
        <v>-3.03798417710888</v>
      </c>
      <c r="Q30" s="20" t="n">
        <f aca="false">IFERROR(Q29/Q10,0)</f>
        <v>-2.72481989193516</v>
      </c>
      <c r="R30" s="20" t="n">
        <f aca="false">IFERROR(R29/R10,0)</f>
        <v>-2.44189858307316</v>
      </c>
      <c r="S30" s="20" t="n">
        <f aca="false">IFERROR(S29/S10,0)</f>
        <v>-2.18520557812358</v>
      </c>
      <c r="T30" s="20" t="n">
        <f aca="false">IFERROR(T29/T10,0)</f>
        <v>-1.9543069259622</v>
      </c>
      <c r="U30" s="20" t="n">
        <f aca="false">IFERROR(U29/U10,0)</f>
        <v>-1.74281530168858</v>
      </c>
      <c r="V30" s="20" t="n">
        <f aca="false">IFERROR(V29/V10,0)</f>
        <v>-1.54993307916937</v>
      </c>
      <c r="W30" s="20" t="n">
        <f aca="false">IFERROR(W29/W10,0)</f>
        <v>-1.37453354979368</v>
      </c>
      <c r="X30" s="20" t="n">
        <f aca="false">IFERROR(X29/X10,0)</f>
        <v>-1.21368804866247</v>
      </c>
      <c r="Y30" s="20" t="n">
        <f aca="false">IFERROR(Y29/Y10,0)</f>
        <v>-1.06468152662986</v>
      </c>
      <c r="Z30" s="20" t="n">
        <f aca="false">IFERROR(Z29/Z10,0)</f>
        <v>-0.927495818196556</v>
      </c>
      <c r="AA30" s="20" t="n">
        <f aca="false">IFERROR(AA29/AA10,0)</f>
        <v>-0.802242563396787</v>
      </c>
      <c r="AB30" s="20" t="n">
        <f aca="false">IFERROR(AB29/AB10,0)</f>
        <v>-0.6860438529082</v>
      </c>
      <c r="AC30" s="20" t="n">
        <f aca="false">IFERROR(AC29/AC10,0)</f>
        <v>-0.579590013929444</v>
      </c>
      <c r="AD30" s="20" t="n">
        <f aca="false">IFERROR(AD29/AD10,0)</f>
        <v>-0.481362008135257</v>
      </c>
      <c r="AE30" s="20" t="n">
        <f aca="false">IFERROR(AE29/AE10,0)</f>
        <v>-0.38996437825451</v>
      </c>
      <c r="AF30" s="20" t="n">
        <f aca="false">IFERROR(AF29/AF10,0)</f>
        <v>-0.305472136723697</v>
      </c>
      <c r="AG30" s="20" t="n">
        <f aca="false">IFERROR(AG29/AG10,0)</f>
        <v>-0.226674778250122</v>
      </c>
      <c r="AH30" s="20" t="n">
        <f aca="false">IFERROR(AH29/AH10,0)</f>
        <v>-0.154080030569294</v>
      </c>
      <c r="AI30" s="20" t="n">
        <f aca="false">IFERROR(AI29/AI10,0)</f>
        <v>-0.0871439706556625</v>
      </c>
      <c r="AJ30" s="20" t="n">
        <f aca="false">IFERROR(AJ29/AJ10,0)</f>
        <v>-0.0249762141811053</v>
      </c>
      <c r="AK30" s="20" t="n">
        <f aca="false">IFERROR(AK29/AK10,0)</f>
        <v>0.0329243056101975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2" min="2" style="1" width="13"/>
  </cols>
  <sheetData>
    <row r="1" customFormat="false" ht="17.25" hidden="false" customHeight="true" outlineLevel="0" collapsed="false">
      <c r="A1" s="2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8" t="s">
        <v>213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4" customFormat="false" ht="15" hidden="false" customHeight="true" outlineLevel="0" collapsed="false">
      <c r="B4" s="22" t="s">
        <v>144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2" t="s">
        <v>145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2" t="s">
        <v>146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18"/>
      <c r="AM4" s="18"/>
      <c r="AN4" s="18"/>
    </row>
    <row r="5" customFormat="false" ht="15" hidden="false" customHeight="true" outlineLevel="0" collapsed="false">
      <c r="B5" s="22" t="s">
        <v>147</v>
      </c>
      <c r="C5" s="22" t="s">
        <v>148</v>
      </c>
      <c r="D5" s="22" t="s">
        <v>149</v>
      </c>
      <c r="E5" s="22" t="s">
        <v>150</v>
      </c>
      <c r="F5" s="22" t="s">
        <v>151</v>
      </c>
      <c r="G5" s="22" t="s">
        <v>152</v>
      </c>
      <c r="H5" s="22" t="s">
        <v>153</v>
      </c>
      <c r="I5" s="22" t="s">
        <v>154</v>
      </c>
      <c r="J5" s="22" t="s">
        <v>155</v>
      </c>
      <c r="K5" s="22" t="s">
        <v>156</v>
      </c>
      <c r="L5" s="22" t="s">
        <v>157</v>
      </c>
      <c r="M5" s="22" t="s">
        <v>158</v>
      </c>
      <c r="N5" s="22" t="s">
        <v>147</v>
      </c>
      <c r="O5" s="22" t="s">
        <v>148</v>
      </c>
      <c r="P5" s="22" t="s">
        <v>149</v>
      </c>
      <c r="Q5" s="22" t="s">
        <v>150</v>
      </c>
      <c r="R5" s="22" t="s">
        <v>151</v>
      </c>
      <c r="S5" s="22" t="s">
        <v>152</v>
      </c>
      <c r="T5" s="22" t="s">
        <v>153</v>
      </c>
      <c r="U5" s="22" t="s">
        <v>154</v>
      </c>
      <c r="V5" s="22" t="s">
        <v>155</v>
      </c>
      <c r="W5" s="22" t="s">
        <v>156</v>
      </c>
      <c r="X5" s="22" t="s">
        <v>157</v>
      </c>
      <c r="Y5" s="22" t="s">
        <v>158</v>
      </c>
      <c r="Z5" s="22" t="s">
        <v>147</v>
      </c>
      <c r="AA5" s="22" t="s">
        <v>148</v>
      </c>
      <c r="AB5" s="22" t="s">
        <v>149</v>
      </c>
      <c r="AC5" s="22" t="s">
        <v>150</v>
      </c>
      <c r="AD5" s="22" t="s">
        <v>151</v>
      </c>
      <c r="AE5" s="22" t="s">
        <v>152</v>
      </c>
      <c r="AF5" s="22" t="s">
        <v>153</v>
      </c>
      <c r="AG5" s="22" t="s">
        <v>154</v>
      </c>
      <c r="AH5" s="22" t="s">
        <v>155</v>
      </c>
      <c r="AI5" s="22" t="s">
        <v>156</v>
      </c>
      <c r="AJ5" s="22" t="s">
        <v>157</v>
      </c>
      <c r="AK5" s="22" t="s">
        <v>158</v>
      </c>
      <c r="AL5" s="23" t="s">
        <v>159</v>
      </c>
      <c r="AM5" s="23" t="s">
        <v>160</v>
      </c>
      <c r="AN5" s="23" t="s">
        <v>161</v>
      </c>
    </row>
    <row r="6" customFormat="false" ht="15" hidden="false" customHeight="true" outlineLevel="0" collapsed="false">
      <c r="A6" s="10" t="s">
        <v>214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customFormat="false" ht="15" hidden="false" customHeight="true" outlineLevel="0" collapsed="false">
      <c r="A7" s="11" t="s">
        <v>215</v>
      </c>
      <c r="B7" s="32" t="n">
        <f aca="false">ASSUMPTIONS!$B$103</f>
        <v>500000</v>
      </c>
      <c r="C7" s="32" t="n">
        <f aca="false">IFERROR(B17,0)</f>
        <v>439504.175</v>
      </c>
      <c r="D7" s="32" t="n">
        <f aca="false">IFERROR(C17,0)</f>
        <v>380847.925</v>
      </c>
      <c r="E7" s="32" t="n">
        <f aca="false">IFERROR(D17,0)</f>
        <v>286746.025</v>
      </c>
      <c r="F7" s="32" t="n">
        <f aca="false">IFERROR(E17,0)</f>
        <v>166495.25</v>
      </c>
      <c r="G7" s="32" t="n">
        <f aca="false">IFERROR(F17,0)</f>
        <v>48310.35</v>
      </c>
      <c r="H7" s="32" t="n">
        <f aca="false">IFERROR(G17,0)</f>
        <v>4883064.85</v>
      </c>
      <c r="I7" s="32" t="n">
        <f aca="false">IFERROR(H17,0)</f>
        <v>4720166.5</v>
      </c>
      <c r="J7" s="32" t="n">
        <f aca="false">IFERROR(I17,0)</f>
        <v>4544029.8</v>
      </c>
      <c r="K7" s="32" t="n">
        <f aca="false">IFERROR(J17,0)</f>
        <v>4357521.275</v>
      </c>
      <c r="L7" s="32" t="n">
        <f aca="false">IFERROR(K17,0)</f>
        <v>4173678.675</v>
      </c>
      <c r="M7" s="32" t="n">
        <f aca="false">IFERROR(L17,0)</f>
        <v>3992655.525</v>
      </c>
      <c r="N7" s="32" t="n">
        <f aca="false">IFERROR(M17,0)</f>
        <v>3801483.575</v>
      </c>
      <c r="O7" s="32" t="n">
        <f aca="false">IFERROR(N17,0)</f>
        <v>3613510.875</v>
      </c>
      <c r="P7" s="32" t="n">
        <f aca="false">IFERROR(O17,0)</f>
        <v>3428962.7</v>
      </c>
      <c r="Q7" s="32" t="n">
        <f aca="false">IFERROR(P17,0)</f>
        <v>3248099.35</v>
      </c>
      <c r="R7" s="32" t="n">
        <f aca="false">IFERROR(Q17,0)</f>
        <v>3071092.325</v>
      </c>
      <c r="S7" s="32" t="n">
        <f aca="false">IFERROR(R17,0)</f>
        <v>2898237.65</v>
      </c>
      <c r="T7" s="32" t="n">
        <f aca="false">IFERROR(S17,0)</f>
        <v>2729865.375</v>
      </c>
      <c r="U7" s="32" t="n">
        <f aca="false">IFERROR(T17,0)</f>
        <v>2566262.525</v>
      </c>
      <c r="V7" s="32" t="n">
        <f aca="false">IFERROR(U17,0)</f>
        <v>2407831.9</v>
      </c>
      <c r="W7" s="32" t="n">
        <f aca="false">IFERROR(V17,0)</f>
        <v>2254971.3</v>
      </c>
      <c r="X7" s="32" t="n">
        <f aca="false">IFERROR(W17,0)</f>
        <v>2108073.525</v>
      </c>
      <c r="Y7" s="32" t="n">
        <f aca="false">IFERROR(X17,0)</f>
        <v>1967606.125</v>
      </c>
      <c r="Z7" s="32" t="n">
        <f aca="false">IFERROR(Y17,0)</f>
        <v>1834150.425</v>
      </c>
      <c r="AA7" s="32" t="n">
        <f aca="false">IFERROR(Z17,0)</f>
        <v>1708282.75</v>
      </c>
      <c r="AB7" s="32" t="n">
        <f aca="false">IFERROR(AA17,0)</f>
        <v>1590534.4</v>
      </c>
      <c r="AC7" s="32" t="n">
        <f aca="false">IFERROR(AB17,0)</f>
        <v>1481619.45</v>
      </c>
      <c r="AD7" s="32" t="n">
        <f aca="false">IFERROR(AC17,0)</f>
        <v>1382173.975</v>
      </c>
      <c r="AE7" s="32" t="n">
        <f aca="false">IFERROR(AD17,0)</f>
        <v>1292945.825</v>
      </c>
      <c r="AF7" s="32" t="n">
        <f aca="false">IFERROR(AE17,0)</f>
        <v>1214836.35</v>
      </c>
      <c r="AG7" s="32" t="n">
        <f aca="false">IFERROR(AF17,0)</f>
        <v>1148738.9</v>
      </c>
      <c r="AH7" s="32" t="n">
        <f aca="false">IFERROR(AG17,0)</f>
        <v>1095737.35</v>
      </c>
      <c r="AI7" s="32" t="n">
        <f aca="false">IFERROR(AH17,0)</f>
        <v>1056825.825</v>
      </c>
      <c r="AJ7" s="32" t="n">
        <f aca="false">IFERROR(AI17,0)</f>
        <v>1033068.2</v>
      </c>
      <c r="AK7" s="32" t="n">
        <f aca="false">IFERROR(AJ17,0)</f>
        <v>1025717.875</v>
      </c>
    </row>
    <row r="9" customFormat="false" ht="15" hidden="false" customHeight="true" outlineLevel="0" collapsed="false">
      <c r="A9" s="10" t="s">
        <v>216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customFormat="false" ht="15" hidden="false" customHeight="true" outlineLevel="0" collapsed="false">
      <c r="A10" s="11" t="s">
        <v>217</v>
      </c>
      <c r="B10" s="28" t="n">
        <f aca="false">IFERROR('P&amp;L'!B29,0)</f>
        <v>-60495.825</v>
      </c>
      <c r="C10" s="28" t="n">
        <f aca="false">IFERROR('P&amp;L'!C29,0)</f>
        <v>-58656.25</v>
      </c>
      <c r="D10" s="28" t="n">
        <f aca="false">IFERROR('P&amp;L'!D29,0)</f>
        <v>-94101.9</v>
      </c>
      <c r="E10" s="28" t="n">
        <f aca="false">IFERROR('P&amp;L'!E29,0)</f>
        <v>-120250.775</v>
      </c>
      <c r="F10" s="28" t="n">
        <f aca="false">IFERROR('P&amp;L'!F29,0)</f>
        <v>-118184.9</v>
      </c>
      <c r="G10" s="28" t="n">
        <f aca="false">IFERROR('P&amp;L'!G29,0)</f>
        <v>-165245.5</v>
      </c>
      <c r="H10" s="28" t="n">
        <f aca="false">IFERROR('P&amp;L'!H29,0)</f>
        <v>-162898.35</v>
      </c>
      <c r="I10" s="28" t="n">
        <f aca="false">IFERROR('P&amp;L'!I29,0)</f>
        <v>-176136.7</v>
      </c>
      <c r="J10" s="28" t="n">
        <f aca="false">IFERROR('P&amp;L'!J29,0)</f>
        <v>-186508.525</v>
      </c>
      <c r="K10" s="28" t="n">
        <f aca="false">IFERROR('P&amp;L'!K29,0)</f>
        <v>-183842.6</v>
      </c>
      <c r="L10" s="28" t="n">
        <f aca="false">IFERROR('P&amp;L'!L29,0)</f>
        <v>-181023.15</v>
      </c>
      <c r="M10" s="28" t="n">
        <f aca="false">IFERROR('P&amp;L'!M29,0)</f>
        <v>-191171.95</v>
      </c>
      <c r="N10" s="28" t="n">
        <f aca="false">IFERROR('P&amp;L'!N29,0)</f>
        <v>-187972.7</v>
      </c>
      <c r="O10" s="28" t="n">
        <f aca="false">IFERROR('P&amp;L'!O29,0)</f>
        <v>-184548.175</v>
      </c>
      <c r="P10" s="28" t="n">
        <f aca="false">IFERROR('P&amp;L'!P29,0)</f>
        <v>-180863.35</v>
      </c>
      <c r="Q10" s="28" t="n">
        <f aca="false">IFERROR('P&amp;L'!Q29,0)</f>
        <v>-177007.025</v>
      </c>
      <c r="R10" s="28" t="n">
        <f aca="false">IFERROR('P&amp;L'!R29,0)</f>
        <v>-172854.675</v>
      </c>
      <c r="S10" s="28" t="n">
        <f aca="false">IFERROR('P&amp;L'!S29,0)</f>
        <v>-168372.275</v>
      </c>
      <c r="T10" s="28" t="n">
        <f aca="false">IFERROR('P&amp;L'!T29,0)</f>
        <v>-163602.85</v>
      </c>
      <c r="U10" s="28" t="n">
        <f aca="false">IFERROR('P&amp;L'!U29,0)</f>
        <v>-158430.625</v>
      </c>
      <c r="V10" s="28" t="n">
        <f aca="false">IFERROR('P&amp;L'!V29,0)</f>
        <v>-152860.6</v>
      </c>
      <c r="W10" s="28" t="n">
        <f aca="false">IFERROR('P&amp;L'!W29,0)</f>
        <v>-146897.775</v>
      </c>
      <c r="X10" s="28" t="n">
        <f aca="false">IFERROR('P&amp;L'!X29,0)</f>
        <v>-140467.4</v>
      </c>
      <c r="Y10" s="28" t="n">
        <f aca="false">IFERROR('P&amp;L'!Y29,0)</f>
        <v>-133455.7</v>
      </c>
      <c r="Z10" s="28" t="n">
        <f aca="false">IFERROR('P&amp;L'!Z29,0)</f>
        <v>-125867.675</v>
      </c>
      <c r="AA10" s="28" t="n">
        <f aca="false">IFERROR('P&amp;L'!AA29,0)</f>
        <v>-117748.35</v>
      </c>
      <c r="AB10" s="28" t="n">
        <f aca="false">IFERROR('P&amp;L'!AB29,0)</f>
        <v>-108914.95</v>
      </c>
      <c r="AC10" s="28" t="n">
        <f aca="false">IFERROR('P&amp;L'!AC29,0)</f>
        <v>-99445.475</v>
      </c>
      <c r="AD10" s="28" t="n">
        <f aca="false">IFERROR('P&amp;L'!AD29,0)</f>
        <v>-89228.15</v>
      </c>
      <c r="AE10" s="28" t="n">
        <f aca="false">IFERROR('P&amp;L'!AE29,0)</f>
        <v>-78109.475</v>
      </c>
      <c r="AF10" s="28" t="n">
        <f aca="false">IFERROR('P&amp;L'!AF29,0)</f>
        <v>-66097.45</v>
      </c>
      <c r="AG10" s="28" t="n">
        <f aca="false">IFERROR('P&amp;L'!AG29,0)</f>
        <v>-53001.55</v>
      </c>
      <c r="AH10" s="28" t="n">
        <f aca="false">IFERROR('P&amp;L'!AH29,0)</f>
        <v>-38911.525</v>
      </c>
      <c r="AI10" s="28" t="n">
        <f aca="false">IFERROR('P&amp;L'!AI29,0)</f>
        <v>-23757.625</v>
      </c>
      <c r="AJ10" s="28" t="n">
        <f aca="false">IFERROR('P&amp;L'!AJ29,0)</f>
        <v>-7350.32500000001</v>
      </c>
      <c r="AK10" s="28" t="n">
        <f aca="false">IFERROR('P&amp;L'!AK29,0)</f>
        <v>10460.875</v>
      </c>
    </row>
    <row r="11" customFormat="false" ht="15" hidden="false" customHeight="true" outlineLevel="0" collapsed="false">
      <c r="A11" s="25" t="s">
        <v>218</v>
      </c>
      <c r="B11" s="31" t="n">
        <f aca="false">B10</f>
        <v>-60495.825</v>
      </c>
      <c r="C11" s="31" t="n">
        <f aca="false">C10</f>
        <v>-58656.25</v>
      </c>
      <c r="D11" s="31" t="n">
        <f aca="false">D10</f>
        <v>-94101.9</v>
      </c>
      <c r="E11" s="31" t="n">
        <f aca="false">E10</f>
        <v>-120250.775</v>
      </c>
      <c r="F11" s="31" t="n">
        <f aca="false">F10</f>
        <v>-118184.9</v>
      </c>
      <c r="G11" s="31" t="n">
        <f aca="false">G10</f>
        <v>-165245.5</v>
      </c>
      <c r="H11" s="31" t="n">
        <f aca="false">H10</f>
        <v>-162898.35</v>
      </c>
      <c r="I11" s="31" t="n">
        <f aca="false">I10</f>
        <v>-176136.7</v>
      </c>
      <c r="J11" s="31" t="n">
        <f aca="false">J10</f>
        <v>-186508.525</v>
      </c>
      <c r="K11" s="31" t="n">
        <f aca="false">K10</f>
        <v>-183842.6</v>
      </c>
      <c r="L11" s="31" t="n">
        <f aca="false">L10</f>
        <v>-181023.15</v>
      </c>
      <c r="M11" s="31" t="n">
        <f aca="false">M10</f>
        <v>-191171.95</v>
      </c>
      <c r="N11" s="31" t="n">
        <f aca="false">N10</f>
        <v>-187972.7</v>
      </c>
      <c r="O11" s="31" t="n">
        <f aca="false">O10</f>
        <v>-184548.175</v>
      </c>
      <c r="P11" s="31" t="n">
        <f aca="false">P10</f>
        <v>-180863.35</v>
      </c>
      <c r="Q11" s="31" t="n">
        <f aca="false">Q10</f>
        <v>-177007.025</v>
      </c>
      <c r="R11" s="31" t="n">
        <f aca="false">R10</f>
        <v>-172854.675</v>
      </c>
      <c r="S11" s="31" t="n">
        <f aca="false">S10</f>
        <v>-168372.275</v>
      </c>
      <c r="T11" s="31" t="n">
        <f aca="false">T10</f>
        <v>-163602.85</v>
      </c>
      <c r="U11" s="31" t="n">
        <f aca="false">U10</f>
        <v>-158430.625</v>
      </c>
      <c r="V11" s="31" t="n">
        <f aca="false">V10</f>
        <v>-152860.6</v>
      </c>
      <c r="W11" s="31" t="n">
        <f aca="false">W10</f>
        <v>-146897.775</v>
      </c>
      <c r="X11" s="31" t="n">
        <f aca="false">X10</f>
        <v>-140467.4</v>
      </c>
      <c r="Y11" s="31" t="n">
        <f aca="false">Y10</f>
        <v>-133455.7</v>
      </c>
      <c r="Z11" s="31" t="n">
        <f aca="false">Z10</f>
        <v>-125867.675</v>
      </c>
      <c r="AA11" s="31" t="n">
        <f aca="false">AA10</f>
        <v>-117748.35</v>
      </c>
      <c r="AB11" s="31" t="n">
        <f aca="false">AB10</f>
        <v>-108914.95</v>
      </c>
      <c r="AC11" s="31" t="n">
        <f aca="false">AC10</f>
        <v>-99445.475</v>
      </c>
      <c r="AD11" s="31" t="n">
        <f aca="false">AD10</f>
        <v>-89228.15</v>
      </c>
      <c r="AE11" s="31" t="n">
        <f aca="false">AE10</f>
        <v>-78109.475</v>
      </c>
      <c r="AF11" s="31" t="n">
        <f aca="false">AF10</f>
        <v>-66097.45</v>
      </c>
      <c r="AG11" s="31" t="n">
        <f aca="false">AG10</f>
        <v>-53001.55</v>
      </c>
      <c r="AH11" s="31" t="n">
        <f aca="false">AH10</f>
        <v>-38911.525</v>
      </c>
      <c r="AI11" s="31" t="n">
        <f aca="false">AI10</f>
        <v>-23757.625</v>
      </c>
      <c r="AJ11" s="31" t="n">
        <f aca="false">AJ10</f>
        <v>-7350.32500000001</v>
      </c>
      <c r="AK11" s="31" t="n">
        <f aca="false">AK10</f>
        <v>10460.875</v>
      </c>
      <c r="AL11" s="27"/>
      <c r="AM11" s="27"/>
      <c r="AN11" s="27"/>
      <c r="AO11" s="27"/>
      <c r="AP11" s="27"/>
      <c r="AQ11" s="27"/>
      <c r="AR11" s="27"/>
    </row>
    <row r="13" customFormat="false" ht="15" hidden="false" customHeight="true" outlineLevel="0" collapsed="false">
      <c r="A13" s="10" t="s">
        <v>219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customFormat="false" ht="15" hidden="false" customHeight="true" outlineLevel="0" collapsed="false">
      <c r="A14" s="11" t="s">
        <v>220</v>
      </c>
      <c r="B14" s="28" t="n">
        <f aca="false">IF(1=ASSUMPTIONS!$B$105,ASSUMPTIONS!$B$104,0)</f>
        <v>0</v>
      </c>
      <c r="C14" s="28" t="n">
        <f aca="false">IF(2=ASSUMPTIONS!$B$105,ASSUMPTIONS!$B$104,0)</f>
        <v>0</v>
      </c>
      <c r="D14" s="28" t="n">
        <f aca="false">IF(3=ASSUMPTIONS!$B$105,ASSUMPTIONS!$B$104,0)</f>
        <v>0</v>
      </c>
      <c r="E14" s="28" t="n">
        <f aca="false">IF(4=ASSUMPTIONS!$B$105,ASSUMPTIONS!$B$104,0)</f>
        <v>0</v>
      </c>
      <c r="F14" s="28" t="n">
        <f aca="false">IF(5=ASSUMPTIONS!$B$105,ASSUMPTIONS!$B$104,0)</f>
        <v>0</v>
      </c>
      <c r="G14" s="28" t="n">
        <f aca="false">IF(6=ASSUMPTIONS!$B$105,ASSUMPTIONS!$B$104,0)</f>
        <v>5000000</v>
      </c>
      <c r="H14" s="28" t="n">
        <f aca="false">IF(7=ASSUMPTIONS!$B$105,ASSUMPTIONS!$B$104,0)</f>
        <v>0</v>
      </c>
      <c r="I14" s="28" t="n">
        <f aca="false">IF(8=ASSUMPTIONS!$B$105,ASSUMPTIONS!$B$104,0)</f>
        <v>0</v>
      </c>
      <c r="J14" s="28" t="n">
        <f aca="false">IF(9=ASSUMPTIONS!$B$105,ASSUMPTIONS!$B$104,0)</f>
        <v>0</v>
      </c>
      <c r="K14" s="28" t="n">
        <f aca="false">IF(10=ASSUMPTIONS!$B$105,ASSUMPTIONS!$B$104,0)</f>
        <v>0</v>
      </c>
      <c r="L14" s="28" t="n">
        <f aca="false">IF(11=ASSUMPTIONS!$B$105,ASSUMPTIONS!$B$104,0)</f>
        <v>0</v>
      </c>
      <c r="M14" s="28" t="n">
        <f aca="false">IF(12=ASSUMPTIONS!$B$105,ASSUMPTIONS!$B$104,0)</f>
        <v>0</v>
      </c>
      <c r="N14" s="28" t="n">
        <f aca="false">IF(13=ASSUMPTIONS!$B$105,ASSUMPTIONS!$B$104,0)</f>
        <v>0</v>
      </c>
      <c r="O14" s="28" t="n">
        <f aca="false">IF(14=ASSUMPTIONS!$B$105,ASSUMPTIONS!$B$104,0)</f>
        <v>0</v>
      </c>
      <c r="P14" s="28" t="n">
        <f aca="false">IF(15=ASSUMPTIONS!$B$105,ASSUMPTIONS!$B$104,0)</f>
        <v>0</v>
      </c>
      <c r="Q14" s="28" t="n">
        <f aca="false">IF(16=ASSUMPTIONS!$B$105,ASSUMPTIONS!$B$104,0)</f>
        <v>0</v>
      </c>
      <c r="R14" s="28" t="n">
        <f aca="false">IF(17=ASSUMPTIONS!$B$105,ASSUMPTIONS!$B$104,0)</f>
        <v>0</v>
      </c>
      <c r="S14" s="28" t="n">
        <f aca="false">IF(18=ASSUMPTIONS!$B$105,ASSUMPTIONS!$B$104,0)</f>
        <v>0</v>
      </c>
      <c r="T14" s="28" t="n">
        <f aca="false">IF(19=ASSUMPTIONS!$B$105,ASSUMPTIONS!$B$104,0)</f>
        <v>0</v>
      </c>
      <c r="U14" s="28" t="n">
        <f aca="false">IF(20=ASSUMPTIONS!$B$105,ASSUMPTIONS!$B$104,0)</f>
        <v>0</v>
      </c>
      <c r="V14" s="28" t="n">
        <f aca="false">IF(21=ASSUMPTIONS!$B$105,ASSUMPTIONS!$B$104,0)</f>
        <v>0</v>
      </c>
      <c r="W14" s="28" t="n">
        <f aca="false">IF(22=ASSUMPTIONS!$B$105,ASSUMPTIONS!$B$104,0)</f>
        <v>0</v>
      </c>
      <c r="X14" s="28" t="n">
        <f aca="false">IF(23=ASSUMPTIONS!$B$105,ASSUMPTIONS!$B$104,0)</f>
        <v>0</v>
      </c>
      <c r="Y14" s="28" t="n">
        <f aca="false">IF(24=ASSUMPTIONS!$B$105,ASSUMPTIONS!$B$104,0)</f>
        <v>0</v>
      </c>
      <c r="Z14" s="28" t="n">
        <f aca="false">IF(25=ASSUMPTIONS!$B$105,ASSUMPTIONS!$B$104,0)</f>
        <v>0</v>
      </c>
      <c r="AA14" s="28" t="n">
        <f aca="false">IF(26=ASSUMPTIONS!$B$105,ASSUMPTIONS!$B$104,0)</f>
        <v>0</v>
      </c>
      <c r="AB14" s="28" t="n">
        <f aca="false">IF(27=ASSUMPTIONS!$B$105,ASSUMPTIONS!$B$104,0)</f>
        <v>0</v>
      </c>
      <c r="AC14" s="28" t="n">
        <f aca="false">IF(28=ASSUMPTIONS!$B$105,ASSUMPTIONS!$B$104,0)</f>
        <v>0</v>
      </c>
      <c r="AD14" s="28" t="n">
        <f aca="false">IF(29=ASSUMPTIONS!$B$105,ASSUMPTIONS!$B$104,0)</f>
        <v>0</v>
      </c>
      <c r="AE14" s="28" t="n">
        <f aca="false">IF(30=ASSUMPTIONS!$B$105,ASSUMPTIONS!$B$104,0)</f>
        <v>0</v>
      </c>
      <c r="AF14" s="28" t="n">
        <f aca="false">IF(31=ASSUMPTIONS!$B$105,ASSUMPTIONS!$B$104,0)</f>
        <v>0</v>
      </c>
      <c r="AG14" s="28" t="n">
        <f aca="false">IF(32=ASSUMPTIONS!$B$105,ASSUMPTIONS!$B$104,0)</f>
        <v>0</v>
      </c>
      <c r="AH14" s="28" t="n">
        <f aca="false">IF(33=ASSUMPTIONS!$B$105,ASSUMPTIONS!$B$104,0)</f>
        <v>0</v>
      </c>
      <c r="AI14" s="28" t="n">
        <f aca="false">IF(34=ASSUMPTIONS!$B$105,ASSUMPTIONS!$B$104,0)</f>
        <v>0</v>
      </c>
      <c r="AJ14" s="28" t="n">
        <f aca="false">IF(35=ASSUMPTIONS!$B$105,ASSUMPTIONS!$B$104,0)</f>
        <v>0</v>
      </c>
      <c r="AK14" s="28" t="n">
        <f aca="false">IF(36=ASSUMPTIONS!$B$105,ASSUMPTIONS!$B$104,0)</f>
        <v>0</v>
      </c>
    </row>
    <row r="16" customFormat="false" ht="15" hidden="false" customHeight="true" outlineLevel="0" collapsed="false">
      <c r="A16" s="29" t="s">
        <v>221</v>
      </c>
      <c r="B16" s="30" t="n">
        <f aca="false">B11+B14</f>
        <v>-60495.825</v>
      </c>
      <c r="C16" s="30" t="n">
        <f aca="false">C11+C14</f>
        <v>-58656.25</v>
      </c>
      <c r="D16" s="30" t="n">
        <f aca="false">D11+D14</f>
        <v>-94101.9</v>
      </c>
      <c r="E16" s="30" t="n">
        <f aca="false">E11+E14</f>
        <v>-120250.775</v>
      </c>
      <c r="F16" s="30" t="n">
        <f aca="false">F11+F14</f>
        <v>-118184.9</v>
      </c>
      <c r="G16" s="30" t="n">
        <f aca="false">G11+G14</f>
        <v>4834754.5</v>
      </c>
      <c r="H16" s="30" t="n">
        <f aca="false">H11+H14</f>
        <v>-162898.35</v>
      </c>
      <c r="I16" s="30" t="n">
        <f aca="false">I11+I14</f>
        <v>-176136.7</v>
      </c>
      <c r="J16" s="30" t="n">
        <f aca="false">J11+J14</f>
        <v>-186508.525</v>
      </c>
      <c r="K16" s="30" t="n">
        <f aca="false">K11+K14</f>
        <v>-183842.6</v>
      </c>
      <c r="L16" s="30" t="n">
        <f aca="false">L11+L14</f>
        <v>-181023.15</v>
      </c>
      <c r="M16" s="30" t="n">
        <f aca="false">M11+M14</f>
        <v>-191171.95</v>
      </c>
      <c r="N16" s="30" t="n">
        <f aca="false">N11+N14</f>
        <v>-187972.7</v>
      </c>
      <c r="O16" s="30" t="n">
        <f aca="false">O11+O14</f>
        <v>-184548.175</v>
      </c>
      <c r="P16" s="30" t="n">
        <f aca="false">P11+P14</f>
        <v>-180863.35</v>
      </c>
      <c r="Q16" s="30" t="n">
        <f aca="false">Q11+Q14</f>
        <v>-177007.025</v>
      </c>
      <c r="R16" s="30" t="n">
        <f aca="false">R11+R14</f>
        <v>-172854.675</v>
      </c>
      <c r="S16" s="30" t="n">
        <f aca="false">S11+S14</f>
        <v>-168372.275</v>
      </c>
      <c r="T16" s="30" t="n">
        <f aca="false">T11+T14</f>
        <v>-163602.85</v>
      </c>
      <c r="U16" s="30" t="n">
        <f aca="false">U11+U14</f>
        <v>-158430.625</v>
      </c>
      <c r="V16" s="30" t="n">
        <f aca="false">V11+V14</f>
        <v>-152860.6</v>
      </c>
      <c r="W16" s="30" t="n">
        <f aca="false">W11+W14</f>
        <v>-146897.775</v>
      </c>
      <c r="X16" s="30" t="n">
        <f aca="false">X11+X14</f>
        <v>-140467.4</v>
      </c>
      <c r="Y16" s="30" t="n">
        <f aca="false">Y11+Y14</f>
        <v>-133455.7</v>
      </c>
      <c r="Z16" s="30" t="n">
        <f aca="false">Z11+Z14</f>
        <v>-125867.675</v>
      </c>
      <c r="AA16" s="30" t="n">
        <f aca="false">AA11+AA14</f>
        <v>-117748.35</v>
      </c>
      <c r="AB16" s="30" t="n">
        <f aca="false">AB11+AB14</f>
        <v>-108914.95</v>
      </c>
      <c r="AC16" s="30" t="n">
        <f aca="false">AC11+AC14</f>
        <v>-99445.475</v>
      </c>
      <c r="AD16" s="30" t="n">
        <f aca="false">AD11+AD14</f>
        <v>-89228.15</v>
      </c>
      <c r="AE16" s="30" t="n">
        <f aca="false">AE11+AE14</f>
        <v>-78109.475</v>
      </c>
      <c r="AF16" s="30" t="n">
        <f aca="false">AF11+AF14</f>
        <v>-66097.45</v>
      </c>
      <c r="AG16" s="30" t="n">
        <f aca="false">AG11+AG14</f>
        <v>-53001.55</v>
      </c>
      <c r="AH16" s="30" t="n">
        <f aca="false">AH11+AH14</f>
        <v>-38911.525</v>
      </c>
      <c r="AI16" s="30" t="n">
        <f aca="false">AI11+AI14</f>
        <v>-23757.625</v>
      </c>
      <c r="AJ16" s="30" t="n">
        <f aca="false">AJ11+AJ14</f>
        <v>-7350.32500000001</v>
      </c>
      <c r="AK16" s="30" t="n">
        <f aca="false">AK11+AK14</f>
        <v>10460.875</v>
      </c>
    </row>
    <row r="17" customFormat="false" ht="15" hidden="false" customHeight="true" outlineLevel="0" collapsed="false">
      <c r="A17" s="25" t="s">
        <v>222</v>
      </c>
      <c r="B17" s="26" t="n">
        <f aca="false">B7+B16</f>
        <v>439504.175</v>
      </c>
      <c r="C17" s="26" t="n">
        <f aca="false">C7+C16</f>
        <v>380847.925</v>
      </c>
      <c r="D17" s="26" t="n">
        <f aca="false">D7+D16</f>
        <v>286746.025</v>
      </c>
      <c r="E17" s="26" t="n">
        <f aca="false">E7+E16</f>
        <v>166495.25</v>
      </c>
      <c r="F17" s="26" t="n">
        <f aca="false">F7+F16</f>
        <v>48310.35</v>
      </c>
      <c r="G17" s="26" t="n">
        <f aca="false">G7+G16</f>
        <v>4883064.85</v>
      </c>
      <c r="H17" s="26" t="n">
        <f aca="false">H7+H16</f>
        <v>4720166.5</v>
      </c>
      <c r="I17" s="26" t="n">
        <f aca="false">I7+I16</f>
        <v>4544029.8</v>
      </c>
      <c r="J17" s="26" t="n">
        <f aca="false">J7+J16</f>
        <v>4357521.275</v>
      </c>
      <c r="K17" s="26" t="n">
        <f aca="false">K7+K16</f>
        <v>4173678.675</v>
      </c>
      <c r="L17" s="26" t="n">
        <f aca="false">L7+L16</f>
        <v>3992655.525</v>
      </c>
      <c r="M17" s="26" t="n">
        <f aca="false">M7+M16</f>
        <v>3801483.575</v>
      </c>
      <c r="N17" s="26" t="n">
        <f aca="false">N7+N16</f>
        <v>3613510.875</v>
      </c>
      <c r="O17" s="26" t="n">
        <f aca="false">O7+O16</f>
        <v>3428962.7</v>
      </c>
      <c r="P17" s="26" t="n">
        <f aca="false">P7+P16</f>
        <v>3248099.35</v>
      </c>
      <c r="Q17" s="26" t="n">
        <f aca="false">Q7+Q16</f>
        <v>3071092.325</v>
      </c>
      <c r="R17" s="26" t="n">
        <f aca="false">R7+R16</f>
        <v>2898237.65</v>
      </c>
      <c r="S17" s="26" t="n">
        <f aca="false">S7+S16</f>
        <v>2729865.375</v>
      </c>
      <c r="T17" s="26" t="n">
        <f aca="false">T7+T16</f>
        <v>2566262.525</v>
      </c>
      <c r="U17" s="26" t="n">
        <f aca="false">U7+U16</f>
        <v>2407831.9</v>
      </c>
      <c r="V17" s="26" t="n">
        <f aca="false">V7+V16</f>
        <v>2254971.3</v>
      </c>
      <c r="W17" s="26" t="n">
        <f aca="false">W7+W16</f>
        <v>2108073.525</v>
      </c>
      <c r="X17" s="26" t="n">
        <f aca="false">X7+X16</f>
        <v>1967606.125</v>
      </c>
      <c r="Y17" s="26" t="n">
        <f aca="false">Y7+Y16</f>
        <v>1834150.425</v>
      </c>
      <c r="Z17" s="26" t="n">
        <f aca="false">Z7+Z16</f>
        <v>1708282.75</v>
      </c>
      <c r="AA17" s="26" t="n">
        <f aca="false">AA7+AA16</f>
        <v>1590534.4</v>
      </c>
      <c r="AB17" s="26" t="n">
        <f aca="false">AB7+AB16</f>
        <v>1481619.45</v>
      </c>
      <c r="AC17" s="26" t="n">
        <f aca="false">AC7+AC16</f>
        <v>1382173.975</v>
      </c>
      <c r="AD17" s="26" t="n">
        <f aca="false">AD7+AD16</f>
        <v>1292945.825</v>
      </c>
      <c r="AE17" s="26" t="n">
        <f aca="false">AE7+AE16</f>
        <v>1214836.35</v>
      </c>
      <c r="AF17" s="26" t="n">
        <f aca="false">AF7+AF16</f>
        <v>1148738.9</v>
      </c>
      <c r="AG17" s="26" t="n">
        <f aca="false">AG7+AG16</f>
        <v>1095737.35</v>
      </c>
      <c r="AH17" s="26" t="n">
        <f aca="false">AH7+AH16</f>
        <v>1056825.825</v>
      </c>
      <c r="AI17" s="26" t="n">
        <f aca="false">AI7+AI16</f>
        <v>1033068.2</v>
      </c>
      <c r="AJ17" s="26" t="n">
        <f aca="false">AJ7+AJ16</f>
        <v>1025717.875</v>
      </c>
      <c r="AK17" s="26" t="n">
        <f aca="false">AK7+AK16</f>
        <v>1036178.75</v>
      </c>
      <c r="AL17" s="27"/>
      <c r="AM17" s="27"/>
      <c r="AN17" s="27"/>
      <c r="AO17" s="27"/>
      <c r="AP17" s="27"/>
      <c r="AQ17" s="27"/>
      <c r="AR17" s="27"/>
    </row>
    <row r="19" customFormat="false" ht="15" hidden="false" customHeight="true" outlineLevel="0" collapsed="false">
      <c r="A19" s="13" t="s">
        <v>223</v>
      </c>
      <c r="B19" s="19" t="n">
        <f aca="false">B11</f>
        <v>-60495.825</v>
      </c>
      <c r="C19" s="19" t="n">
        <f aca="false">C11</f>
        <v>-58656.25</v>
      </c>
      <c r="D19" s="19" t="n">
        <f aca="false">D11</f>
        <v>-94101.9</v>
      </c>
      <c r="E19" s="19" t="n">
        <f aca="false">E11</f>
        <v>-120250.775</v>
      </c>
      <c r="F19" s="19" t="n">
        <f aca="false">F11</f>
        <v>-118184.9</v>
      </c>
      <c r="G19" s="19" t="n">
        <f aca="false">G11</f>
        <v>-165245.5</v>
      </c>
      <c r="H19" s="19" t="n">
        <f aca="false">H11</f>
        <v>-162898.35</v>
      </c>
      <c r="I19" s="19" t="n">
        <f aca="false">I11</f>
        <v>-176136.7</v>
      </c>
      <c r="J19" s="19" t="n">
        <f aca="false">J11</f>
        <v>-186508.525</v>
      </c>
      <c r="K19" s="19" t="n">
        <f aca="false">K11</f>
        <v>-183842.6</v>
      </c>
      <c r="L19" s="19" t="n">
        <f aca="false">L11</f>
        <v>-181023.15</v>
      </c>
      <c r="M19" s="19" t="n">
        <f aca="false">M11</f>
        <v>-191171.95</v>
      </c>
      <c r="N19" s="19" t="n">
        <f aca="false">N11</f>
        <v>-187972.7</v>
      </c>
      <c r="O19" s="19" t="n">
        <f aca="false">O11</f>
        <v>-184548.175</v>
      </c>
      <c r="P19" s="19" t="n">
        <f aca="false">P11</f>
        <v>-180863.35</v>
      </c>
      <c r="Q19" s="19" t="n">
        <f aca="false">Q11</f>
        <v>-177007.025</v>
      </c>
      <c r="R19" s="19" t="n">
        <f aca="false">R11</f>
        <v>-172854.675</v>
      </c>
      <c r="S19" s="19" t="n">
        <f aca="false">S11</f>
        <v>-168372.275</v>
      </c>
      <c r="T19" s="19" t="n">
        <f aca="false">T11</f>
        <v>-163602.85</v>
      </c>
      <c r="U19" s="19" t="n">
        <f aca="false">U11</f>
        <v>-158430.625</v>
      </c>
      <c r="V19" s="19" t="n">
        <f aca="false">V11</f>
        <v>-152860.6</v>
      </c>
      <c r="W19" s="19" t="n">
        <f aca="false">W11</f>
        <v>-146897.775</v>
      </c>
      <c r="X19" s="19" t="n">
        <f aca="false">X11</f>
        <v>-140467.4</v>
      </c>
      <c r="Y19" s="19" t="n">
        <f aca="false">Y11</f>
        <v>-133455.7</v>
      </c>
      <c r="Z19" s="19" t="n">
        <f aca="false">Z11</f>
        <v>-125867.675</v>
      </c>
      <c r="AA19" s="19" t="n">
        <f aca="false">AA11</f>
        <v>-117748.35</v>
      </c>
      <c r="AB19" s="19" t="n">
        <f aca="false">AB11</f>
        <v>-108914.95</v>
      </c>
      <c r="AC19" s="19" t="n">
        <f aca="false">AC11</f>
        <v>-99445.475</v>
      </c>
      <c r="AD19" s="19" t="n">
        <f aca="false">AD11</f>
        <v>-89228.15</v>
      </c>
      <c r="AE19" s="19" t="n">
        <f aca="false">AE11</f>
        <v>-78109.475</v>
      </c>
      <c r="AF19" s="19" t="n">
        <f aca="false">AF11</f>
        <v>-66097.45</v>
      </c>
      <c r="AG19" s="19" t="n">
        <f aca="false">AG11</f>
        <v>-53001.55</v>
      </c>
      <c r="AH19" s="19" t="n">
        <f aca="false">AH11</f>
        <v>-38911.525</v>
      </c>
      <c r="AI19" s="19" t="n">
        <f aca="false">AI11</f>
        <v>-23757.625</v>
      </c>
      <c r="AJ19" s="19" t="n">
        <f aca="false">AJ11</f>
        <v>-7350.32500000001</v>
      </c>
      <c r="AK19" s="19" t="n">
        <f aca="false">AK11</f>
        <v>10460.875</v>
      </c>
    </row>
    <row r="20" customFormat="false" ht="15" hidden="false" customHeight="true" outlineLevel="0" collapsed="false">
      <c r="A20" s="11" t="s">
        <v>224</v>
      </c>
      <c r="B20" s="33" t="n">
        <f aca="false">IFERROR(IF(B19&lt;0,B17/ABS(B19),"∞"),0)</f>
        <v>7.26503316551184</v>
      </c>
      <c r="C20" s="33" t="n">
        <f aca="false">IFERROR(IF(C19&lt;0,C17/ABS(C19),"∞"),0)</f>
        <v>6.49287884922749</v>
      </c>
      <c r="D20" s="33" t="n">
        <f aca="false">IFERROR(IF(D19&lt;0,D17/ABS(D19),"∞"),0)</f>
        <v>3.04718634799085</v>
      </c>
      <c r="E20" s="33" t="n">
        <f aca="false">IFERROR(IF(E19&lt;0,E17/ABS(E19),"∞"),0)</f>
        <v>1.38456696017136</v>
      </c>
      <c r="F20" s="33" t="n">
        <f aca="false">IFERROR(IF(F19&lt;0,F17/ABS(F19),"∞"),0)</f>
        <v>0.408769225171744</v>
      </c>
      <c r="G20" s="33" t="n">
        <f aca="false">IFERROR(IF(G19&lt;0,G17/ABS(G19),"∞"),0)</f>
        <v>29.5503650628913</v>
      </c>
      <c r="H20" s="33" t="n">
        <f aca="false">IFERROR(IF(H19&lt;0,H17/ABS(H19),"∞"),0)</f>
        <v>28.9761467811061</v>
      </c>
      <c r="I20" s="33" t="n">
        <f aca="false">IFERROR(IF(I19&lt;0,I17/ABS(I19),"∞"),0)</f>
        <v>25.7983134690272</v>
      </c>
      <c r="J20" s="33" t="n">
        <f aca="false">IFERROR(IF(J19&lt;0,J17/ABS(J19),"∞"),0)</f>
        <v>23.3636573716939</v>
      </c>
      <c r="K20" s="33" t="n">
        <f aca="false">IFERROR(IF(K19&lt;0,K17/ABS(K19),"∞"),0)</f>
        <v>22.7024567483271</v>
      </c>
      <c r="L20" s="33" t="n">
        <f aca="false">IFERROR(IF(L19&lt;0,L17/ABS(L19),"∞"),0)</f>
        <v>22.0560493229733</v>
      </c>
      <c r="M20" s="33" t="n">
        <f aca="false">IFERROR(IF(M19&lt;0,M17/ABS(M19),"∞"),0)</f>
        <v>19.8851535227841</v>
      </c>
      <c r="N20" s="33" t="n">
        <f aca="false">IFERROR(IF(N19&lt;0,N17/ABS(N19),"∞"),0)</f>
        <v>19.2235940378576</v>
      </c>
      <c r="O20" s="33" t="n">
        <f aca="false">IFERROR(IF(O19&lt;0,O17/ABS(O19),"∞"),0)</f>
        <v>18.5803121596841</v>
      </c>
      <c r="P20" s="33" t="n">
        <f aca="false">IFERROR(IF(P19&lt;0,P17/ABS(P19),"∞"),0)</f>
        <v>17.9588587184745</v>
      </c>
      <c r="Q20" s="33" t="n">
        <f aca="false">IFERROR(IF(Q19&lt;0,Q17/ABS(Q19),"∞"),0)</f>
        <v>17.3501154827047</v>
      </c>
      <c r="R20" s="33" t="n">
        <f aca="false">IFERROR(IF(R19&lt;0,R17/ABS(R19),"∞"),0)</f>
        <v>16.7669034696342</v>
      </c>
      <c r="S20" s="33" t="n">
        <f aca="false">IFERROR(IF(S19&lt;0,S17/ABS(S19),"∞"),0)</f>
        <v>16.2132713060983</v>
      </c>
      <c r="T20" s="33" t="n">
        <f aca="false">IFERROR(IF(T19&lt;0,T17/ABS(T19),"∞"),0)</f>
        <v>15.6859279957531</v>
      </c>
      <c r="U20" s="33" t="n">
        <f aca="false">IFERROR(IF(U19&lt;0,U17/ABS(U19),"∞"),0)</f>
        <v>15.1980205847196</v>
      </c>
      <c r="V20" s="33" t="n">
        <f aca="false">IFERROR(IF(V19&lt;0,V17/ABS(V19),"∞"),0)</f>
        <v>14.7518150524072</v>
      </c>
      <c r="W20" s="33" t="n">
        <f aca="false">IFERROR(IF(W19&lt;0,W17/ABS(W19),"∞"),0)</f>
        <v>14.3506157598371</v>
      </c>
      <c r="X20" s="33" t="n">
        <f aca="false">IFERROR(IF(X19&lt;0,X17/ABS(X19),"∞"),0)</f>
        <v>14.0075642106282</v>
      </c>
      <c r="Y20" s="33" t="n">
        <f aca="false">IFERROR(IF(Y19&lt;0,Y17/ABS(Y19),"∞"),0)</f>
        <v>13.7435150765385</v>
      </c>
      <c r="Z20" s="33" t="n">
        <f aca="false">IFERROR(IF(Z19&lt;0,Z17/ABS(Z19),"∞"),0)</f>
        <v>13.5720529516415</v>
      </c>
      <c r="AA20" s="33" t="n">
        <f aca="false">IFERROR(IF(AA19&lt;0,AA17/ABS(AA19),"∞"),0)</f>
        <v>13.5079124250998</v>
      </c>
      <c r="AB20" s="33" t="n">
        <f aca="false">IFERROR(IF(AB19&lt;0,AB17/ABS(AB19),"∞"),0)</f>
        <v>13.6034534285697</v>
      </c>
      <c r="AC20" s="33" t="n">
        <f aca="false">IFERROR(IF(AC19&lt;0,AC17/ABS(AC19),"∞"),0)</f>
        <v>13.8988121380083</v>
      </c>
      <c r="AD20" s="33" t="n">
        <f aca="false">IFERROR(IF(AD19&lt;0,AD17/ABS(AD19),"∞"),0)</f>
        <v>14.4903354490707</v>
      </c>
      <c r="AE20" s="33" t="n">
        <f aca="false">IFERROR(IF(AE19&lt;0,AE17/ABS(AE19),"∞"),0)</f>
        <v>15.5529959713594</v>
      </c>
      <c r="AF20" s="33" t="n">
        <f aca="false">IFERROR(IF(AF19&lt;0,AF17/ABS(AF19),"∞"),0)</f>
        <v>17.3794737921054</v>
      </c>
      <c r="AG20" s="33" t="n">
        <f aca="false">IFERROR(IF(AG19&lt;0,AG17/ABS(AG19),"∞"),0)</f>
        <v>20.6736850148722</v>
      </c>
      <c r="AH20" s="33" t="n">
        <f aca="false">IFERROR(IF(AH19&lt;0,AH17/ABS(AH19),"∞"),0)</f>
        <v>27.159712321735</v>
      </c>
      <c r="AI20" s="33" t="n">
        <f aca="false">IFERROR(IF(AI19&lt;0,AI17/ABS(AI19),"∞"),0)</f>
        <v>43.4836478814696</v>
      </c>
      <c r="AJ20" s="33" t="n">
        <f aca="false">IFERROR(IF(AJ19&lt;0,AJ17/ABS(AJ19),"∞"),0)</f>
        <v>139.547281922908</v>
      </c>
      <c r="AK20" s="33" t="str">
        <f aca="false">IFERROR(IF(AK19&lt;0,AK17/ABS(AK19),"∞"),0)</f>
        <v>∞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2" min="2" style="1" width="13"/>
  </cols>
  <sheetData>
    <row r="1" customFormat="false" ht="17.25" hidden="false" customHeight="true" outlineLevel="0" collapsed="false">
      <c r="A1" s="2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8" t="s">
        <v>225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4" customFormat="false" ht="15" hidden="false" customHeight="true" outlineLevel="0" collapsed="false">
      <c r="B4" s="22" t="s">
        <v>144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2" t="s">
        <v>145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2" t="s">
        <v>146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18"/>
      <c r="AM4" s="18"/>
      <c r="AN4" s="18"/>
    </row>
    <row r="5" customFormat="false" ht="15" hidden="false" customHeight="true" outlineLevel="0" collapsed="false">
      <c r="B5" s="22" t="s">
        <v>147</v>
      </c>
      <c r="C5" s="22" t="s">
        <v>148</v>
      </c>
      <c r="D5" s="22" t="s">
        <v>149</v>
      </c>
      <c r="E5" s="22" t="s">
        <v>150</v>
      </c>
      <c r="F5" s="22" t="s">
        <v>151</v>
      </c>
      <c r="G5" s="22" t="s">
        <v>152</v>
      </c>
      <c r="H5" s="22" t="s">
        <v>153</v>
      </c>
      <c r="I5" s="22" t="s">
        <v>154</v>
      </c>
      <c r="J5" s="22" t="s">
        <v>155</v>
      </c>
      <c r="K5" s="22" t="s">
        <v>156</v>
      </c>
      <c r="L5" s="22" t="s">
        <v>157</v>
      </c>
      <c r="M5" s="22" t="s">
        <v>158</v>
      </c>
      <c r="N5" s="22" t="s">
        <v>147</v>
      </c>
      <c r="O5" s="22" t="s">
        <v>148</v>
      </c>
      <c r="P5" s="22" t="s">
        <v>149</v>
      </c>
      <c r="Q5" s="22" t="s">
        <v>150</v>
      </c>
      <c r="R5" s="22" t="s">
        <v>151</v>
      </c>
      <c r="S5" s="22" t="s">
        <v>152</v>
      </c>
      <c r="T5" s="22" t="s">
        <v>153</v>
      </c>
      <c r="U5" s="22" t="s">
        <v>154</v>
      </c>
      <c r="V5" s="22" t="s">
        <v>155</v>
      </c>
      <c r="W5" s="22" t="s">
        <v>156</v>
      </c>
      <c r="X5" s="22" t="s">
        <v>157</v>
      </c>
      <c r="Y5" s="22" t="s">
        <v>158</v>
      </c>
      <c r="Z5" s="22" t="s">
        <v>147</v>
      </c>
      <c r="AA5" s="22" t="s">
        <v>148</v>
      </c>
      <c r="AB5" s="22" t="s">
        <v>149</v>
      </c>
      <c r="AC5" s="22" t="s">
        <v>150</v>
      </c>
      <c r="AD5" s="22" t="s">
        <v>151</v>
      </c>
      <c r="AE5" s="22" t="s">
        <v>152</v>
      </c>
      <c r="AF5" s="22" t="s">
        <v>153</v>
      </c>
      <c r="AG5" s="22" t="s">
        <v>154</v>
      </c>
      <c r="AH5" s="22" t="s">
        <v>155</v>
      </c>
      <c r="AI5" s="22" t="s">
        <v>156</v>
      </c>
      <c r="AJ5" s="22" t="s">
        <v>157</v>
      </c>
      <c r="AK5" s="22" t="s">
        <v>158</v>
      </c>
      <c r="AL5" s="23" t="s">
        <v>159</v>
      </c>
      <c r="AM5" s="23" t="s">
        <v>160</v>
      </c>
      <c r="AN5" s="23" t="s">
        <v>161</v>
      </c>
    </row>
    <row r="6" customFormat="false" ht="15" hidden="false" customHeight="true" outlineLevel="0" collapsed="false">
      <c r="A6" s="10" t="s">
        <v>226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customFormat="false" ht="15" hidden="false" customHeight="true" outlineLevel="0" collapsed="false">
      <c r="A7" s="11" t="s">
        <v>227</v>
      </c>
      <c r="B7" s="28" t="n">
        <f aca="false">IFERROR('CASH FLOW'!B17,0)</f>
        <v>439504.175</v>
      </c>
      <c r="C7" s="28" t="n">
        <f aca="false">IFERROR('CASH FLOW'!C17,0)</f>
        <v>380847.925</v>
      </c>
      <c r="D7" s="28" t="n">
        <f aca="false">IFERROR('CASH FLOW'!D17,0)</f>
        <v>286746.025</v>
      </c>
      <c r="E7" s="28" t="n">
        <f aca="false">IFERROR('CASH FLOW'!E17,0)</f>
        <v>166495.25</v>
      </c>
      <c r="F7" s="28" t="n">
        <f aca="false">IFERROR('CASH FLOW'!F17,0)</f>
        <v>48310.35</v>
      </c>
      <c r="G7" s="28" t="n">
        <f aca="false">IFERROR('CASH FLOW'!G17,0)</f>
        <v>4883064.85</v>
      </c>
      <c r="H7" s="28" t="n">
        <f aca="false">IFERROR('CASH FLOW'!H17,0)</f>
        <v>4720166.5</v>
      </c>
      <c r="I7" s="28" t="n">
        <f aca="false">IFERROR('CASH FLOW'!I17,0)</f>
        <v>4544029.8</v>
      </c>
      <c r="J7" s="28" t="n">
        <f aca="false">IFERROR('CASH FLOW'!J17,0)</f>
        <v>4357521.275</v>
      </c>
      <c r="K7" s="28" t="n">
        <f aca="false">IFERROR('CASH FLOW'!K17,0)</f>
        <v>4173678.675</v>
      </c>
      <c r="L7" s="28" t="n">
        <f aca="false">IFERROR('CASH FLOW'!L17,0)</f>
        <v>3992655.525</v>
      </c>
      <c r="M7" s="28" t="n">
        <f aca="false">IFERROR('CASH FLOW'!M17,0)</f>
        <v>3801483.575</v>
      </c>
      <c r="N7" s="28" t="n">
        <f aca="false">IFERROR('CASH FLOW'!N17,0)</f>
        <v>3613510.875</v>
      </c>
      <c r="O7" s="28" t="n">
        <f aca="false">IFERROR('CASH FLOW'!O17,0)</f>
        <v>3428962.7</v>
      </c>
      <c r="P7" s="28" t="n">
        <f aca="false">IFERROR('CASH FLOW'!P17,0)</f>
        <v>3248099.35</v>
      </c>
      <c r="Q7" s="28" t="n">
        <f aca="false">IFERROR('CASH FLOW'!Q17,0)</f>
        <v>3071092.325</v>
      </c>
      <c r="R7" s="28" t="n">
        <f aca="false">IFERROR('CASH FLOW'!R17,0)</f>
        <v>2898237.65</v>
      </c>
      <c r="S7" s="28" t="n">
        <f aca="false">IFERROR('CASH FLOW'!S17,0)</f>
        <v>2729865.375</v>
      </c>
      <c r="T7" s="28" t="n">
        <f aca="false">IFERROR('CASH FLOW'!T17,0)</f>
        <v>2566262.525</v>
      </c>
      <c r="U7" s="28" t="n">
        <f aca="false">IFERROR('CASH FLOW'!U17,0)</f>
        <v>2407831.9</v>
      </c>
      <c r="V7" s="28" t="n">
        <f aca="false">IFERROR('CASH FLOW'!V17,0)</f>
        <v>2254971.3</v>
      </c>
      <c r="W7" s="28" t="n">
        <f aca="false">IFERROR('CASH FLOW'!W17,0)</f>
        <v>2108073.525</v>
      </c>
      <c r="X7" s="28" t="n">
        <f aca="false">IFERROR('CASH FLOW'!X17,0)</f>
        <v>1967606.125</v>
      </c>
      <c r="Y7" s="28" t="n">
        <f aca="false">IFERROR('CASH FLOW'!Y17,0)</f>
        <v>1834150.425</v>
      </c>
      <c r="Z7" s="28" t="n">
        <f aca="false">IFERROR('CASH FLOW'!Z17,0)</f>
        <v>1708282.75</v>
      </c>
      <c r="AA7" s="28" t="n">
        <f aca="false">IFERROR('CASH FLOW'!AA17,0)</f>
        <v>1590534.4</v>
      </c>
      <c r="AB7" s="28" t="n">
        <f aca="false">IFERROR('CASH FLOW'!AB17,0)</f>
        <v>1481619.45</v>
      </c>
      <c r="AC7" s="28" t="n">
        <f aca="false">IFERROR('CASH FLOW'!AC17,0)</f>
        <v>1382173.975</v>
      </c>
      <c r="AD7" s="28" t="n">
        <f aca="false">IFERROR('CASH FLOW'!AD17,0)</f>
        <v>1292945.825</v>
      </c>
      <c r="AE7" s="28" t="n">
        <f aca="false">IFERROR('CASH FLOW'!AE17,0)</f>
        <v>1214836.35</v>
      </c>
      <c r="AF7" s="28" t="n">
        <f aca="false">IFERROR('CASH FLOW'!AF17,0)</f>
        <v>1148738.9</v>
      </c>
      <c r="AG7" s="28" t="n">
        <f aca="false">IFERROR('CASH FLOW'!AG17,0)</f>
        <v>1095737.35</v>
      </c>
      <c r="AH7" s="28" t="n">
        <f aca="false">IFERROR('CASH FLOW'!AH17,0)</f>
        <v>1056825.825</v>
      </c>
      <c r="AI7" s="28" t="n">
        <f aca="false">IFERROR('CASH FLOW'!AI17,0)</f>
        <v>1033068.2</v>
      </c>
      <c r="AJ7" s="28" t="n">
        <f aca="false">IFERROR('CASH FLOW'!AJ17,0)</f>
        <v>1025717.875</v>
      </c>
      <c r="AK7" s="28" t="n">
        <f aca="false">IFERROR('CASH FLOW'!AK17,0)</f>
        <v>1036178.75</v>
      </c>
    </row>
    <row r="8" customFormat="false" ht="15" hidden="false" customHeight="true" outlineLevel="0" collapsed="false">
      <c r="A8" s="25" t="s">
        <v>228</v>
      </c>
      <c r="B8" s="26" t="n">
        <f aca="false">B7</f>
        <v>439504.175</v>
      </c>
      <c r="C8" s="26" t="n">
        <f aca="false">C7</f>
        <v>380847.925</v>
      </c>
      <c r="D8" s="26" t="n">
        <f aca="false">D7</f>
        <v>286746.025</v>
      </c>
      <c r="E8" s="26" t="n">
        <f aca="false">E7</f>
        <v>166495.25</v>
      </c>
      <c r="F8" s="26" t="n">
        <f aca="false">F7</f>
        <v>48310.35</v>
      </c>
      <c r="G8" s="26" t="n">
        <f aca="false">G7</f>
        <v>4883064.85</v>
      </c>
      <c r="H8" s="26" t="n">
        <f aca="false">H7</f>
        <v>4720166.5</v>
      </c>
      <c r="I8" s="26" t="n">
        <f aca="false">I7</f>
        <v>4544029.8</v>
      </c>
      <c r="J8" s="26" t="n">
        <f aca="false">J7</f>
        <v>4357521.275</v>
      </c>
      <c r="K8" s="26" t="n">
        <f aca="false">K7</f>
        <v>4173678.675</v>
      </c>
      <c r="L8" s="26" t="n">
        <f aca="false">L7</f>
        <v>3992655.525</v>
      </c>
      <c r="M8" s="26" t="n">
        <f aca="false">M7</f>
        <v>3801483.575</v>
      </c>
      <c r="N8" s="26" t="n">
        <f aca="false">N7</f>
        <v>3613510.875</v>
      </c>
      <c r="O8" s="26" t="n">
        <f aca="false">O7</f>
        <v>3428962.7</v>
      </c>
      <c r="P8" s="26" t="n">
        <f aca="false">P7</f>
        <v>3248099.35</v>
      </c>
      <c r="Q8" s="26" t="n">
        <f aca="false">Q7</f>
        <v>3071092.325</v>
      </c>
      <c r="R8" s="26" t="n">
        <f aca="false">R7</f>
        <v>2898237.65</v>
      </c>
      <c r="S8" s="26" t="n">
        <f aca="false">S7</f>
        <v>2729865.375</v>
      </c>
      <c r="T8" s="26" t="n">
        <f aca="false">T7</f>
        <v>2566262.525</v>
      </c>
      <c r="U8" s="26" t="n">
        <f aca="false">U7</f>
        <v>2407831.9</v>
      </c>
      <c r="V8" s="26" t="n">
        <f aca="false">V7</f>
        <v>2254971.3</v>
      </c>
      <c r="W8" s="26" t="n">
        <f aca="false">W7</f>
        <v>2108073.525</v>
      </c>
      <c r="X8" s="26" t="n">
        <f aca="false">X7</f>
        <v>1967606.125</v>
      </c>
      <c r="Y8" s="26" t="n">
        <f aca="false">Y7</f>
        <v>1834150.425</v>
      </c>
      <c r="Z8" s="26" t="n">
        <f aca="false">Z7</f>
        <v>1708282.75</v>
      </c>
      <c r="AA8" s="26" t="n">
        <f aca="false">AA7</f>
        <v>1590534.4</v>
      </c>
      <c r="AB8" s="26" t="n">
        <f aca="false">AB7</f>
        <v>1481619.45</v>
      </c>
      <c r="AC8" s="26" t="n">
        <f aca="false">AC7</f>
        <v>1382173.975</v>
      </c>
      <c r="AD8" s="26" t="n">
        <f aca="false">AD7</f>
        <v>1292945.825</v>
      </c>
      <c r="AE8" s="26" t="n">
        <f aca="false">AE7</f>
        <v>1214836.35</v>
      </c>
      <c r="AF8" s="26" t="n">
        <f aca="false">AF7</f>
        <v>1148738.9</v>
      </c>
      <c r="AG8" s="26" t="n">
        <f aca="false">AG7</f>
        <v>1095737.35</v>
      </c>
      <c r="AH8" s="26" t="n">
        <f aca="false">AH7</f>
        <v>1056825.825</v>
      </c>
      <c r="AI8" s="26" t="n">
        <f aca="false">AI7</f>
        <v>1033068.2</v>
      </c>
      <c r="AJ8" s="26" t="n">
        <f aca="false">AJ7</f>
        <v>1025717.875</v>
      </c>
      <c r="AK8" s="26" t="n">
        <f aca="false">AK7</f>
        <v>1036178.75</v>
      </c>
      <c r="AL8" s="27"/>
      <c r="AM8" s="27"/>
      <c r="AN8" s="27"/>
      <c r="AO8" s="27"/>
      <c r="AP8" s="27"/>
      <c r="AQ8" s="27"/>
      <c r="AR8" s="27"/>
    </row>
    <row r="10" customFormat="false" ht="15" hidden="false" customHeight="true" outlineLevel="0" collapsed="false">
      <c r="A10" s="10" t="s">
        <v>229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customFormat="false" ht="15" hidden="false" customHeight="true" outlineLevel="0" collapsed="false">
      <c r="A11" s="11" t="s">
        <v>230</v>
      </c>
      <c r="B11" s="19" t="n">
        <f aca="false">0</f>
        <v>0</v>
      </c>
      <c r="C11" s="19" t="n">
        <f aca="false">0</f>
        <v>0</v>
      </c>
      <c r="D11" s="19" t="n">
        <f aca="false">0</f>
        <v>0</v>
      </c>
      <c r="E11" s="19" t="n">
        <f aca="false">0</f>
        <v>0</v>
      </c>
      <c r="F11" s="19" t="n">
        <f aca="false">0</f>
        <v>0</v>
      </c>
      <c r="G11" s="19" t="n">
        <f aca="false">0</f>
        <v>0</v>
      </c>
      <c r="H11" s="19" t="n">
        <f aca="false">0</f>
        <v>0</v>
      </c>
      <c r="I11" s="19" t="n">
        <f aca="false">0</f>
        <v>0</v>
      </c>
      <c r="J11" s="19" t="n">
        <f aca="false">0</f>
        <v>0</v>
      </c>
      <c r="K11" s="19" t="n">
        <f aca="false">0</f>
        <v>0</v>
      </c>
      <c r="L11" s="19" t="n">
        <f aca="false">0</f>
        <v>0</v>
      </c>
      <c r="M11" s="19" t="n">
        <f aca="false">0</f>
        <v>0</v>
      </c>
      <c r="N11" s="19" t="n">
        <f aca="false">0</f>
        <v>0</v>
      </c>
      <c r="O11" s="19" t="n">
        <f aca="false">0</f>
        <v>0</v>
      </c>
      <c r="P11" s="19" t="n">
        <f aca="false">0</f>
        <v>0</v>
      </c>
      <c r="Q11" s="19" t="n">
        <f aca="false">0</f>
        <v>0</v>
      </c>
      <c r="R11" s="19" t="n">
        <f aca="false">0</f>
        <v>0</v>
      </c>
      <c r="S11" s="19" t="n">
        <f aca="false">0</f>
        <v>0</v>
      </c>
      <c r="T11" s="19" t="n">
        <f aca="false">0</f>
        <v>0</v>
      </c>
      <c r="U11" s="19" t="n">
        <f aca="false">0</f>
        <v>0</v>
      </c>
      <c r="V11" s="19" t="n">
        <f aca="false">0</f>
        <v>0</v>
      </c>
      <c r="W11" s="19" t="n">
        <f aca="false">0</f>
        <v>0</v>
      </c>
      <c r="X11" s="19" t="n">
        <f aca="false">0</f>
        <v>0</v>
      </c>
      <c r="Y11" s="19" t="n">
        <f aca="false">0</f>
        <v>0</v>
      </c>
      <c r="Z11" s="19" t="n">
        <f aca="false">0</f>
        <v>0</v>
      </c>
      <c r="AA11" s="19" t="n">
        <f aca="false">0</f>
        <v>0</v>
      </c>
      <c r="AB11" s="19" t="n">
        <f aca="false">0</f>
        <v>0</v>
      </c>
      <c r="AC11" s="19" t="n">
        <f aca="false">0</f>
        <v>0</v>
      </c>
      <c r="AD11" s="19" t="n">
        <f aca="false">0</f>
        <v>0</v>
      </c>
      <c r="AE11" s="19" t="n">
        <f aca="false">0</f>
        <v>0</v>
      </c>
      <c r="AF11" s="19" t="n">
        <f aca="false">0</f>
        <v>0</v>
      </c>
      <c r="AG11" s="19" t="n">
        <f aca="false">0</f>
        <v>0</v>
      </c>
      <c r="AH11" s="19" t="n">
        <f aca="false">0</f>
        <v>0</v>
      </c>
      <c r="AI11" s="19" t="n">
        <f aca="false">0</f>
        <v>0</v>
      </c>
      <c r="AJ11" s="19" t="n">
        <f aca="false">0</f>
        <v>0</v>
      </c>
      <c r="AK11" s="19" t="n">
        <f aca="false">0</f>
        <v>0</v>
      </c>
    </row>
    <row r="12" customFormat="false" ht="15" hidden="false" customHeight="true" outlineLevel="0" collapsed="false">
      <c r="A12" s="25" t="s">
        <v>231</v>
      </c>
      <c r="B12" s="31" t="n">
        <f aca="false">B11</f>
        <v>0</v>
      </c>
      <c r="C12" s="31" t="n">
        <f aca="false">C11</f>
        <v>0</v>
      </c>
      <c r="D12" s="31" t="n">
        <f aca="false">D11</f>
        <v>0</v>
      </c>
      <c r="E12" s="31" t="n">
        <f aca="false">E11</f>
        <v>0</v>
      </c>
      <c r="F12" s="31" t="n">
        <f aca="false">F11</f>
        <v>0</v>
      </c>
      <c r="G12" s="31" t="n">
        <f aca="false">G11</f>
        <v>0</v>
      </c>
      <c r="H12" s="31" t="n">
        <f aca="false">H11</f>
        <v>0</v>
      </c>
      <c r="I12" s="31" t="n">
        <f aca="false">I11</f>
        <v>0</v>
      </c>
      <c r="J12" s="31" t="n">
        <f aca="false">J11</f>
        <v>0</v>
      </c>
      <c r="K12" s="31" t="n">
        <f aca="false">K11</f>
        <v>0</v>
      </c>
      <c r="L12" s="31" t="n">
        <f aca="false">L11</f>
        <v>0</v>
      </c>
      <c r="M12" s="31" t="n">
        <f aca="false">M11</f>
        <v>0</v>
      </c>
      <c r="N12" s="31" t="n">
        <f aca="false">N11</f>
        <v>0</v>
      </c>
      <c r="O12" s="31" t="n">
        <f aca="false">O11</f>
        <v>0</v>
      </c>
      <c r="P12" s="31" t="n">
        <f aca="false">P11</f>
        <v>0</v>
      </c>
      <c r="Q12" s="31" t="n">
        <f aca="false">Q11</f>
        <v>0</v>
      </c>
      <c r="R12" s="31" t="n">
        <f aca="false">R11</f>
        <v>0</v>
      </c>
      <c r="S12" s="31" t="n">
        <f aca="false">S11</f>
        <v>0</v>
      </c>
      <c r="T12" s="31" t="n">
        <f aca="false">T11</f>
        <v>0</v>
      </c>
      <c r="U12" s="31" t="n">
        <f aca="false">U11</f>
        <v>0</v>
      </c>
      <c r="V12" s="31" t="n">
        <f aca="false">V11</f>
        <v>0</v>
      </c>
      <c r="W12" s="31" t="n">
        <f aca="false">W11</f>
        <v>0</v>
      </c>
      <c r="X12" s="31" t="n">
        <f aca="false">X11</f>
        <v>0</v>
      </c>
      <c r="Y12" s="31" t="n">
        <f aca="false">Y11</f>
        <v>0</v>
      </c>
      <c r="Z12" s="31" t="n">
        <f aca="false">Z11</f>
        <v>0</v>
      </c>
      <c r="AA12" s="31" t="n">
        <f aca="false">AA11</f>
        <v>0</v>
      </c>
      <c r="AB12" s="31" t="n">
        <f aca="false">AB11</f>
        <v>0</v>
      </c>
      <c r="AC12" s="31" t="n">
        <f aca="false">AC11</f>
        <v>0</v>
      </c>
      <c r="AD12" s="31" t="n">
        <f aca="false">AD11</f>
        <v>0</v>
      </c>
      <c r="AE12" s="31" t="n">
        <f aca="false">AE11</f>
        <v>0</v>
      </c>
      <c r="AF12" s="31" t="n">
        <f aca="false">AF11</f>
        <v>0</v>
      </c>
      <c r="AG12" s="31" t="n">
        <f aca="false">AG11</f>
        <v>0</v>
      </c>
      <c r="AH12" s="31" t="n">
        <f aca="false">AH11</f>
        <v>0</v>
      </c>
      <c r="AI12" s="31" t="n">
        <f aca="false">AI11</f>
        <v>0</v>
      </c>
      <c r="AJ12" s="31" t="n">
        <f aca="false">AJ11</f>
        <v>0</v>
      </c>
      <c r="AK12" s="31" t="n">
        <f aca="false">AK11</f>
        <v>0</v>
      </c>
      <c r="AL12" s="27"/>
      <c r="AM12" s="27"/>
      <c r="AN12" s="27"/>
      <c r="AO12" s="27"/>
      <c r="AP12" s="27"/>
      <c r="AQ12" s="27"/>
      <c r="AR12" s="27"/>
    </row>
    <row r="14" customFormat="false" ht="15" hidden="false" customHeight="true" outlineLevel="0" collapsed="false">
      <c r="A14" s="10" t="s">
        <v>232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customFormat="false" ht="15" hidden="false" customHeight="true" outlineLevel="0" collapsed="false">
      <c r="A15" s="11" t="s">
        <v>233</v>
      </c>
      <c r="B15" s="28" t="n">
        <f aca="false">ASSUMPTIONS!$B$103+B14</f>
        <v>500000</v>
      </c>
      <c r="C15" s="28" t="n">
        <f aca="false">B15+C14</f>
        <v>500000</v>
      </c>
      <c r="D15" s="28" t="n">
        <f aca="false">C15+D14</f>
        <v>500000</v>
      </c>
      <c r="E15" s="28" t="n">
        <f aca="false">D15+E14</f>
        <v>500000</v>
      </c>
      <c r="F15" s="28" t="n">
        <f aca="false">E15+F14</f>
        <v>500000</v>
      </c>
      <c r="G15" s="28" t="n">
        <f aca="false">F15+G14</f>
        <v>500000</v>
      </c>
      <c r="H15" s="28" t="n">
        <f aca="false">G15+H14</f>
        <v>500000</v>
      </c>
      <c r="I15" s="28" t="n">
        <f aca="false">H15+I14</f>
        <v>500000</v>
      </c>
      <c r="J15" s="28" t="n">
        <f aca="false">I15+J14</f>
        <v>500000</v>
      </c>
      <c r="K15" s="28" t="n">
        <f aca="false">J15+K14</f>
        <v>500000</v>
      </c>
      <c r="L15" s="28" t="n">
        <f aca="false">K15+L14</f>
        <v>500000</v>
      </c>
      <c r="M15" s="28" t="n">
        <f aca="false">L15+M14</f>
        <v>500000</v>
      </c>
      <c r="N15" s="28" t="n">
        <f aca="false">M15+N14</f>
        <v>500000</v>
      </c>
      <c r="O15" s="28" t="n">
        <f aca="false">N15+O14</f>
        <v>500000</v>
      </c>
      <c r="P15" s="28" t="n">
        <f aca="false">O15+P14</f>
        <v>500000</v>
      </c>
      <c r="Q15" s="28" t="n">
        <f aca="false">P15+Q14</f>
        <v>500000</v>
      </c>
      <c r="R15" s="28" t="n">
        <f aca="false">Q15+R14</f>
        <v>500000</v>
      </c>
      <c r="S15" s="28" t="n">
        <f aca="false">R15+S14</f>
        <v>500000</v>
      </c>
      <c r="T15" s="28" t="n">
        <f aca="false">S15+T14</f>
        <v>500000</v>
      </c>
      <c r="U15" s="28" t="n">
        <f aca="false">T15+U14</f>
        <v>500000</v>
      </c>
      <c r="V15" s="28" t="n">
        <f aca="false">U15+V14</f>
        <v>500000</v>
      </c>
      <c r="W15" s="28" t="n">
        <f aca="false">V15+W14</f>
        <v>500000</v>
      </c>
      <c r="X15" s="28" t="n">
        <f aca="false">W15+X14</f>
        <v>500000</v>
      </c>
      <c r="Y15" s="28" t="n">
        <f aca="false">X15+Y14</f>
        <v>500000</v>
      </c>
      <c r="Z15" s="28" t="n">
        <f aca="false">Y15+Z14</f>
        <v>500000</v>
      </c>
      <c r="AA15" s="28" t="n">
        <f aca="false">Z15+AA14</f>
        <v>500000</v>
      </c>
      <c r="AB15" s="28" t="n">
        <f aca="false">AA15+AB14</f>
        <v>500000</v>
      </c>
      <c r="AC15" s="28" t="n">
        <f aca="false">AB15+AC14</f>
        <v>500000</v>
      </c>
      <c r="AD15" s="28" t="n">
        <f aca="false">AC15+AD14</f>
        <v>500000</v>
      </c>
      <c r="AE15" s="28" t="n">
        <f aca="false">AD15+AE14</f>
        <v>500000</v>
      </c>
      <c r="AF15" s="28" t="n">
        <f aca="false">AE15+AF14</f>
        <v>500000</v>
      </c>
      <c r="AG15" s="28" t="n">
        <f aca="false">AF15+AG14</f>
        <v>500000</v>
      </c>
      <c r="AH15" s="28" t="n">
        <f aca="false">AG15+AH14</f>
        <v>500000</v>
      </c>
      <c r="AI15" s="28" t="n">
        <f aca="false">AH15+AI14</f>
        <v>500000</v>
      </c>
      <c r="AJ15" s="28" t="n">
        <f aca="false">AI15+AJ14</f>
        <v>500000</v>
      </c>
      <c r="AK15" s="28" t="n">
        <f aca="false">AJ15+AK14</f>
        <v>500000</v>
      </c>
    </row>
    <row r="16" customFormat="false" ht="15" hidden="false" customHeight="true" outlineLevel="0" collapsed="false">
      <c r="A16" s="13" t="s">
        <v>234</v>
      </c>
      <c r="B16" s="28" t="n">
        <f aca="false">'P&amp;L'!B29</f>
        <v>-60495.825</v>
      </c>
      <c r="C16" s="28" t="n">
        <f aca="false">B16+'P&amp;L'!C29</f>
        <v>-119152.075</v>
      </c>
      <c r="D16" s="28" t="n">
        <f aca="false">C16+'P&amp;L'!D29</f>
        <v>-213253.975</v>
      </c>
      <c r="E16" s="28" t="n">
        <f aca="false">D16+'P&amp;L'!E29</f>
        <v>-333504.75</v>
      </c>
      <c r="F16" s="28" t="n">
        <f aca="false">E16+'P&amp;L'!F29</f>
        <v>-451689.65</v>
      </c>
      <c r="G16" s="28" t="n">
        <f aca="false">F16+'P&amp;L'!G29</f>
        <v>-616935.15</v>
      </c>
      <c r="H16" s="28" t="n">
        <f aca="false">G16+'P&amp;L'!H29</f>
        <v>-779833.5</v>
      </c>
      <c r="I16" s="28" t="n">
        <f aca="false">H16+'P&amp;L'!I29</f>
        <v>-955970.2</v>
      </c>
      <c r="J16" s="28" t="n">
        <f aca="false">I16+'P&amp;L'!J29</f>
        <v>-1142478.725</v>
      </c>
      <c r="K16" s="28" t="n">
        <f aca="false">J16+'P&amp;L'!K29</f>
        <v>-1326321.325</v>
      </c>
      <c r="L16" s="28" t="n">
        <f aca="false">K16+'P&amp;L'!L29</f>
        <v>-1507344.475</v>
      </c>
      <c r="M16" s="28" t="n">
        <f aca="false">L16+'P&amp;L'!M29</f>
        <v>-1698516.425</v>
      </c>
      <c r="N16" s="28" t="n">
        <f aca="false">M16+'P&amp;L'!N29</f>
        <v>-1886489.125</v>
      </c>
      <c r="O16" s="28" t="n">
        <f aca="false">N16+'P&amp;L'!O29</f>
        <v>-2071037.3</v>
      </c>
      <c r="P16" s="28" t="n">
        <f aca="false">O16+'P&amp;L'!P29</f>
        <v>-2251900.65</v>
      </c>
      <c r="Q16" s="28" t="n">
        <f aca="false">P16+'P&amp;L'!Q29</f>
        <v>-2428907.675</v>
      </c>
      <c r="R16" s="28" t="n">
        <f aca="false">Q16+'P&amp;L'!R29</f>
        <v>-2601762.35</v>
      </c>
      <c r="S16" s="28" t="n">
        <f aca="false">R16+'P&amp;L'!S29</f>
        <v>-2770134.625</v>
      </c>
      <c r="T16" s="28" t="n">
        <f aca="false">S16+'P&amp;L'!T29</f>
        <v>-2933737.475</v>
      </c>
      <c r="U16" s="28" t="n">
        <f aca="false">T16+'P&amp;L'!U29</f>
        <v>-3092168.1</v>
      </c>
      <c r="V16" s="28" t="n">
        <f aca="false">U16+'P&amp;L'!V29</f>
        <v>-3245028.7</v>
      </c>
      <c r="W16" s="28" t="n">
        <f aca="false">V16+'P&amp;L'!W29</f>
        <v>-3391926.475</v>
      </c>
      <c r="X16" s="28" t="n">
        <f aca="false">W16+'P&amp;L'!X29</f>
        <v>-3532393.875</v>
      </c>
      <c r="Y16" s="28" t="n">
        <f aca="false">X16+'P&amp;L'!Y29</f>
        <v>-3665849.575</v>
      </c>
      <c r="Z16" s="28" t="n">
        <f aca="false">Y16+'P&amp;L'!Z29</f>
        <v>-3791717.25</v>
      </c>
      <c r="AA16" s="28" t="n">
        <f aca="false">Z16+'P&amp;L'!AA29</f>
        <v>-3909465.6</v>
      </c>
      <c r="AB16" s="28" t="n">
        <f aca="false">AA16+'P&amp;L'!AB29</f>
        <v>-4018380.55</v>
      </c>
      <c r="AC16" s="28" t="n">
        <f aca="false">AB16+'P&amp;L'!AC29</f>
        <v>-4117826.025</v>
      </c>
      <c r="AD16" s="28" t="n">
        <f aca="false">AC16+'P&amp;L'!AD29</f>
        <v>-4207054.175</v>
      </c>
      <c r="AE16" s="28" t="n">
        <f aca="false">AD16+'P&amp;L'!AE29</f>
        <v>-4285163.65</v>
      </c>
      <c r="AF16" s="28" t="n">
        <f aca="false">AE16+'P&amp;L'!AF29</f>
        <v>-4351261.1</v>
      </c>
      <c r="AG16" s="28" t="n">
        <f aca="false">AF16+'P&amp;L'!AG29</f>
        <v>-4404262.65</v>
      </c>
      <c r="AH16" s="28" t="n">
        <f aca="false">AG16+'P&amp;L'!AH29</f>
        <v>-4443174.175</v>
      </c>
      <c r="AI16" s="28" t="n">
        <f aca="false">AH16+'P&amp;L'!AI29</f>
        <v>-4466931.8</v>
      </c>
      <c r="AJ16" s="28" t="n">
        <f aca="false">AI16+'P&amp;L'!AJ29</f>
        <v>-4474282.125</v>
      </c>
      <c r="AK16" s="28" t="n">
        <f aca="false">AJ16+'P&amp;L'!AK29</f>
        <v>-4463821.25</v>
      </c>
    </row>
    <row r="17" customFormat="false" ht="15" hidden="false" customHeight="true" outlineLevel="0" collapsed="false">
      <c r="A17" s="25" t="s">
        <v>235</v>
      </c>
      <c r="B17" s="26" t="n">
        <f aca="false">B15+B16</f>
        <v>439504.175</v>
      </c>
      <c r="C17" s="26" t="n">
        <f aca="false">C15+C16</f>
        <v>380847.925</v>
      </c>
      <c r="D17" s="26" t="n">
        <f aca="false">D15+D16</f>
        <v>286746.025</v>
      </c>
      <c r="E17" s="26" t="n">
        <f aca="false">E15+E16</f>
        <v>166495.25</v>
      </c>
      <c r="F17" s="26" t="n">
        <f aca="false">F15+F16</f>
        <v>48310.35</v>
      </c>
      <c r="G17" s="26" t="n">
        <f aca="false">G15+G16</f>
        <v>-116935.15</v>
      </c>
      <c r="H17" s="26" t="n">
        <f aca="false">H15+H16</f>
        <v>-279833.5</v>
      </c>
      <c r="I17" s="26" t="n">
        <f aca="false">I15+I16</f>
        <v>-455970.2</v>
      </c>
      <c r="J17" s="26" t="n">
        <f aca="false">J15+J16</f>
        <v>-642478.725</v>
      </c>
      <c r="K17" s="26" t="n">
        <f aca="false">K15+K16</f>
        <v>-826321.325</v>
      </c>
      <c r="L17" s="26" t="n">
        <f aca="false">L15+L16</f>
        <v>-1007344.475</v>
      </c>
      <c r="M17" s="26" t="n">
        <f aca="false">M15+M16</f>
        <v>-1198516.425</v>
      </c>
      <c r="N17" s="26" t="n">
        <f aca="false">N15+N16</f>
        <v>-1386489.125</v>
      </c>
      <c r="O17" s="26" t="n">
        <f aca="false">O15+O16</f>
        <v>-1571037.3</v>
      </c>
      <c r="P17" s="26" t="n">
        <f aca="false">P15+P16</f>
        <v>-1751900.65</v>
      </c>
      <c r="Q17" s="26" t="n">
        <f aca="false">Q15+Q16</f>
        <v>-1928907.675</v>
      </c>
      <c r="R17" s="26" t="n">
        <f aca="false">R15+R16</f>
        <v>-2101762.35</v>
      </c>
      <c r="S17" s="26" t="n">
        <f aca="false">S15+S16</f>
        <v>-2270134.625</v>
      </c>
      <c r="T17" s="26" t="n">
        <f aca="false">T15+T16</f>
        <v>-2433737.475</v>
      </c>
      <c r="U17" s="26" t="n">
        <f aca="false">U15+U16</f>
        <v>-2592168.1</v>
      </c>
      <c r="V17" s="26" t="n">
        <f aca="false">V15+V16</f>
        <v>-2745028.7</v>
      </c>
      <c r="W17" s="26" t="n">
        <f aca="false">W15+W16</f>
        <v>-2891926.475</v>
      </c>
      <c r="X17" s="26" t="n">
        <f aca="false">X15+X16</f>
        <v>-3032393.875</v>
      </c>
      <c r="Y17" s="26" t="n">
        <f aca="false">Y15+Y16</f>
        <v>-3165849.575</v>
      </c>
      <c r="Z17" s="26" t="n">
        <f aca="false">Z15+Z16</f>
        <v>-3291717.25</v>
      </c>
      <c r="AA17" s="26" t="n">
        <f aca="false">AA15+AA16</f>
        <v>-3409465.6</v>
      </c>
      <c r="AB17" s="26" t="n">
        <f aca="false">AB15+AB16</f>
        <v>-3518380.55</v>
      </c>
      <c r="AC17" s="26" t="n">
        <f aca="false">AC15+AC16</f>
        <v>-3617826.025</v>
      </c>
      <c r="AD17" s="26" t="n">
        <f aca="false">AD15+AD16</f>
        <v>-3707054.175</v>
      </c>
      <c r="AE17" s="26" t="n">
        <f aca="false">AE15+AE16</f>
        <v>-3785163.65</v>
      </c>
      <c r="AF17" s="26" t="n">
        <f aca="false">AF15+AF16</f>
        <v>-3851261.1</v>
      </c>
      <c r="AG17" s="26" t="n">
        <f aca="false">AG15+AG16</f>
        <v>-3904262.65</v>
      </c>
      <c r="AH17" s="26" t="n">
        <f aca="false">AH15+AH16</f>
        <v>-3943174.175</v>
      </c>
      <c r="AI17" s="26" t="n">
        <f aca="false">AI15+AI16</f>
        <v>-3966931.8</v>
      </c>
      <c r="AJ17" s="26" t="n">
        <f aca="false">AJ15+AJ16</f>
        <v>-3974282.125</v>
      </c>
      <c r="AK17" s="26" t="n">
        <f aca="false">AK15+AK16</f>
        <v>-3963821.25</v>
      </c>
      <c r="AL17" s="27"/>
      <c r="AM17" s="27"/>
      <c r="AN17" s="27"/>
      <c r="AO17" s="27"/>
      <c r="AP17" s="27"/>
      <c r="AQ17" s="27"/>
      <c r="AR17" s="27"/>
    </row>
    <row r="18" customFormat="false" ht="15" hidden="false" customHeight="true" outlineLevel="0" collapsed="false">
      <c r="A18" s="25" t="s">
        <v>236</v>
      </c>
      <c r="B18" s="31" t="n">
        <f aca="false">B12+B17</f>
        <v>439504.175</v>
      </c>
      <c r="C18" s="31" t="n">
        <f aca="false">C12+C17</f>
        <v>380847.925</v>
      </c>
      <c r="D18" s="31" t="n">
        <f aca="false">D12+D17</f>
        <v>286746.025</v>
      </c>
      <c r="E18" s="31" t="n">
        <f aca="false">E12+E17</f>
        <v>166495.25</v>
      </c>
      <c r="F18" s="31" t="n">
        <f aca="false">F12+F17</f>
        <v>48310.35</v>
      </c>
      <c r="G18" s="31" t="n">
        <f aca="false">G12+G17</f>
        <v>-116935.15</v>
      </c>
      <c r="H18" s="31" t="n">
        <f aca="false">H12+H17</f>
        <v>-279833.5</v>
      </c>
      <c r="I18" s="31" t="n">
        <f aca="false">I12+I17</f>
        <v>-455970.2</v>
      </c>
      <c r="J18" s="31" t="n">
        <f aca="false">J12+J17</f>
        <v>-642478.725</v>
      </c>
      <c r="K18" s="31" t="n">
        <f aca="false">K12+K17</f>
        <v>-826321.325</v>
      </c>
      <c r="L18" s="31" t="n">
        <f aca="false">L12+L17</f>
        <v>-1007344.475</v>
      </c>
      <c r="M18" s="31" t="n">
        <f aca="false">M12+M17</f>
        <v>-1198516.425</v>
      </c>
      <c r="N18" s="31" t="n">
        <f aca="false">N12+N17</f>
        <v>-1386489.125</v>
      </c>
      <c r="O18" s="31" t="n">
        <f aca="false">O12+O17</f>
        <v>-1571037.3</v>
      </c>
      <c r="P18" s="31" t="n">
        <f aca="false">P12+P17</f>
        <v>-1751900.65</v>
      </c>
      <c r="Q18" s="31" t="n">
        <f aca="false">Q12+Q17</f>
        <v>-1928907.675</v>
      </c>
      <c r="R18" s="31" t="n">
        <f aca="false">R12+R17</f>
        <v>-2101762.35</v>
      </c>
      <c r="S18" s="31" t="n">
        <f aca="false">S12+S17</f>
        <v>-2270134.625</v>
      </c>
      <c r="T18" s="31" t="n">
        <f aca="false">T12+T17</f>
        <v>-2433737.475</v>
      </c>
      <c r="U18" s="31" t="n">
        <f aca="false">U12+U17</f>
        <v>-2592168.1</v>
      </c>
      <c r="V18" s="31" t="n">
        <f aca="false">V12+V17</f>
        <v>-2745028.7</v>
      </c>
      <c r="W18" s="31" t="n">
        <f aca="false">W12+W17</f>
        <v>-2891926.475</v>
      </c>
      <c r="X18" s="31" t="n">
        <f aca="false">X12+X17</f>
        <v>-3032393.875</v>
      </c>
      <c r="Y18" s="31" t="n">
        <f aca="false">Y12+Y17</f>
        <v>-3165849.575</v>
      </c>
      <c r="Z18" s="31" t="n">
        <f aca="false">Z12+Z17</f>
        <v>-3291717.25</v>
      </c>
      <c r="AA18" s="31" t="n">
        <f aca="false">AA12+AA17</f>
        <v>-3409465.6</v>
      </c>
      <c r="AB18" s="31" t="n">
        <f aca="false">AB12+AB17</f>
        <v>-3518380.55</v>
      </c>
      <c r="AC18" s="31" t="n">
        <f aca="false">AC12+AC17</f>
        <v>-3617826.025</v>
      </c>
      <c r="AD18" s="31" t="n">
        <f aca="false">AD12+AD17</f>
        <v>-3707054.175</v>
      </c>
      <c r="AE18" s="31" t="n">
        <f aca="false">AE12+AE17</f>
        <v>-3785163.65</v>
      </c>
      <c r="AF18" s="31" t="n">
        <f aca="false">AF12+AF17</f>
        <v>-3851261.1</v>
      </c>
      <c r="AG18" s="31" t="n">
        <f aca="false">AG12+AG17</f>
        <v>-3904262.65</v>
      </c>
      <c r="AH18" s="31" t="n">
        <f aca="false">AH12+AH17</f>
        <v>-3943174.175</v>
      </c>
      <c r="AI18" s="31" t="n">
        <f aca="false">AI12+AI17</f>
        <v>-3966931.8</v>
      </c>
      <c r="AJ18" s="31" t="n">
        <f aca="false">AJ12+AJ17</f>
        <v>-3974282.125</v>
      </c>
      <c r="AK18" s="31" t="n">
        <f aca="false">AK12+AK17</f>
        <v>-3963821.25</v>
      </c>
      <c r="AL18" s="27"/>
      <c r="AM18" s="27"/>
      <c r="AN18" s="27"/>
      <c r="AO18" s="27"/>
      <c r="AP18" s="27"/>
      <c r="AQ18" s="27"/>
      <c r="AR18" s="27"/>
    </row>
    <row r="19" customFormat="false" ht="15" hidden="false" customHeight="true" outlineLevel="0" collapsed="false">
      <c r="A19" s="34" t="s">
        <v>237</v>
      </c>
      <c r="B19" s="35" t="n">
        <f aca="false">ROUND(B8-B18,0)</f>
        <v>0</v>
      </c>
      <c r="C19" s="35" t="n">
        <f aca="false">ROUND(C8-C18,0)</f>
        <v>0</v>
      </c>
      <c r="D19" s="35" t="n">
        <f aca="false">ROUND(D8-D18,0)</f>
        <v>0</v>
      </c>
      <c r="E19" s="35" t="n">
        <f aca="false">ROUND(E8-E18,0)</f>
        <v>0</v>
      </c>
      <c r="F19" s="35" t="n">
        <f aca="false">ROUND(F8-F18,0)</f>
        <v>0</v>
      </c>
      <c r="G19" s="35" t="n">
        <f aca="false">ROUND(G8-G18,0)</f>
        <v>5000000</v>
      </c>
      <c r="H19" s="35" t="n">
        <f aca="false">ROUND(H8-H18,0)</f>
        <v>5000000</v>
      </c>
      <c r="I19" s="35" t="n">
        <f aca="false">ROUND(I8-I18,0)</f>
        <v>5000000</v>
      </c>
      <c r="J19" s="35" t="n">
        <f aca="false">ROUND(J8-J18,0)</f>
        <v>5000000</v>
      </c>
      <c r="K19" s="35" t="n">
        <f aca="false">ROUND(K8-K18,0)</f>
        <v>5000000</v>
      </c>
      <c r="L19" s="35" t="n">
        <f aca="false">ROUND(L8-L18,0)</f>
        <v>5000000</v>
      </c>
      <c r="M19" s="35" t="n">
        <f aca="false">ROUND(M8-M18,0)</f>
        <v>5000000</v>
      </c>
      <c r="N19" s="35" t="n">
        <f aca="false">ROUND(N8-N18,0)</f>
        <v>5000000</v>
      </c>
      <c r="O19" s="35" t="n">
        <f aca="false">ROUND(O8-O18,0)</f>
        <v>5000000</v>
      </c>
      <c r="P19" s="35" t="n">
        <f aca="false">ROUND(P8-P18,0)</f>
        <v>5000000</v>
      </c>
      <c r="Q19" s="35" t="n">
        <f aca="false">ROUND(Q8-Q18,0)</f>
        <v>5000000</v>
      </c>
      <c r="R19" s="35" t="n">
        <f aca="false">ROUND(R8-R18,0)</f>
        <v>5000000</v>
      </c>
      <c r="S19" s="35" t="n">
        <f aca="false">ROUND(S8-S18,0)</f>
        <v>5000000</v>
      </c>
      <c r="T19" s="35" t="n">
        <f aca="false">ROUND(T8-T18,0)</f>
        <v>5000000</v>
      </c>
      <c r="U19" s="35" t="n">
        <f aca="false">ROUND(U8-U18,0)</f>
        <v>5000000</v>
      </c>
      <c r="V19" s="35" t="n">
        <f aca="false">ROUND(V8-V18,0)</f>
        <v>5000000</v>
      </c>
      <c r="W19" s="35" t="n">
        <f aca="false">ROUND(W8-W18,0)</f>
        <v>5000000</v>
      </c>
      <c r="X19" s="35" t="n">
        <f aca="false">ROUND(X8-X18,0)</f>
        <v>5000000</v>
      </c>
      <c r="Y19" s="35" t="n">
        <f aca="false">ROUND(Y8-Y18,0)</f>
        <v>5000000</v>
      </c>
      <c r="Z19" s="35" t="n">
        <f aca="false">ROUND(Z8-Z18,0)</f>
        <v>5000000</v>
      </c>
      <c r="AA19" s="35" t="n">
        <f aca="false">ROUND(AA8-AA18,0)</f>
        <v>5000000</v>
      </c>
      <c r="AB19" s="35" t="n">
        <f aca="false">ROUND(AB8-AB18,0)</f>
        <v>5000000</v>
      </c>
      <c r="AC19" s="35" t="n">
        <f aca="false">ROUND(AC8-AC18,0)</f>
        <v>5000000</v>
      </c>
      <c r="AD19" s="35" t="n">
        <f aca="false">ROUND(AD8-AD18,0)</f>
        <v>5000000</v>
      </c>
      <c r="AE19" s="35" t="n">
        <f aca="false">ROUND(AE8-AE18,0)</f>
        <v>5000000</v>
      </c>
      <c r="AF19" s="35" t="n">
        <f aca="false">ROUND(AF8-AF18,0)</f>
        <v>5000000</v>
      </c>
      <c r="AG19" s="35" t="n">
        <f aca="false">ROUND(AG8-AG18,0)</f>
        <v>5000000</v>
      </c>
      <c r="AH19" s="35" t="n">
        <f aca="false">ROUND(AH8-AH18,0)</f>
        <v>5000000</v>
      </c>
      <c r="AI19" s="35" t="n">
        <f aca="false">ROUND(AI8-AI18,0)</f>
        <v>5000000</v>
      </c>
      <c r="AJ19" s="35" t="n">
        <f aca="false">ROUND(AJ8-AJ18,0)</f>
        <v>5000000</v>
      </c>
      <c r="AK19" s="35" t="n">
        <f aca="false">ROUND(AK8-AK18,0)</f>
        <v>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A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2" min="2" style="1" width="13"/>
  </cols>
  <sheetData>
    <row r="1" customFormat="false" ht="17.25" hidden="false" customHeight="true" outlineLevel="0" collapsed="false">
      <c r="A1" s="2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8" t="s">
        <v>238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4" customFormat="false" ht="15" hidden="false" customHeight="true" outlineLevel="0" collapsed="false">
      <c r="B4" s="22" t="s">
        <v>144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2" t="s">
        <v>145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2" t="s">
        <v>146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18"/>
      <c r="AM4" s="18"/>
      <c r="AN4" s="18"/>
    </row>
    <row r="5" customFormat="false" ht="15" hidden="false" customHeight="true" outlineLevel="0" collapsed="false">
      <c r="B5" s="22" t="s">
        <v>147</v>
      </c>
      <c r="C5" s="22" t="s">
        <v>148</v>
      </c>
      <c r="D5" s="22" t="s">
        <v>149</v>
      </c>
      <c r="E5" s="22" t="s">
        <v>150</v>
      </c>
      <c r="F5" s="22" t="s">
        <v>151</v>
      </c>
      <c r="G5" s="22" t="s">
        <v>152</v>
      </c>
      <c r="H5" s="22" t="s">
        <v>153</v>
      </c>
      <c r="I5" s="22" t="s">
        <v>154</v>
      </c>
      <c r="J5" s="22" t="s">
        <v>155</v>
      </c>
      <c r="K5" s="22" t="s">
        <v>156</v>
      </c>
      <c r="L5" s="22" t="s">
        <v>157</v>
      </c>
      <c r="M5" s="22" t="s">
        <v>158</v>
      </c>
      <c r="N5" s="22" t="s">
        <v>147</v>
      </c>
      <c r="O5" s="22" t="s">
        <v>148</v>
      </c>
      <c r="P5" s="22" t="s">
        <v>149</v>
      </c>
      <c r="Q5" s="22" t="s">
        <v>150</v>
      </c>
      <c r="R5" s="22" t="s">
        <v>151</v>
      </c>
      <c r="S5" s="22" t="s">
        <v>152</v>
      </c>
      <c r="T5" s="22" t="s">
        <v>153</v>
      </c>
      <c r="U5" s="22" t="s">
        <v>154</v>
      </c>
      <c r="V5" s="22" t="s">
        <v>155</v>
      </c>
      <c r="W5" s="22" t="s">
        <v>156</v>
      </c>
      <c r="X5" s="22" t="s">
        <v>157</v>
      </c>
      <c r="Y5" s="22" t="s">
        <v>158</v>
      </c>
      <c r="Z5" s="22" t="s">
        <v>147</v>
      </c>
      <c r="AA5" s="22" t="s">
        <v>148</v>
      </c>
      <c r="AB5" s="22" t="s">
        <v>149</v>
      </c>
      <c r="AC5" s="22" t="s">
        <v>150</v>
      </c>
      <c r="AD5" s="22" t="s">
        <v>151</v>
      </c>
      <c r="AE5" s="22" t="s">
        <v>152</v>
      </c>
      <c r="AF5" s="22" t="s">
        <v>153</v>
      </c>
      <c r="AG5" s="22" t="s">
        <v>154</v>
      </c>
      <c r="AH5" s="22" t="s">
        <v>155</v>
      </c>
      <c r="AI5" s="22" t="s">
        <v>156</v>
      </c>
      <c r="AJ5" s="22" t="s">
        <v>157</v>
      </c>
      <c r="AK5" s="22" t="s">
        <v>158</v>
      </c>
      <c r="AL5" s="23" t="s">
        <v>159</v>
      </c>
      <c r="AM5" s="23" t="s">
        <v>160</v>
      </c>
      <c r="AN5" s="23" t="s">
        <v>161</v>
      </c>
    </row>
    <row r="6" customFormat="false" ht="15" hidden="false" customHeight="true" outlineLevel="0" collapsed="false">
      <c r="A6" s="10" t="s">
        <v>239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8" customFormat="false" ht="15" hidden="false" customHeight="true" outlineLevel="0" collapsed="false">
      <c r="A8" s="11" t="s">
        <v>240</v>
      </c>
      <c r="B8" s="28" t="n">
        <f aca="false">IFERROR(ASSUMPTIONS!$B$55,0)</f>
        <v>120</v>
      </c>
      <c r="C8" s="28" t="n">
        <f aca="false">IFERROR(ASSUMPTIONS!$B$55,0)</f>
        <v>120</v>
      </c>
      <c r="D8" s="28" t="n">
        <f aca="false">IFERROR(ASSUMPTIONS!$B$55,0)</f>
        <v>120</v>
      </c>
      <c r="E8" s="28" t="n">
        <f aca="false">IFERROR(ASSUMPTIONS!$B$55,0)</f>
        <v>120</v>
      </c>
      <c r="F8" s="28" t="n">
        <f aca="false">IFERROR(ASSUMPTIONS!$B$55,0)</f>
        <v>120</v>
      </c>
      <c r="G8" s="28" t="n">
        <f aca="false">IFERROR(ASSUMPTIONS!$B$55,0)</f>
        <v>120</v>
      </c>
      <c r="H8" s="28" t="n">
        <f aca="false">IFERROR(ASSUMPTIONS!$B$55,0)</f>
        <v>120</v>
      </c>
      <c r="I8" s="28" t="n">
        <f aca="false">IFERROR(ASSUMPTIONS!$B$55,0)</f>
        <v>120</v>
      </c>
      <c r="J8" s="28" t="n">
        <f aca="false">IFERROR(ASSUMPTIONS!$B$55,0)</f>
        <v>120</v>
      </c>
      <c r="K8" s="28" t="n">
        <f aca="false">IFERROR(ASSUMPTIONS!$B$55,0)</f>
        <v>120</v>
      </c>
      <c r="L8" s="28" t="n">
        <f aca="false">IFERROR(ASSUMPTIONS!$B$55,0)</f>
        <v>120</v>
      </c>
      <c r="M8" s="28" t="n">
        <f aca="false">IFERROR(ASSUMPTIONS!$B$55,0)</f>
        <v>120</v>
      </c>
      <c r="N8" s="28" t="n">
        <f aca="false">IFERROR(ASSUMPTIONS!$B$55,0)</f>
        <v>120</v>
      </c>
      <c r="O8" s="28" t="n">
        <f aca="false">IFERROR(ASSUMPTIONS!$B$55,0)</f>
        <v>120</v>
      </c>
      <c r="P8" s="28" t="n">
        <f aca="false">IFERROR(ASSUMPTIONS!$B$55,0)</f>
        <v>120</v>
      </c>
      <c r="Q8" s="28" t="n">
        <f aca="false">IFERROR(ASSUMPTIONS!$B$55,0)</f>
        <v>120</v>
      </c>
      <c r="R8" s="28" t="n">
        <f aca="false">IFERROR(ASSUMPTIONS!$B$55,0)</f>
        <v>120</v>
      </c>
      <c r="S8" s="28" t="n">
        <f aca="false">IFERROR(ASSUMPTIONS!$B$55,0)</f>
        <v>120</v>
      </c>
      <c r="T8" s="28" t="n">
        <f aca="false">IFERROR(ASSUMPTIONS!$B$55,0)</f>
        <v>120</v>
      </c>
      <c r="U8" s="28" t="n">
        <f aca="false">IFERROR(ASSUMPTIONS!$B$55,0)</f>
        <v>120</v>
      </c>
      <c r="V8" s="28" t="n">
        <f aca="false">IFERROR(ASSUMPTIONS!$B$55,0)</f>
        <v>120</v>
      </c>
      <c r="W8" s="28" t="n">
        <f aca="false">IFERROR(ASSUMPTIONS!$B$55,0)</f>
        <v>120</v>
      </c>
      <c r="X8" s="28" t="n">
        <f aca="false">IFERROR(ASSUMPTIONS!$B$55,0)</f>
        <v>120</v>
      </c>
      <c r="Y8" s="28" t="n">
        <f aca="false">IFERROR(ASSUMPTIONS!$B$55,0)</f>
        <v>120</v>
      </c>
      <c r="Z8" s="28" t="n">
        <f aca="false">IFERROR(ASSUMPTIONS!$B$55,0)</f>
        <v>120</v>
      </c>
      <c r="AA8" s="28" t="n">
        <f aca="false">IFERROR(ASSUMPTIONS!$B$55,0)</f>
        <v>120</v>
      </c>
      <c r="AB8" s="28" t="n">
        <f aca="false">IFERROR(ASSUMPTIONS!$B$55,0)</f>
        <v>120</v>
      </c>
      <c r="AC8" s="28" t="n">
        <f aca="false">IFERROR(ASSUMPTIONS!$B$55,0)</f>
        <v>120</v>
      </c>
      <c r="AD8" s="28" t="n">
        <f aca="false">IFERROR(ASSUMPTIONS!$B$55,0)</f>
        <v>120</v>
      </c>
      <c r="AE8" s="28" t="n">
        <f aca="false">IFERROR(ASSUMPTIONS!$B$55,0)</f>
        <v>120</v>
      </c>
      <c r="AF8" s="28" t="n">
        <f aca="false">IFERROR(ASSUMPTIONS!$B$55,0)</f>
        <v>120</v>
      </c>
      <c r="AG8" s="28" t="n">
        <f aca="false">IFERROR(ASSUMPTIONS!$B$55,0)</f>
        <v>120</v>
      </c>
      <c r="AH8" s="28" t="n">
        <f aca="false">IFERROR(ASSUMPTIONS!$B$55,0)</f>
        <v>120</v>
      </c>
      <c r="AI8" s="28" t="n">
        <f aca="false">IFERROR(ASSUMPTIONS!$B$55,0)</f>
        <v>120</v>
      </c>
      <c r="AJ8" s="28" t="n">
        <f aca="false">IFERROR(ASSUMPTIONS!$B$55,0)</f>
        <v>120</v>
      </c>
      <c r="AK8" s="28" t="n">
        <f aca="false">IFERROR(ASSUMPTIONS!$B$55,0)</f>
        <v>120</v>
      </c>
    </row>
    <row r="9" customFormat="false" ht="15" hidden="false" customHeight="true" outlineLevel="0" collapsed="false">
      <c r="A9" s="13" t="s">
        <v>241</v>
      </c>
      <c r="B9" s="19" t="n">
        <f aca="false">IFERROR(ASSUMPTIONS!$B$52*ASSUMPTIONS!$B$56/ASSUMPTIONS!$B$51,0)</f>
        <v>2948.57142857143</v>
      </c>
      <c r="C9" s="19" t="n">
        <f aca="false">IFERROR(ASSUMPTIONS!$B$52*ASSUMPTIONS!$B$56/ASSUMPTIONS!$B$51,0)</f>
        <v>2948.57142857143</v>
      </c>
      <c r="D9" s="19" t="n">
        <f aca="false">IFERROR(ASSUMPTIONS!$B$52*ASSUMPTIONS!$B$56/ASSUMPTIONS!$B$51,0)</f>
        <v>2948.57142857143</v>
      </c>
      <c r="E9" s="19" t="n">
        <f aca="false">IFERROR(ASSUMPTIONS!$B$52*ASSUMPTIONS!$B$56/ASSUMPTIONS!$B$51,0)</f>
        <v>2948.57142857143</v>
      </c>
      <c r="F9" s="19" t="n">
        <f aca="false">IFERROR(ASSUMPTIONS!$B$52*ASSUMPTIONS!$B$56/ASSUMPTIONS!$B$51,0)</f>
        <v>2948.57142857143</v>
      </c>
      <c r="G9" s="19" t="n">
        <f aca="false">IFERROR(ASSUMPTIONS!$B$52*ASSUMPTIONS!$B$56/ASSUMPTIONS!$B$51,0)</f>
        <v>2948.57142857143</v>
      </c>
      <c r="H9" s="19" t="n">
        <f aca="false">IFERROR(ASSUMPTIONS!$B$52*ASSUMPTIONS!$B$56/ASSUMPTIONS!$B$51,0)</f>
        <v>2948.57142857143</v>
      </c>
      <c r="I9" s="19" t="n">
        <f aca="false">IFERROR(ASSUMPTIONS!$B$52*ASSUMPTIONS!$B$56/ASSUMPTIONS!$B$51,0)</f>
        <v>2948.57142857143</v>
      </c>
      <c r="J9" s="19" t="n">
        <f aca="false">IFERROR(ASSUMPTIONS!$B$52*ASSUMPTIONS!$B$56/ASSUMPTIONS!$B$51,0)</f>
        <v>2948.57142857143</v>
      </c>
      <c r="K9" s="19" t="n">
        <f aca="false">IFERROR(ASSUMPTIONS!$B$52*ASSUMPTIONS!$B$56/ASSUMPTIONS!$B$51,0)</f>
        <v>2948.57142857143</v>
      </c>
      <c r="L9" s="19" t="n">
        <f aca="false">IFERROR(ASSUMPTIONS!$B$52*ASSUMPTIONS!$B$56/ASSUMPTIONS!$B$51,0)</f>
        <v>2948.57142857143</v>
      </c>
      <c r="M9" s="19" t="n">
        <f aca="false">IFERROR(ASSUMPTIONS!$B$52*ASSUMPTIONS!$B$56/ASSUMPTIONS!$B$51,0)</f>
        <v>2948.57142857143</v>
      </c>
      <c r="N9" s="19" t="n">
        <f aca="false">IFERROR(ASSUMPTIONS!$B$52*ASSUMPTIONS!$B$56/ASSUMPTIONS!$B$51,0)</f>
        <v>2948.57142857143</v>
      </c>
      <c r="O9" s="19" t="n">
        <f aca="false">IFERROR(ASSUMPTIONS!$B$52*ASSUMPTIONS!$B$56/ASSUMPTIONS!$B$51,0)</f>
        <v>2948.57142857143</v>
      </c>
      <c r="P9" s="19" t="n">
        <f aca="false">IFERROR(ASSUMPTIONS!$B$52*ASSUMPTIONS!$B$56/ASSUMPTIONS!$B$51,0)</f>
        <v>2948.57142857143</v>
      </c>
      <c r="Q9" s="19" t="n">
        <f aca="false">IFERROR(ASSUMPTIONS!$B$52*ASSUMPTIONS!$B$56/ASSUMPTIONS!$B$51,0)</f>
        <v>2948.57142857143</v>
      </c>
      <c r="R9" s="19" t="n">
        <f aca="false">IFERROR(ASSUMPTIONS!$B$52*ASSUMPTIONS!$B$56/ASSUMPTIONS!$B$51,0)</f>
        <v>2948.57142857143</v>
      </c>
      <c r="S9" s="19" t="n">
        <f aca="false">IFERROR(ASSUMPTIONS!$B$52*ASSUMPTIONS!$B$56/ASSUMPTIONS!$B$51,0)</f>
        <v>2948.57142857143</v>
      </c>
      <c r="T9" s="19" t="n">
        <f aca="false">IFERROR(ASSUMPTIONS!$B$52*ASSUMPTIONS!$B$56/ASSUMPTIONS!$B$51,0)</f>
        <v>2948.57142857143</v>
      </c>
      <c r="U9" s="19" t="n">
        <f aca="false">IFERROR(ASSUMPTIONS!$B$52*ASSUMPTIONS!$B$56/ASSUMPTIONS!$B$51,0)</f>
        <v>2948.57142857143</v>
      </c>
      <c r="V9" s="19" t="n">
        <f aca="false">IFERROR(ASSUMPTIONS!$B$52*ASSUMPTIONS!$B$56/ASSUMPTIONS!$B$51,0)</f>
        <v>2948.57142857143</v>
      </c>
      <c r="W9" s="19" t="n">
        <f aca="false">IFERROR(ASSUMPTIONS!$B$52*ASSUMPTIONS!$B$56/ASSUMPTIONS!$B$51,0)</f>
        <v>2948.57142857143</v>
      </c>
      <c r="X9" s="19" t="n">
        <f aca="false">IFERROR(ASSUMPTIONS!$B$52*ASSUMPTIONS!$B$56/ASSUMPTIONS!$B$51,0)</f>
        <v>2948.57142857143</v>
      </c>
      <c r="Y9" s="19" t="n">
        <f aca="false">IFERROR(ASSUMPTIONS!$B$52*ASSUMPTIONS!$B$56/ASSUMPTIONS!$B$51,0)</f>
        <v>2948.57142857143</v>
      </c>
      <c r="Z9" s="19" t="n">
        <f aca="false">IFERROR(ASSUMPTIONS!$B$52*ASSUMPTIONS!$B$56/ASSUMPTIONS!$B$51,0)</f>
        <v>2948.57142857143</v>
      </c>
      <c r="AA9" s="19" t="n">
        <f aca="false">IFERROR(ASSUMPTIONS!$B$52*ASSUMPTIONS!$B$56/ASSUMPTIONS!$B$51,0)</f>
        <v>2948.57142857143</v>
      </c>
      <c r="AB9" s="19" t="n">
        <f aca="false">IFERROR(ASSUMPTIONS!$B$52*ASSUMPTIONS!$B$56/ASSUMPTIONS!$B$51,0)</f>
        <v>2948.57142857143</v>
      </c>
      <c r="AC9" s="19" t="n">
        <f aca="false">IFERROR(ASSUMPTIONS!$B$52*ASSUMPTIONS!$B$56/ASSUMPTIONS!$B$51,0)</f>
        <v>2948.57142857143</v>
      </c>
      <c r="AD9" s="19" t="n">
        <f aca="false">IFERROR(ASSUMPTIONS!$B$52*ASSUMPTIONS!$B$56/ASSUMPTIONS!$B$51,0)</f>
        <v>2948.57142857143</v>
      </c>
      <c r="AE9" s="19" t="n">
        <f aca="false">IFERROR(ASSUMPTIONS!$B$52*ASSUMPTIONS!$B$56/ASSUMPTIONS!$B$51,0)</f>
        <v>2948.57142857143</v>
      </c>
      <c r="AF9" s="19" t="n">
        <f aca="false">IFERROR(ASSUMPTIONS!$B$52*ASSUMPTIONS!$B$56/ASSUMPTIONS!$B$51,0)</f>
        <v>2948.57142857143</v>
      </c>
      <c r="AG9" s="19" t="n">
        <f aca="false">IFERROR(ASSUMPTIONS!$B$52*ASSUMPTIONS!$B$56/ASSUMPTIONS!$B$51,0)</f>
        <v>2948.57142857143</v>
      </c>
      <c r="AH9" s="19" t="n">
        <f aca="false">IFERROR(ASSUMPTIONS!$B$52*ASSUMPTIONS!$B$56/ASSUMPTIONS!$B$51,0)</f>
        <v>2948.57142857143</v>
      </c>
      <c r="AI9" s="19" t="n">
        <f aca="false">IFERROR(ASSUMPTIONS!$B$52*ASSUMPTIONS!$B$56/ASSUMPTIONS!$B$51,0)</f>
        <v>2948.57142857143</v>
      </c>
      <c r="AJ9" s="19" t="n">
        <f aca="false">IFERROR(ASSUMPTIONS!$B$52*ASSUMPTIONS!$B$56/ASSUMPTIONS!$B$51,0)</f>
        <v>2948.57142857143</v>
      </c>
      <c r="AK9" s="19" t="n">
        <f aca="false">IFERROR(ASSUMPTIONS!$B$52*ASSUMPTIONS!$B$56/ASSUMPTIONS!$B$51,0)</f>
        <v>2948.57142857143</v>
      </c>
    </row>
    <row r="10" customFormat="false" ht="15" hidden="false" customHeight="true" outlineLevel="0" collapsed="false">
      <c r="A10" s="11" t="s">
        <v>242</v>
      </c>
      <c r="B10" s="36" t="n">
        <f aca="false">IFERROR(B9/B8,0)</f>
        <v>24.5714285714286</v>
      </c>
      <c r="C10" s="36" t="n">
        <f aca="false">IFERROR(C9/C8,0)</f>
        <v>24.5714285714286</v>
      </c>
      <c r="D10" s="36" t="n">
        <f aca="false">IFERROR(D9/D8,0)</f>
        <v>24.5714285714286</v>
      </c>
      <c r="E10" s="36" t="n">
        <f aca="false">IFERROR(E9/E8,0)</f>
        <v>24.5714285714286</v>
      </c>
      <c r="F10" s="36" t="n">
        <f aca="false">IFERROR(F9/F8,0)</f>
        <v>24.5714285714286</v>
      </c>
      <c r="G10" s="36" t="n">
        <f aca="false">IFERROR(G9/G8,0)</f>
        <v>24.5714285714286</v>
      </c>
      <c r="H10" s="36" t="n">
        <f aca="false">IFERROR(H9/H8,0)</f>
        <v>24.5714285714286</v>
      </c>
      <c r="I10" s="36" t="n">
        <f aca="false">IFERROR(I9/I8,0)</f>
        <v>24.5714285714286</v>
      </c>
      <c r="J10" s="36" t="n">
        <f aca="false">IFERROR(J9/J8,0)</f>
        <v>24.5714285714286</v>
      </c>
      <c r="K10" s="36" t="n">
        <f aca="false">IFERROR(K9/K8,0)</f>
        <v>24.5714285714286</v>
      </c>
      <c r="L10" s="36" t="n">
        <f aca="false">IFERROR(L9/L8,0)</f>
        <v>24.5714285714286</v>
      </c>
      <c r="M10" s="36" t="n">
        <f aca="false">IFERROR(M9/M8,0)</f>
        <v>24.5714285714286</v>
      </c>
      <c r="N10" s="36" t="n">
        <f aca="false">IFERROR(N9/N8,0)</f>
        <v>24.5714285714286</v>
      </c>
      <c r="O10" s="36" t="n">
        <f aca="false">IFERROR(O9/O8,0)</f>
        <v>24.5714285714286</v>
      </c>
      <c r="P10" s="36" t="n">
        <f aca="false">IFERROR(P9/P8,0)</f>
        <v>24.5714285714286</v>
      </c>
      <c r="Q10" s="36" t="n">
        <f aca="false">IFERROR(Q9/Q8,0)</f>
        <v>24.5714285714286</v>
      </c>
      <c r="R10" s="36" t="n">
        <f aca="false">IFERROR(R9/R8,0)</f>
        <v>24.5714285714286</v>
      </c>
      <c r="S10" s="36" t="n">
        <f aca="false">IFERROR(S9/S8,0)</f>
        <v>24.5714285714286</v>
      </c>
      <c r="T10" s="36" t="n">
        <f aca="false">IFERROR(T9/T8,0)</f>
        <v>24.5714285714286</v>
      </c>
      <c r="U10" s="36" t="n">
        <f aca="false">IFERROR(U9/U8,0)</f>
        <v>24.5714285714286</v>
      </c>
      <c r="V10" s="36" t="n">
        <f aca="false">IFERROR(V9/V8,0)</f>
        <v>24.5714285714286</v>
      </c>
      <c r="W10" s="36" t="n">
        <f aca="false">IFERROR(W9/W8,0)</f>
        <v>24.5714285714286</v>
      </c>
      <c r="X10" s="36" t="n">
        <f aca="false">IFERROR(X9/X8,0)</f>
        <v>24.5714285714286</v>
      </c>
      <c r="Y10" s="36" t="n">
        <f aca="false">IFERROR(Y9/Y8,0)</f>
        <v>24.5714285714286</v>
      </c>
      <c r="Z10" s="36" t="n">
        <f aca="false">IFERROR(Z9/Z8,0)</f>
        <v>24.5714285714286</v>
      </c>
      <c r="AA10" s="36" t="n">
        <f aca="false">IFERROR(AA9/AA8,0)</f>
        <v>24.5714285714286</v>
      </c>
      <c r="AB10" s="36" t="n">
        <f aca="false">IFERROR(AB9/AB8,0)</f>
        <v>24.5714285714286</v>
      </c>
      <c r="AC10" s="36" t="n">
        <f aca="false">IFERROR(AC9/AC8,0)</f>
        <v>24.5714285714286</v>
      </c>
      <c r="AD10" s="36" t="n">
        <f aca="false">IFERROR(AD9/AD8,0)</f>
        <v>24.5714285714286</v>
      </c>
      <c r="AE10" s="36" t="n">
        <f aca="false">IFERROR(AE9/AE8,0)</f>
        <v>24.5714285714286</v>
      </c>
      <c r="AF10" s="36" t="n">
        <f aca="false">IFERROR(AF9/AF8,0)</f>
        <v>24.5714285714286</v>
      </c>
      <c r="AG10" s="36" t="n">
        <f aca="false">IFERROR(AG9/AG8,0)</f>
        <v>24.5714285714286</v>
      </c>
      <c r="AH10" s="36" t="n">
        <f aca="false">IFERROR(AH9/AH8,0)</f>
        <v>24.5714285714286</v>
      </c>
      <c r="AI10" s="36" t="n">
        <f aca="false">IFERROR(AI9/AI8,0)</f>
        <v>24.5714285714286</v>
      </c>
      <c r="AJ10" s="36" t="n">
        <f aca="false">IFERROR(AJ9/AJ8,0)</f>
        <v>24.5714285714286</v>
      </c>
      <c r="AK10" s="36" t="n">
        <f aca="false">IFERROR(AK9/AK8,0)</f>
        <v>24.5714285714286</v>
      </c>
    </row>
    <row r="11" customFormat="false" ht="15" hidden="false" customHeight="true" outlineLevel="0" collapsed="false">
      <c r="A11" s="13" t="s">
        <v>243</v>
      </c>
      <c r="B11" s="33" t="n">
        <f aca="false">IFERROR(B8/(ASSUMPTIONS!$B$52*ASSUMPTIONS!$B$56),0)</f>
        <v>1.16279069767442</v>
      </c>
      <c r="C11" s="33" t="n">
        <f aca="false">IFERROR(C8/(ASSUMPTIONS!$B$52*ASSUMPTIONS!$B$56),0)</f>
        <v>1.16279069767442</v>
      </c>
      <c r="D11" s="33" t="n">
        <f aca="false">IFERROR(D8/(ASSUMPTIONS!$B$52*ASSUMPTIONS!$B$56),0)</f>
        <v>1.16279069767442</v>
      </c>
      <c r="E11" s="33" t="n">
        <f aca="false">IFERROR(E8/(ASSUMPTIONS!$B$52*ASSUMPTIONS!$B$56),0)</f>
        <v>1.16279069767442</v>
      </c>
      <c r="F11" s="33" t="n">
        <f aca="false">IFERROR(F8/(ASSUMPTIONS!$B$52*ASSUMPTIONS!$B$56),0)</f>
        <v>1.16279069767442</v>
      </c>
      <c r="G11" s="33" t="n">
        <f aca="false">IFERROR(G8/(ASSUMPTIONS!$B$52*ASSUMPTIONS!$B$56),0)</f>
        <v>1.16279069767442</v>
      </c>
      <c r="H11" s="33" t="n">
        <f aca="false">IFERROR(H8/(ASSUMPTIONS!$B$52*ASSUMPTIONS!$B$56),0)</f>
        <v>1.16279069767442</v>
      </c>
      <c r="I11" s="33" t="n">
        <f aca="false">IFERROR(I8/(ASSUMPTIONS!$B$52*ASSUMPTIONS!$B$56),0)</f>
        <v>1.16279069767442</v>
      </c>
      <c r="J11" s="33" t="n">
        <f aca="false">IFERROR(J8/(ASSUMPTIONS!$B$52*ASSUMPTIONS!$B$56),0)</f>
        <v>1.16279069767442</v>
      </c>
      <c r="K11" s="33" t="n">
        <f aca="false">IFERROR(K8/(ASSUMPTIONS!$B$52*ASSUMPTIONS!$B$56),0)</f>
        <v>1.16279069767442</v>
      </c>
      <c r="L11" s="33" t="n">
        <f aca="false">IFERROR(L8/(ASSUMPTIONS!$B$52*ASSUMPTIONS!$B$56),0)</f>
        <v>1.16279069767442</v>
      </c>
      <c r="M11" s="33" t="n">
        <f aca="false">IFERROR(M8/(ASSUMPTIONS!$B$52*ASSUMPTIONS!$B$56),0)</f>
        <v>1.16279069767442</v>
      </c>
      <c r="N11" s="33" t="n">
        <f aca="false">IFERROR(N8/(ASSUMPTIONS!$B$52*ASSUMPTIONS!$B$56),0)</f>
        <v>1.16279069767442</v>
      </c>
      <c r="O11" s="33" t="n">
        <f aca="false">IFERROR(O8/(ASSUMPTIONS!$B$52*ASSUMPTIONS!$B$56),0)</f>
        <v>1.16279069767442</v>
      </c>
      <c r="P11" s="33" t="n">
        <f aca="false">IFERROR(P8/(ASSUMPTIONS!$B$52*ASSUMPTIONS!$B$56),0)</f>
        <v>1.16279069767442</v>
      </c>
      <c r="Q11" s="33" t="n">
        <f aca="false">IFERROR(Q8/(ASSUMPTIONS!$B$52*ASSUMPTIONS!$B$56),0)</f>
        <v>1.16279069767442</v>
      </c>
      <c r="R11" s="33" t="n">
        <f aca="false">IFERROR(R8/(ASSUMPTIONS!$B$52*ASSUMPTIONS!$B$56),0)</f>
        <v>1.16279069767442</v>
      </c>
      <c r="S11" s="33" t="n">
        <f aca="false">IFERROR(S8/(ASSUMPTIONS!$B$52*ASSUMPTIONS!$B$56),0)</f>
        <v>1.16279069767442</v>
      </c>
      <c r="T11" s="33" t="n">
        <f aca="false">IFERROR(T8/(ASSUMPTIONS!$B$52*ASSUMPTIONS!$B$56),0)</f>
        <v>1.16279069767442</v>
      </c>
      <c r="U11" s="33" t="n">
        <f aca="false">IFERROR(U8/(ASSUMPTIONS!$B$52*ASSUMPTIONS!$B$56),0)</f>
        <v>1.16279069767442</v>
      </c>
      <c r="V11" s="33" t="n">
        <f aca="false">IFERROR(V8/(ASSUMPTIONS!$B$52*ASSUMPTIONS!$B$56),0)</f>
        <v>1.16279069767442</v>
      </c>
      <c r="W11" s="33" t="n">
        <f aca="false">IFERROR(W8/(ASSUMPTIONS!$B$52*ASSUMPTIONS!$B$56),0)</f>
        <v>1.16279069767442</v>
      </c>
      <c r="X11" s="33" t="n">
        <f aca="false">IFERROR(X8/(ASSUMPTIONS!$B$52*ASSUMPTIONS!$B$56),0)</f>
        <v>1.16279069767442</v>
      </c>
      <c r="Y11" s="33" t="n">
        <f aca="false">IFERROR(Y8/(ASSUMPTIONS!$B$52*ASSUMPTIONS!$B$56),0)</f>
        <v>1.16279069767442</v>
      </c>
      <c r="Z11" s="33" t="n">
        <f aca="false">IFERROR(Z8/(ASSUMPTIONS!$B$52*ASSUMPTIONS!$B$56),0)</f>
        <v>1.16279069767442</v>
      </c>
      <c r="AA11" s="33" t="n">
        <f aca="false">IFERROR(AA8/(ASSUMPTIONS!$B$52*ASSUMPTIONS!$B$56),0)</f>
        <v>1.16279069767442</v>
      </c>
      <c r="AB11" s="33" t="n">
        <f aca="false">IFERROR(AB8/(ASSUMPTIONS!$B$52*ASSUMPTIONS!$B$56),0)</f>
        <v>1.16279069767442</v>
      </c>
      <c r="AC11" s="33" t="n">
        <f aca="false">IFERROR(AC8/(ASSUMPTIONS!$B$52*ASSUMPTIONS!$B$56),0)</f>
        <v>1.16279069767442</v>
      </c>
      <c r="AD11" s="33" t="n">
        <f aca="false">IFERROR(AD8/(ASSUMPTIONS!$B$52*ASSUMPTIONS!$B$56),0)</f>
        <v>1.16279069767442</v>
      </c>
      <c r="AE11" s="33" t="n">
        <f aca="false">IFERROR(AE8/(ASSUMPTIONS!$B$52*ASSUMPTIONS!$B$56),0)</f>
        <v>1.16279069767442</v>
      </c>
      <c r="AF11" s="33" t="n">
        <f aca="false">IFERROR(AF8/(ASSUMPTIONS!$B$52*ASSUMPTIONS!$B$56),0)</f>
        <v>1.16279069767442</v>
      </c>
      <c r="AG11" s="33" t="n">
        <f aca="false">IFERROR(AG8/(ASSUMPTIONS!$B$52*ASSUMPTIONS!$B$56),0)</f>
        <v>1.16279069767442</v>
      </c>
      <c r="AH11" s="33" t="n">
        <f aca="false">IFERROR(AH8/(ASSUMPTIONS!$B$52*ASSUMPTIONS!$B$56),0)</f>
        <v>1.16279069767442</v>
      </c>
      <c r="AI11" s="33" t="n">
        <f aca="false">IFERROR(AI8/(ASSUMPTIONS!$B$52*ASSUMPTIONS!$B$56),0)</f>
        <v>1.16279069767442</v>
      </c>
      <c r="AJ11" s="33" t="n">
        <f aca="false">IFERROR(AJ8/(ASSUMPTIONS!$B$52*ASSUMPTIONS!$B$56),0)</f>
        <v>1.16279069767442</v>
      </c>
      <c r="AK11" s="33" t="n">
        <f aca="false">IFERROR(AK8/(ASSUMPTIONS!$B$52*ASSUMPTIONS!$B$56),0)</f>
        <v>1.16279069767442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2"/>
    <col collapsed="false" customWidth="true" hidden="false" outlineLevel="0" max="6" min="3" style="1" width="18"/>
  </cols>
  <sheetData>
    <row r="1" customFormat="false" ht="17.25" hidden="false" customHeight="true" outlineLevel="0" collapsed="false">
      <c r="B1" s="9" t="s">
        <v>244</v>
      </c>
      <c r="C1" s="2"/>
      <c r="D1" s="2"/>
      <c r="E1" s="2"/>
      <c r="F1" s="2"/>
    </row>
    <row r="2" customFormat="false" ht="15" hidden="false" customHeight="true" outlineLevel="0" collapsed="false">
      <c r="B2" s="8" t="s">
        <v>245</v>
      </c>
      <c r="C2" s="4"/>
      <c r="D2" s="4"/>
      <c r="E2" s="4"/>
      <c r="F2" s="4"/>
    </row>
    <row r="4" customFormat="false" ht="15" hidden="false" customHeight="true" outlineLevel="0" collapsed="false">
      <c r="C4" s="22" t="s">
        <v>246</v>
      </c>
      <c r="D4" s="37" t="s">
        <v>247</v>
      </c>
      <c r="E4" s="37" t="s">
        <v>248</v>
      </c>
    </row>
    <row r="6" customFormat="false" ht="15" hidden="false" customHeight="true" outlineLevel="0" collapsed="false">
      <c r="A6" s="10" t="s">
        <v>249</v>
      </c>
      <c r="B6" s="2"/>
      <c r="C6" s="2"/>
      <c r="D6" s="2"/>
      <c r="E6" s="2"/>
      <c r="F6" s="2"/>
    </row>
    <row r="7" customFormat="false" ht="15" hidden="false" customHeight="true" outlineLevel="0" collapsed="false">
      <c r="B7" s="13" t="s">
        <v>250</v>
      </c>
      <c r="C7" s="28" t="n">
        <f aca="false">SUM(REVENUE!B28:M28)</f>
        <v>305457</v>
      </c>
      <c r="D7" s="28" t="n">
        <f aca="false">SUM(REVENUE!N28:Y28)</f>
        <v>997446</v>
      </c>
      <c r="E7" s="28" t="n">
        <f aca="false">SUM(REVENUE!Z28:AK28)</f>
        <v>2585867</v>
      </c>
    </row>
    <row r="8" customFormat="false" ht="15" hidden="false" customHeight="true" outlineLevel="0" collapsed="false">
      <c r="B8" s="11" t="s">
        <v>251</v>
      </c>
      <c r="C8" s="28" t="n">
        <f aca="false">SUM(REVENUE!B19:M19)</f>
        <v>182391</v>
      </c>
      <c r="D8" s="28" t="n">
        <f aca="false">SUM(REVENUE!N19:Y19)</f>
        <v>555105</v>
      </c>
      <c r="E8" s="28" t="n">
        <f aca="false">SUM(REVENUE!Z19:AK19)</f>
        <v>1394165</v>
      </c>
    </row>
    <row r="9" customFormat="false" ht="15" hidden="false" customHeight="true" outlineLevel="0" collapsed="false">
      <c r="B9" s="13" t="s">
        <v>252</v>
      </c>
      <c r="C9" s="28" t="n">
        <f aca="false">SUM(REVENUE!B25:M25)</f>
        <v>123066</v>
      </c>
      <c r="D9" s="28" t="n">
        <f aca="false">SUM(REVENUE!N25:Y25)</f>
        <v>442341</v>
      </c>
      <c r="E9" s="28" t="n">
        <f aca="false">SUM(REVENUE!Z25:AK25)</f>
        <v>1191702</v>
      </c>
    </row>
    <row r="10" customFormat="false" ht="15" hidden="false" customHeight="true" outlineLevel="0" collapsed="false">
      <c r="B10" s="11" t="s">
        <v>253</v>
      </c>
      <c r="C10" s="28" t="n">
        <f aca="false">REVENUE!M9</f>
        <v>248</v>
      </c>
      <c r="D10" s="28" t="n">
        <f aca="false">REVENUE!Y9</f>
        <v>702</v>
      </c>
      <c r="E10" s="28" t="n">
        <f aca="false">REVENUE!AK9</f>
        <v>1812</v>
      </c>
    </row>
    <row r="11" customFormat="false" ht="15" hidden="false" customHeight="true" outlineLevel="0" collapsed="false">
      <c r="B11" s="13" t="s">
        <v>254</v>
      </c>
      <c r="C11" s="28" t="n">
        <f aca="false">REVENUE!M24</f>
        <v>148</v>
      </c>
      <c r="D11" s="28" t="n">
        <f aca="false">REVENUE!Y24</f>
        <v>439</v>
      </c>
      <c r="E11" s="28" t="n">
        <f aca="false">REVENUE!AK24</f>
        <v>1146</v>
      </c>
    </row>
    <row r="13" customFormat="false" ht="15" hidden="false" customHeight="true" outlineLevel="0" collapsed="false">
      <c r="A13" s="10" t="s">
        <v>255</v>
      </c>
      <c r="B13" s="2"/>
      <c r="C13" s="2"/>
      <c r="D13" s="2"/>
      <c r="E13" s="2"/>
      <c r="F13" s="2"/>
    </row>
    <row r="14" customFormat="false" ht="15" hidden="false" customHeight="true" outlineLevel="0" collapsed="false">
      <c r="B14" s="14" t="s">
        <v>256</v>
      </c>
      <c r="C14" s="38" t="n">
        <f aca="false">IFERROR(SUM('P&amp;L'!B14:M14)/SUM('P&amp;L'!B10:M10),0)</f>
        <v>0.91429423781416</v>
      </c>
      <c r="D14" s="38" t="n">
        <f aca="false">IFERROR(SUM('P&amp;L'!N14:Y14)/SUM('P&amp;L'!N10:Y10),0)</f>
        <v>0.912063259564929</v>
      </c>
      <c r="E14" s="38" t="n">
        <f aca="false">IFERROR(SUM('P&amp;L'!Z14:AK14)/SUM('P&amp;L'!Z10:AK10),0)</f>
        <v>0.910321112802785</v>
      </c>
    </row>
    <row r="15" customFormat="false" ht="15" hidden="false" customHeight="true" outlineLevel="0" collapsed="false">
      <c r="B15" s="14" t="s">
        <v>210</v>
      </c>
      <c r="C15" s="39" t="n">
        <f aca="false">SUM('P&amp;L'!B29:M29)</f>
        <v>-1698516.425</v>
      </c>
      <c r="D15" s="39" t="n">
        <f aca="false">SUM('P&amp;L'!N29:Y29)</f>
        <v>-1967333.15</v>
      </c>
      <c r="E15" s="39" t="n">
        <f aca="false">SUM('P&amp;L'!Z29:AK29)</f>
        <v>-797971.675</v>
      </c>
    </row>
    <row r="17" customFormat="false" ht="15" hidden="false" customHeight="true" outlineLevel="0" collapsed="false">
      <c r="A17" s="10" t="s">
        <v>257</v>
      </c>
      <c r="B17" s="2"/>
      <c r="C17" s="2"/>
      <c r="D17" s="2"/>
      <c r="E17" s="2"/>
      <c r="F17" s="2"/>
    </row>
    <row r="18" customFormat="false" ht="15" hidden="false" customHeight="true" outlineLevel="0" collapsed="false">
      <c r="B18" s="14" t="s">
        <v>258</v>
      </c>
      <c r="C18" s="28" t="n">
        <f aca="false">'CASH FLOW'!M17</f>
        <v>3801483.575</v>
      </c>
      <c r="D18" s="28" t="n">
        <f aca="false">'CASH FLOW'!Y17</f>
        <v>1834150.425</v>
      </c>
      <c r="E18" s="28" t="n">
        <f aca="false">'CASH FLOW'!AK17</f>
        <v>1036178.75</v>
      </c>
    </row>
    <row r="19" customFormat="false" ht="15" hidden="false" customHeight="true" outlineLevel="0" collapsed="false">
      <c r="B19" s="14" t="s">
        <v>259</v>
      </c>
      <c r="C19" s="40" t="n">
        <f aca="false">'CASH FLOW'!M20</f>
        <v>19.8851535227841</v>
      </c>
      <c r="D19" s="40" t="n">
        <f aca="false">'CASH FLOW'!Y20</f>
        <v>13.7435150765385</v>
      </c>
      <c r="E19" s="40" t="str">
        <f aca="false">'CASH FLOW'!AK20</f>
        <v>∞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9" t="s">
        <v>260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8" t="s">
        <v>261</v>
      </c>
      <c r="B2" s="4"/>
      <c r="C2" s="4"/>
      <c r="D2" s="4"/>
      <c r="E2" s="4"/>
      <c r="F2" s="4"/>
      <c r="G2" s="4"/>
    </row>
    <row r="4" customFormat="false" ht="15" hidden="false" customHeight="true" outlineLevel="0" collapsed="false">
      <c r="A4" s="41" t="s">
        <v>262</v>
      </c>
    </row>
    <row r="5" customFormat="false" ht="15" hidden="false" customHeight="true" outlineLevel="0" collapsed="false">
      <c r="A5" s="14" t="s">
        <v>263</v>
      </c>
      <c r="B5" s="17" t="n">
        <v>0.02</v>
      </c>
      <c r="C5" s="17" t="n">
        <v>0.03</v>
      </c>
      <c r="D5" s="17" t="n">
        <v>0.04</v>
      </c>
      <c r="E5" s="17" t="n">
        <v>0.05</v>
      </c>
      <c r="F5" s="17" t="n">
        <v>0.06</v>
      </c>
      <c r="G5" s="17" t="n">
        <v>0.08</v>
      </c>
    </row>
    <row r="6" customFormat="false" ht="15" hidden="false" customHeight="true" outlineLevel="0" collapsed="false">
      <c r="A6" s="13" t="s">
        <v>264</v>
      </c>
      <c r="B6" s="16"/>
      <c r="C6" s="16"/>
      <c r="D6" s="16"/>
      <c r="E6" s="16"/>
      <c r="F6" s="16"/>
      <c r="G6" s="16"/>
    </row>
    <row r="8" customFormat="false" ht="15" hidden="false" customHeight="true" outlineLevel="0" collapsed="false">
      <c r="A8" s="41" t="s">
        <v>265</v>
      </c>
    </row>
    <row r="9" customFormat="false" ht="15" hidden="false" customHeight="true" outlineLevel="0" collapsed="false">
      <c r="A9" s="6" t="s">
        <v>266</v>
      </c>
    </row>
    <row r="10" customFormat="false" ht="15" hidden="false" customHeight="true" outlineLevel="0" collapsed="false">
      <c r="A10" s="6" t="s">
        <v>267</v>
      </c>
    </row>
    <row r="11" customFormat="false" ht="15" hidden="false" customHeight="true" outlineLevel="0" collapsed="false">
      <c r="A11" s="6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2026-03-10T22:01:48Z</dcterms:created>
  <dc:creator>openpyxl</dc:creator>
  <dc:description/>
  <dc:language>en-US</dc:language>
  <cp:lastModifiedBy/>
  <dcterms:modified xsi:type="dcterms:W3CDTF">2026-03-10T22:02:24Z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