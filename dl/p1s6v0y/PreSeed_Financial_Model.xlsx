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REVENUE" sheetId="3" state="visible" r:id="rId5"/>
    <sheet name="HEADCOUNT" sheetId="4" state="visible" r:id="rId6"/>
    <sheet name="P&amp;L" sheetId="5" state="visible" r:id="rId7"/>
    <sheet name="CASH FLOW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<sst xmlns="http://schemas.openxmlformats.org/spreadsheetml/2006/main" count="219" uniqueCount="149">
  <si>
    <t xml:space="preserve">Raise Ready</t>
  </si>
  <si>
    <t xml:space="preserve">Pre-Seed Financial Model — Foundation</t>
  </si>
  <si>
    <t xml:space="preserve">HOW TO USE THIS MODEL</t>
  </si>
  <si>
    <t xml:space="preserve">Step 01: ASSUMPTIONS</t>
  </si>
  <si>
    <t xml:space="preserve">Enter company info, revenue drivers, and costs. Yellow cells = your inputs (blue text).</t>
  </si>
  <si>
    <t xml:space="preserve">Step 02: REVENUE</t>
  </si>
  <si>
    <t xml:space="preserve">Auto-calculated from your drivers. Monthly new customers × ARPU.</t>
  </si>
  <si>
    <t xml:space="preserve">Step 03: HEADCOUNT</t>
  </si>
  <si>
    <t xml:space="preserve">Staff costs by role. Edit roles and salaries in Assumptions.</t>
  </si>
  <si>
    <t xml:space="preserve">Step 04: P&amp;L</t>
  </si>
  <si>
    <t xml:space="preserve">Full profit &amp; loss. All formulas — do not edit.</t>
  </si>
  <si>
    <t xml:space="preserve">Step 05: CASH FLOW</t>
  </si>
  <si>
    <t xml:space="preserve">Runway projection. Shows months of cash remaining.</t>
  </si>
  <si>
    <t xml:space="preserve">ASSUMPTIONS — All Model Inputs</t>
  </si>
  <si>
    <t xml:space="preserve">Yellow cells = your inputs (blue text). Replace example values with your own data. Do not edit white cells — these are formulas.</t>
  </si>
  <si>
    <t xml:space="preserve">SECTION 1 — COMPANY INFORMATION</t>
  </si>
  <si>
    <t xml:space="preserve">Company Name</t>
  </si>
  <si>
    <t xml:space="preserve">My Startup Ltd</t>
  </si>
  <si>
    <t xml:space="preserve">Your legal trading name</t>
  </si>
  <si>
    <t xml:space="preserve">Reporting Currency</t>
  </si>
  <si>
    <t xml:space="preserve">$</t>
  </si>
  <si>
    <t xml:space="preserve">Currency symbol used throughout</t>
  </si>
  <si>
    <t xml:space="preserve">Model Start</t>
  </si>
  <si>
    <t xml:space="preserve">Jan 2025</t>
  </si>
  <si>
    <t xml:space="preserve">Start month label for display</t>
  </si>
  <si>
    <t xml:space="preserve">SECTION 2 — REVENUE DRIVERS</t>
  </si>
  <si>
    <t xml:space="preserve">Starting Customers (Month 1)</t>
  </si>
  <si>
    <t xml:space="preserve">Customers at model start</t>
  </si>
  <si>
    <t xml:space="preserve">New Customers per Month</t>
  </si>
  <si>
    <t xml:space="preserve">Average monthly acquisition</t>
  </si>
  <si>
    <t xml:space="preserve">Monthly Customer Growth Rate</t>
  </si>
  <si>
    <t xml:space="preserve">Growth in new customer adds (MoM)</t>
  </si>
  <si>
    <t xml:space="preserve">Monthly Churn Rate</t>
  </si>
  <si>
    <t xml:space="preserve">Percentage of customers lost per month</t>
  </si>
  <si>
    <t xml:space="preserve">Average Revenue Per User (ARPU)</t>
  </si>
  <si>
    <t xml:space="preserve">Monthly ARPU ($)</t>
  </si>
  <si>
    <t xml:space="preserve">ARPU Annual Increase</t>
  </si>
  <si>
    <t xml:space="preserve">Annual price increase %</t>
  </si>
  <si>
    <t xml:space="preserve">SECTION 3 — COST OF GOODS SOLD</t>
  </si>
  <si>
    <t xml:space="preserve">Hosting Cost per Customer</t>
  </si>
  <si>
    <t xml:space="preserve">Monthly infrastructure cost per user ($)</t>
  </si>
  <si>
    <t xml:space="preserve">Payment Processing (% of Revenue)</t>
  </si>
  <si>
    <t xml:space="preserve">Stripe/payment fees</t>
  </si>
  <si>
    <t xml:space="preserve">Support Cost per Customer</t>
  </si>
  <si>
    <t xml:space="preserve">Monthly support cost per user ($)</t>
  </si>
  <si>
    <t xml:space="preserve">SECTION 4 — HEADCOUNT PLAN</t>
  </si>
  <si>
    <t xml:space="preserve">  Role / Start Month / Annual Salary</t>
  </si>
  <si>
    <t xml:space="preserve">Role Name</t>
  </si>
  <si>
    <t xml:space="preserve">Start Month #</t>
  </si>
  <si>
    <t xml:space="preserve">Annual Salary ($)</t>
  </si>
  <si>
    <t xml:space="preserve">  CEO / Co-Founder</t>
  </si>
  <si>
    <t xml:space="preserve">CEO / Co-Founder</t>
  </si>
  <si>
    <t xml:space="preserve">  CTO / Co-Founder</t>
  </si>
  <si>
    <t xml:space="preserve">CTO / Co-Founder</t>
  </si>
  <si>
    <t xml:space="preserve">  Engineer #1</t>
  </si>
  <si>
    <t xml:space="preserve">Engineer #1</t>
  </si>
  <si>
    <t xml:space="preserve">  Engineer #2</t>
  </si>
  <si>
    <t xml:space="preserve">Engineer #2</t>
  </si>
  <si>
    <t xml:space="preserve">  Designer</t>
  </si>
  <si>
    <t xml:space="preserve">Designer</t>
  </si>
  <si>
    <t xml:space="preserve">  Sales / Growth</t>
  </si>
  <si>
    <t xml:space="preserve">Sales / Growth</t>
  </si>
  <si>
    <t xml:space="preserve">  (empty)</t>
  </si>
  <si>
    <t xml:space="preserve">Payroll Overhead Multiplier</t>
  </si>
  <si>
    <t xml:space="preserve">Benefits, tax, insurance multiplier</t>
  </si>
  <si>
    <t xml:space="preserve">SECTION 5 — OPERATING EXPENSES</t>
  </si>
  <si>
    <t xml:space="preserve">Marketing Spend (Monthly)</t>
  </si>
  <si>
    <t xml:space="preserve">Monthly marketing budget ($)</t>
  </si>
  <si>
    <t xml:space="preserve">Marketing Spend Growth (Monthly)</t>
  </si>
  <si>
    <t xml:space="preserve">MoM increase in marketing</t>
  </si>
  <si>
    <t xml:space="preserve">Software &amp; Tools (Monthly)</t>
  </si>
  <si>
    <t xml:space="preserve">SaaS tools, subscriptions ($)</t>
  </si>
  <si>
    <t xml:space="preserve">Office / Rent (Monthly)</t>
  </si>
  <si>
    <t xml:space="preserve">Office costs ($)</t>
  </si>
  <si>
    <t xml:space="preserve">Legal &amp; Professional (Monthly)</t>
  </si>
  <si>
    <t xml:space="preserve">Legal, accounting, compliance ($)</t>
  </si>
  <si>
    <t xml:space="preserve">Other OpEx (Monthly)</t>
  </si>
  <si>
    <t xml:space="preserve">Miscellaneous costs ($)</t>
  </si>
  <si>
    <t xml:space="preserve">SECTION 6 — CASH &amp; FUNDING</t>
  </si>
  <si>
    <t xml:space="preserve">Starting Cash Balance</t>
  </si>
  <si>
    <t xml:space="preserve">Cash at model start ($)</t>
  </si>
  <si>
    <t xml:space="preserve">Pre-Seed Raise Amount</t>
  </si>
  <si>
    <t xml:space="preserve">Expected raise ($)</t>
  </si>
  <si>
    <t xml:space="preserve">Pre-Seed Close Month</t>
  </si>
  <si>
    <t xml:space="preserve">Month # when funds arrive</t>
  </si>
  <si>
    <t xml:space="preserve">REVENUE MODEL</t>
  </si>
  <si>
    <t xml:space="preserve">Driver-based model. All inputs flow from ASSUMPTIONS tab. White cells = formulas (do not edit).</t>
  </si>
  <si>
    <t xml:space="preserve">  YEAR 1</t>
  </si>
  <si>
    <t xml:space="preserve">  YEAR 2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</si>
  <si>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</si>
  <si>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</si>
  <si>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</si>
  <si>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</si>
  <si>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</si>
  <si>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</si>
  <si>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</si>
  <si>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</si>
  <si>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</si>
  <si>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</si>
  <si>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</si>
  <si>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</si>
  <si>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Y1 Total</t>
  </si>
  <si>
    <t xml:space="preserve">CUSTOMER ACQUISITION</t>
  </si>
  <si>
    <t xml:space="preserve">  New Customers Added</t>
  </si>
  <si>
    <t xml:space="preserve">  Customers Churned</t>
  </si>
  <si>
    <t xml:space="preserve">  Active Customers — End of Month</t>
  </si>
  <si>
    <t xml:space="preserve">MONTHLY REVENUE</t>
  </si>
  <si>
    <t xml:space="preserve">  Monthly ARPU ($)</t>
  </si>
  <si>
    <t xml:space="preserve">TOTAL REVENUE ($)</t>
  </si>
  <si>
    <t xml:space="preserve">  Month-on-Month Revenue Growth %</t>
  </si>
  <si>
    <t xml:space="preserve">HEADCOUNT — Staff Costs by Role</t>
  </si>
  <si>
    <t xml:space="preserve">All values auto-calculated from Assumptions. Edit roles, start months, and salaries there.</t>
  </si>
  <si>
    <t xml:space="preserve">TOTAL HEADCOUNT COST ($)</t>
  </si>
  <si>
    <t xml:space="preserve">  Headcount (#)</t>
  </si>
  <si>
    <t xml:space="preserve">PROFIT &amp; LOSS STATEMENT</t>
  </si>
  <si>
    <t xml:space="preserve">All figures auto-populated from REVENUE and HEADCOUNT sheets. Green text = cross-sheet links. Do not edit.</t>
  </si>
  <si>
    <t xml:space="preserve">REVENUE</t>
  </si>
  <si>
    <t xml:space="preserve">  Total Revenue ($)</t>
  </si>
  <si>
    <t xml:space="preserve">COST OF GOODS SOLD</t>
  </si>
  <si>
    <t xml:space="preserve">  Hosting Costs ($)</t>
  </si>
  <si>
    <t xml:space="preserve">  Payment Processing ($)</t>
  </si>
  <si>
    <t xml:space="preserve">  Support Costs ($)</t>
  </si>
  <si>
    <t xml:space="preserve">TOTAL COGS ($)</t>
  </si>
  <si>
    <t xml:space="preserve">GROSS PROFIT ($)</t>
  </si>
  <si>
    <t xml:space="preserve">  Gross Margin %</t>
  </si>
  <si>
    <t xml:space="preserve">OPERATING EXPENSES</t>
  </si>
  <si>
    <t xml:space="preserve">  Total Headcount ($)</t>
  </si>
  <si>
    <t xml:space="preserve">  Marketing ($)</t>
  </si>
  <si>
    <t xml:space="preserve">  Software &amp; Tools ($)</t>
  </si>
  <si>
    <t xml:space="preserve">  Office / Rent ($)</t>
  </si>
  <si>
    <t xml:space="preserve">  Legal &amp; Professional ($)</t>
  </si>
  <si>
    <t xml:space="preserve">  Other OpEx ($)</t>
  </si>
  <si>
    <t xml:space="preserve">TOTAL OPERATING EXPENSES ($)</t>
  </si>
  <si>
    <t xml:space="preserve">EBITDA ($)</t>
  </si>
  <si>
    <t xml:space="preserve">  EBITDA Margin %</t>
  </si>
  <si>
    <t xml:space="preserve">CASH FLOW STATEMENT</t>
  </si>
  <si>
    <t xml:space="preserve">Monthly cash in/out. Shows runway remaining. Yellow = your inputs (CAPEX). Everything else auto-calculated.</t>
  </si>
  <si>
    <t xml:space="preserve">OPENING CASH BALANCE</t>
  </si>
  <si>
    <t xml:space="preserve">Opening Cash Balance ($)</t>
  </si>
  <si>
    <t xml:space="preserve">OPERATING ACTIVITIES</t>
  </si>
  <si>
    <t xml:space="preserve">  EBITDA (from P&amp;L)</t>
  </si>
  <si>
    <t xml:space="preserve">CASH FROM OPERATIONS ($)</t>
  </si>
  <si>
    <t xml:space="preserve">FINANCING ACTIVITIES</t>
  </si>
  <si>
    <t xml:space="preserve">  Pre-Seed Raise ($)</t>
  </si>
  <si>
    <t xml:space="preserve">CASH FROM FINANCING ($)</t>
  </si>
  <si>
    <t xml:space="preserve">NET CASH MOVEMENT ($)</t>
  </si>
  <si>
    <t xml:space="preserve">CLOSING CASH BALANCE ($)</t>
  </si>
  <si>
    <t xml:space="preserve">  Monthly Cash Burn ($)</t>
  </si>
  <si>
    <t xml:space="preserve">  Runway — Months Remaining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</si>
</sst>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;\(0.0%\);\-"/>
    <numFmt numFmtId="166" formatCode="#,##0;\(#,##0\);\-"/>
    <numFmt numFmtId="167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Georgia"/>
      <family val="0"/>
      <charset val="1"/>
    </font>
    <font>
      <sz val="14"/>
      <color rgb="FF595959"/>
      <name val="Georgia"/>
      <family val="0"/>
      <charset val="1"/>
    </font>
    <font>
      <b val="true"/>
      <sz val="12"/>
      <color rgb="FF1B3A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217346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BF4FB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FFF00"/>
        <bgColor rgb="FFFFFF00"/>
      </patternFill>
    </fill>
    <fill>
      <patternFill patternType="solid">
        <fgColor rgb="FFF5F5F5"/>
        <bgColor rgb="FFEBF4FB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EBF4FB"/>
      </patternFill>
    </fill>
    <fill>
      <patternFill patternType="solid">
        <fgColor rgb="FF217346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C0C0C0"/>
      <rgbColor rgb="FF808080"/>
      <rgbColor rgb="FF9999FF"/>
      <rgbColor rgb="FF993366"/>
      <rgbColor rgb="FFF5F5F5"/>
      <rgbColor rgb="FFEBF4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2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8"/>
    <col collapsed="false" customWidth="true" hidden="false" outlineLevel="0" max="3" min="3" style="0" width="70"/>
  </cols>
  <sheetData>
    <row r="2" customFormat="false" ht="26.8" hidden="false" customHeight="false" outlineLevel="0" collapsed="false">
      <c r="A2" s="1"/>
      <c r="B2" s="2" t="s">
        <v>0</v>
      </c>
      <c r="C2" s="1"/>
      <c r="D2" s="1"/>
      <c r="E2" s="1"/>
    </row>
    <row r="3" customFormat="false" ht="17.35" hidden="false" customHeight="false" outlineLevel="0" collapsed="false">
      <c r="A3" s="3"/>
      <c r="B3" s="4" t="s">
        <v>1</v>
      </c>
      <c r="C3" s="3"/>
      <c r="D3" s="3"/>
      <c r="E3" s="3"/>
    </row>
    <row r="5" customFormat="false" ht="15" hidden="false" customHeight="false" outlineLevel="0" collapsed="false">
      <c r="B5" s="5" t="s">
        <v>2</v>
      </c>
    </row>
    <row r="7" customFormat="false" ht="15" hidden="false" customHeight="false" outlineLevel="0" collapsed="false">
      <c r="A7" s="3"/>
      <c r="B7" s="6" t="s">
        <v>3</v>
      </c>
      <c r="C7" s="7" t="s">
        <v>4</v>
      </c>
      <c r="D7" s="3"/>
      <c r="E7" s="3"/>
    </row>
    <row r="9" customFormat="false" ht="15" hidden="false" customHeight="false" outlineLevel="0" collapsed="false">
      <c r="A9" s="3"/>
      <c r="B9" s="6" t="s">
        <v>5</v>
      </c>
      <c r="C9" s="7" t="s">
        <v>6</v>
      </c>
      <c r="D9" s="3"/>
      <c r="E9" s="3"/>
    </row>
    <row r="11" customFormat="false" ht="15" hidden="false" customHeight="false" outlineLevel="0" collapsed="false">
      <c r="A11" s="3"/>
      <c r="B11" s="6" t="s">
        <v>7</v>
      </c>
      <c r="C11" s="7" t="s">
        <v>8</v>
      </c>
      <c r="D11" s="3"/>
      <c r="E11" s="3"/>
    </row>
    <row r="13" customFormat="false" ht="15" hidden="false" customHeight="false" outlineLevel="0" collapsed="false">
      <c r="A13" s="3"/>
      <c r="B13" s="6" t="s">
        <v>9</v>
      </c>
      <c r="C13" s="7" t="s">
        <v>10</v>
      </c>
      <c r="D13" s="3"/>
      <c r="E13" s="3"/>
    </row>
    <row r="15" customFormat="false" ht="15" hidden="false" customHeight="false" outlineLevel="0" collapsed="false">
      <c r="A15" s="3"/>
      <c r="B15" s="6" t="s">
        <v>11</v>
      </c>
      <c r="C15" s="7" t="s">
        <v>12</v>
      </c>
      <c r="D15" s="3"/>
      <c r="E1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8" t="s">
        <v>13</v>
      </c>
      <c r="B1" s="1"/>
      <c r="C1" s="1"/>
    </row>
    <row r="2" customFormat="false" ht="15" hidden="false" customHeight="false" outlineLevel="0" collapsed="false">
      <c r="A2" s="7" t="s">
        <v>14</v>
      </c>
      <c r="B2" s="3"/>
      <c r="C2" s="3"/>
    </row>
    <row r="4" customFormat="false" ht="15" hidden="false" customHeight="false" outlineLevel="0" collapsed="false">
      <c r="A4" s="9" t="s">
        <v>15</v>
      </c>
      <c r="B4" s="1"/>
      <c r="C4" s="1"/>
    </row>
    <row r="5" customFormat="false" ht="15" hidden="false" customHeight="false" outlineLevel="0" collapsed="false">
      <c r="A5" s="10" t="s">
        <v>16</v>
      </c>
      <c r="B5" s="11" t="s">
        <v>17</v>
      </c>
      <c r="C5" s="7" t="s">
        <v>18</v>
      </c>
    </row>
    <row r="6" customFormat="false" ht="15" hidden="false" customHeight="false" outlineLevel="0" collapsed="false">
      <c r="A6" s="12" t="s">
        <v>19</v>
      </c>
      <c r="B6" s="11" t="s">
        <v>20</v>
      </c>
      <c r="C6" s="7" t="s">
        <v>21</v>
      </c>
    </row>
    <row r="7" customFormat="false" ht="15" hidden="false" customHeight="false" outlineLevel="0" collapsed="false">
      <c r="A7" s="10" t="s">
        <v>22</v>
      </c>
      <c r="B7" s="11" t="s">
        <v>23</v>
      </c>
      <c r="C7" s="7" t="s">
        <v>24</v>
      </c>
    </row>
    <row r="9" customFormat="false" ht="15" hidden="false" customHeight="false" outlineLevel="0" collapsed="false">
      <c r="A9" s="9" t="s">
        <v>25</v>
      </c>
      <c r="B9" s="1"/>
      <c r="C9" s="1"/>
    </row>
    <row r="10" customFormat="false" ht="15" hidden="false" customHeight="false" outlineLevel="0" collapsed="false">
      <c r="A10" s="10" t="s">
        <v>26</v>
      </c>
      <c r="B10" s="11" t="n">
        <v>10</v>
      </c>
      <c r="C10" s="7" t="s">
        <v>27</v>
      </c>
    </row>
    <row r="11" customFormat="false" ht="15" hidden="false" customHeight="false" outlineLevel="0" collapsed="false">
      <c r="A11" s="12" t="s">
        <v>28</v>
      </c>
      <c r="B11" s="11" t="n">
        <v>15</v>
      </c>
      <c r="C11" s="7" t="s">
        <v>29</v>
      </c>
    </row>
    <row r="12" customFormat="false" ht="15" hidden="false" customHeight="false" outlineLevel="0" collapsed="false">
      <c r="A12" s="10" t="s">
        <v>30</v>
      </c>
      <c r="B12" s="13" t="n">
        <v>0.08</v>
      </c>
      <c r="C12" s="7" t="s">
        <v>31</v>
      </c>
    </row>
    <row r="13" customFormat="false" ht="15" hidden="false" customHeight="false" outlineLevel="0" collapsed="false">
      <c r="A13" s="12" t="s">
        <v>32</v>
      </c>
      <c r="B13" s="13" t="n">
        <v>0.05</v>
      </c>
      <c r="C13" s="7" t="s">
        <v>33</v>
      </c>
    </row>
    <row r="14" customFormat="false" ht="15" hidden="false" customHeight="false" outlineLevel="0" collapsed="false">
      <c r="A14" s="10" t="s">
        <v>34</v>
      </c>
      <c r="B14" s="14" t="n">
        <v>99</v>
      </c>
      <c r="C14" s="7" t="s">
        <v>35</v>
      </c>
    </row>
    <row r="15" customFormat="false" ht="15" hidden="false" customHeight="false" outlineLevel="0" collapsed="false">
      <c r="A15" s="12" t="s">
        <v>36</v>
      </c>
      <c r="B15" s="13" t="n">
        <v>0</v>
      </c>
      <c r="C15" s="7" t="s">
        <v>37</v>
      </c>
    </row>
    <row r="17" customFormat="false" ht="15" hidden="false" customHeight="false" outlineLevel="0" collapsed="false">
      <c r="A17" s="9" t="s">
        <v>38</v>
      </c>
      <c r="B17" s="1"/>
      <c r="C17" s="1"/>
    </row>
    <row r="18" customFormat="false" ht="15" hidden="false" customHeight="false" outlineLevel="0" collapsed="false">
      <c r="A18" s="10" t="s">
        <v>39</v>
      </c>
      <c r="B18" s="14" t="n">
        <v>5</v>
      </c>
      <c r="C18" s="7" t="s">
        <v>40</v>
      </c>
    </row>
    <row r="19" customFormat="false" ht="15" hidden="false" customHeight="false" outlineLevel="0" collapsed="false">
      <c r="A19" s="12" t="s">
        <v>41</v>
      </c>
      <c r="B19" s="13" t="n">
        <v>0.029</v>
      </c>
      <c r="C19" s="7" t="s">
        <v>42</v>
      </c>
    </row>
    <row r="20" customFormat="false" ht="15" hidden="false" customHeight="false" outlineLevel="0" collapsed="false">
      <c r="A20" s="10" t="s">
        <v>43</v>
      </c>
      <c r="B20" s="14" t="n">
        <v>3</v>
      </c>
      <c r="C20" s="7" t="s">
        <v>44</v>
      </c>
    </row>
    <row r="22" customFormat="false" ht="15" hidden="false" customHeight="false" outlineLevel="0" collapsed="false">
      <c r="A22" s="9" t="s">
        <v>45</v>
      </c>
      <c r="B22" s="1"/>
      <c r="C22" s="1"/>
    </row>
    <row r="23" customFormat="false" ht="15" hidden="false" customHeight="false" outlineLevel="0" collapsed="false">
      <c r="A23" s="15" t="s">
        <v>46</v>
      </c>
      <c r="B23" s="15" t="s">
        <v>47</v>
      </c>
      <c r="C23" s="15" t="s">
        <v>48</v>
      </c>
      <c r="D23" s="15" t="s">
        <v>49</v>
      </c>
    </row>
    <row r="24" customFormat="false" ht="15" hidden="false" customHeight="false" outlineLevel="0" collapsed="false">
      <c r="A24" s="10" t="s">
        <v>50</v>
      </c>
      <c r="B24" s="11" t="s">
        <v>51</v>
      </c>
      <c r="C24" s="11" t="n">
        <v>1</v>
      </c>
      <c r="D24" s="14" t="n">
        <v>60000</v>
      </c>
    </row>
    <row r="25" customFormat="false" ht="15" hidden="false" customHeight="false" outlineLevel="0" collapsed="false">
      <c r="A25" s="12" t="s">
        <v>52</v>
      </c>
      <c r="B25" s="11" t="s">
        <v>53</v>
      </c>
      <c r="C25" s="11" t="n">
        <v>1</v>
      </c>
      <c r="D25" s="14" t="n">
        <v>60000</v>
      </c>
    </row>
    <row r="26" customFormat="false" ht="15" hidden="false" customHeight="false" outlineLevel="0" collapsed="false">
      <c r="A26" s="10" t="s">
        <v>54</v>
      </c>
      <c r="B26" s="11" t="s">
        <v>55</v>
      </c>
      <c r="C26" s="11" t="n">
        <v>3</v>
      </c>
      <c r="D26" s="14" t="n">
        <v>95000</v>
      </c>
    </row>
    <row r="27" customFormat="false" ht="15" hidden="false" customHeight="false" outlineLevel="0" collapsed="false">
      <c r="A27" s="12" t="s">
        <v>56</v>
      </c>
      <c r="B27" s="11" t="s">
        <v>57</v>
      </c>
      <c r="C27" s="11" t="n">
        <v>6</v>
      </c>
      <c r="D27" s="14" t="n">
        <v>95000</v>
      </c>
    </row>
    <row r="28" customFormat="false" ht="15" hidden="false" customHeight="false" outlineLevel="0" collapsed="false">
      <c r="A28" s="10" t="s">
        <v>58</v>
      </c>
      <c r="B28" s="11" t="s">
        <v>59</v>
      </c>
      <c r="C28" s="11" t="n">
        <v>4</v>
      </c>
      <c r="D28" s="14" t="n">
        <v>75000</v>
      </c>
    </row>
    <row r="29" customFormat="false" ht="15" hidden="false" customHeight="false" outlineLevel="0" collapsed="false">
      <c r="A29" s="12" t="s">
        <v>60</v>
      </c>
      <c r="B29" s="11" t="s">
        <v>61</v>
      </c>
      <c r="C29" s="11" t="n">
        <v>6</v>
      </c>
      <c r="D29" s="14" t="n">
        <v>70000</v>
      </c>
    </row>
    <row r="30" customFormat="false" ht="15" hidden="false" customHeight="false" outlineLevel="0" collapsed="false">
      <c r="A30" s="10" t="s">
        <v>62</v>
      </c>
      <c r="B30" s="11"/>
      <c r="C30" s="11"/>
      <c r="D30" s="14"/>
    </row>
    <row r="31" customFormat="false" ht="15" hidden="false" customHeight="false" outlineLevel="0" collapsed="false">
      <c r="A31" s="12" t="s">
        <v>62</v>
      </c>
      <c r="B31" s="11"/>
      <c r="C31" s="11"/>
      <c r="D31" s="14"/>
    </row>
    <row r="33" customFormat="false" ht="15" hidden="false" customHeight="false" outlineLevel="0" collapsed="false">
      <c r="A33" s="10" t="s">
        <v>63</v>
      </c>
      <c r="B33" s="11" t="n">
        <v>1.25</v>
      </c>
      <c r="C33" s="7" t="s">
        <v>64</v>
      </c>
    </row>
    <row r="35" customFormat="false" ht="15" hidden="false" customHeight="false" outlineLevel="0" collapsed="false">
      <c r="A35" s="9" t="s">
        <v>65</v>
      </c>
      <c r="B35" s="1"/>
      <c r="C35" s="1"/>
    </row>
    <row r="36" customFormat="false" ht="15" hidden="false" customHeight="false" outlineLevel="0" collapsed="false">
      <c r="A36" s="10" t="s">
        <v>66</v>
      </c>
      <c r="B36" s="14" t="n">
        <v>2000</v>
      </c>
      <c r="C36" s="7" t="s">
        <v>67</v>
      </c>
    </row>
    <row r="37" customFormat="false" ht="15" hidden="false" customHeight="false" outlineLevel="0" collapsed="false">
      <c r="A37" s="12" t="s">
        <v>68</v>
      </c>
      <c r="B37" s="13" t="n">
        <v>0.05</v>
      </c>
      <c r="C37" s="7" t="s">
        <v>69</v>
      </c>
    </row>
    <row r="38" customFormat="false" ht="15" hidden="false" customHeight="false" outlineLevel="0" collapsed="false">
      <c r="A38" s="10" t="s">
        <v>70</v>
      </c>
      <c r="B38" s="14" t="n">
        <v>800</v>
      </c>
      <c r="C38" s="7" t="s">
        <v>71</v>
      </c>
    </row>
    <row r="39" customFormat="false" ht="15" hidden="false" customHeight="false" outlineLevel="0" collapsed="false">
      <c r="A39" s="12" t="s">
        <v>72</v>
      </c>
      <c r="B39" s="14" t="n">
        <v>0</v>
      </c>
      <c r="C39" s="7" t="s">
        <v>73</v>
      </c>
    </row>
    <row r="40" customFormat="false" ht="15" hidden="false" customHeight="false" outlineLevel="0" collapsed="false">
      <c r="A40" s="10" t="s">
        <v>74</v>
      </c>
      <c r="B40" s="14" t="n">
        <v>500</v>
      </c>
      <c r="C40" s="7" t="s">
        <v>75</v>
      </c>
    </row>
    <row r="41" customFormat="false" ht="15" hidden="false" customHeight="false" outlineLevel="0" collapsed="false">
      <c r="A41" s="12" t="s">
        <v>76</v>
      </c>
      <c r="B41" s="14" t="n">
        <v>300</v>
      </c>
      <c r="C41" s="7" t="s">
        <v>77</v>
      </c>
    </row>
    <row r="43" customFormat="false" ht="15" hidden="false" customHeight="false" outlineLevel="0" collapsed="false">
      <c r="A43" s="9" t="s">
        <v>78</v>
      </c>
      <c r="B43" s="1"/>
      <c r="C43" s="1"/>
    </row>
    <row r="44" customFormat="false" ht="15" hidden="false" customHeight="false" outlineLevel="0" collapsed="false">
      <c r="A44" s="10" t="s">
        <v>79</v>
      </c>
      <c r="B44" s="14" t="n">
        <v>50000</v>
      </c>
      <c r="C44" s="7" t="s">
        <v>80</v>
      </c>
    </row>
    <row r="45" customFormat="false" ht="15" hidden="false" customHeight="false" outlineLevel="0" collapsed="false">
      <c r="A45" s="12" t="s">
        <v>81</v>
      </c>
      <c r="B45" s="14" t="n">
        <v>250000</v>
      </c>
      <c r="C45" s="7" t="s">
        <v>82</v>
      </c>
    </row>
    <row r="46" customFormat="false" ht="15" hidden="false" customHeight="false" outlineLevel="0" collapsed="false">
      <c r="A46" s="10" t="s">
        <v>83</v>
      </c>
      <c r="B46" s="11" t="n">
        <v>3</v>
      </c>
      <c r="C46" s="7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X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4" min="2" style="0" width="13"/>
  </cols>
  <sheetData>
    <row r="1" customFormat="false" ht="17.35" hidden="false" customHeight="false" outlineLevel="0" collapsed="false">
      <c r="A1" s="16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5" hidden="false" customHeight="false" outlineLevel="0" collapsed="false">
      <c r="A2" s="7" t="s">
        <v>86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4" customFormat="false" ht="15" hidden="false" customHeight="false" outlineLevel="0" collapsed="false">
      <c r="B4" s="17" t="s">
        <v>87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7" t="s">
        <v>88</v>
      </c>
      <c r="O4" s="1"/>
      <c r="P4" s="1"/>
      <c r="Q4" s="1"/>
      <c r="R4" s="1"/>
      <c r="S4" s="1"/>
      <c r="T4" s="18"/>
    </row>
    <row r="5" customFormat="false" ht="15" hidden="false" customHeight="false" outlineLevel="0" collapsed="false">
      <c r="B5" s="17" t="s">
        <v>89</v>
      </c>
      <c r="C5" s="17" t="s">
        <v>90</v>
      </c>
      <c r="D5" s="17" t="s">
        <v>91</v>
      </c>
      <c r="E5" s="17" t="s">
        <v>92</v>
      </c>
      <c r="F5" s="17" t="s">
        <v>93</v>
      </c>
      <c r="G5" s="17" t="s">
        <v>94</v>
      </c>
      <c r="H5" s="17" t="s">
        <v>95</v>
      </c>
      <c r="I5" s="17" t="s">
        <v>96</v>
      </c>
      <c r="J5" s="17" t="s">
        <v>97</v>
      </c>
      <c r="K5" s="17" t="s">
        <v>98</v>
      </c>
      <c r="L5" s="17" t="s">
        <v>99</v>
      </c>
      <c r="M5" s="17" t="s">
        <v>100</v>
      </c>
      <c r="N5" s="17" t="s">
        <v>89</v>
      </c>
      <c r="O5" s="17" t="s">
        <v>90</v>
      </c>
      <c r="P5" s="17" t="s">
        <v>91</v>
      </c>
      <c r="Q5" s="17" t="s">
        <v>92</v>
      </c>
      <c r="R5" s="17" t="s">
        <v>93</v>
      </c>
      <c r="S5" s="17" t="s">
        <v>94</v>
      </c>
      <c r="T5" s="19" t="s">
        <v>101</v>
      </c>
    </row>
    <row r="6" customFormat="false" ht="15" hidden="false" customHeight="false" outlineLevel="0" collapsed="false">
      <c r="A6" s="9" t="s">
        <v>102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customFormat="false" ht="15" hidden="false" customHeight="false" outlineLevel="0" collapsed="false">
      <c r="A7" s="10" t="s">
        <v>103</v>
      </c>
      <c r="B7" s="20" t="n">
        <f aca="false">IFERROR(ASSUMPTIONS!$B$11,0)</f>
        <v>15</v>
      </c>
      <c r="C7" s="20" t="n">
        <f aca="false">IFERROR(ROUND(B7*(1+ASSUMPTIONS!$B$12),0),0)</f>
        <v>16</v>
      </c>
      <c r="D7" s="20" t="n">
        <f aca="false">IFERROR(ROUND(C7*(1+ASSUMPTIONS!$B$12),0),0)</f>
        <v>17</v>
      </c>
      <c r="E7" s="20" t="n">
        <f aca="false">IFERROR(ROUND(D7*(1+ASSUMPTIONS!$B$12),0),0)</f>
        <v>18</v>
      </c>
      <c r="F7" s="20" t="n">
        <f aca="false">IFERROR(ROUND(E7*(1+ASSUMPTIONS!$B$12),0),0)</f>
        <v>19</v>
      </c>
      <c r="G7" s="20" t="n">
        <f aca="false">IFERROR(ROUND(F7*(1+ASSUMPTIONS!$B$12),0),0)</f>
        <v>21</v>
      </c>
      <c r="H7" s="20" t="n">
        <f aca="false">IFERROR(ROUND(G7*(1+ASSUMPTIONS!$B$12),0),0)</f>
        <v>23</v>
      </c>
      <c r="I7" s="20" t="n">
        <f aca="false">IFERROR(ROUND(H7*(1+ASSUMPTIONS!$B$12),0),0)</f>
        <v>25</v>
      </c>
      <c r="J7" s="20" t="n">
        <f aca="false">IFERROR(ROUND(I7*(1+ASSUMPTIONS!$B$12),0),0)</f>
        <v>27</v>
      </c>
      <c r="K7" s="20" t="n">
        <f aca="false">IFERROR(ROUND(J7*(1+ASSUMPTIONS!$B$12),0),0)</f>
        <v>29</v>
      </c>
      <c r="L7" s="20" t="n">
        <f aca="false">IFERROR(ROUND(K7*(1+ASSUMPTIONS!$B$12),0),0)</f>
        <v>31</v>
      </c>
      <c r="M7" s="20" t="n">
        <f aca="false">IFERROR(ROUND(L7*(1+ASSUMPTIONS!$B$12),0),0)</f>
        <v>33</v>
      </c>
      <c r="N7" s="20" t="n">
        <f aca="false">IFERROR(ROUND(M7*(1+ASSUMPTIONS!$B$12),0),0)</f>
        <v>36</v>
      </c>
      <c r="O7" s="20" t="n">
        <f aca="false">IFERROR(ROUND(N7*(1+ASSUMPTIONS!$B$12),0),0)</f>
        <v>39</v>
      </c>
      <c r="P7" s="20" t="n">
        <f aca="false">IFERROR(ROUND(O7*(1+ASSUMPTIONS!$B$12),0),0)</f>
        <v>42</v>
      </c>
      <c r="Q7" s="20" t="n">
        <f aca="false">IFERROR(ROUND(P7*(1+ASSUMPTIONS!$B$12),0),0)</f>
        <v>45</v>
      </c>
      <c r="R7" s="20" t="n">
        <f aca="false">IFERROR(ROUND(Q7*(1+ASSUMPTIONS!$B$12),0),0)</f>
        <v>49</v>
      </c>
      <c r="S7" s="20" t="n">
        <f aca="false">IFERROR(ROUND(R7*(1+ASSUMPTIONS!$B$12),0),0)</f>
        <v>53</v>
      </c>
    </row>
    <row r="8" customFormat="false" ht="15" hidden="false" customHeight="false" outlineLevel="0" collapsed="false">
      <c r="A8" s="12" t="s">
        <v>104</v>
      </c>
      <c r="B8" s="21" t="n">
        <f aca="false">IFERROR(ROUND(ASSUMPTIONS!$B$10*ASSUMPTIONS!$B$13,0),0)</f>
        <v>1</v>
      </c>
      <c r="C8" s="21" t="n">
        <f aca="false">IFERROR(ROUND(B9*ASSUMPTIONS!$B$13,0),0)</f>
        <v>1</v>
      </c>
      <c r="D8" s="21" t="n">
        <f aca="false">IFERROR(ROUND(C9*ASSUMPTIONS!$B$13,0),0)</f>
        <v>2</v>
      </c>
      <c r="E8" s="21" t="n">
        <f aca="false">IFERROR(ROUND(D9*ASSUMPTIONS!$B$13,0),0)</f>
        <v>3</v>
      </c>
      <c r="F8" s="21" t="n">
        <f aca="false">IFERROR(ROUND(E9*ASSUMPTIONS!$B$13,0),0)</f>
        <v>3</v>
      </c>
      <c r="G8" s="21" t="n">
        <f aca="false">IFERROR(ROUND(F9*ASSUMPTIONS!$B$13,0),0)</f>
        <v>4</v>
      </c>
      <c r="H8" s="21" t="n">
        <f aca="false">IFERROR(ROUND(G9*ASSUMPTIONS!$B$13,0),0)</f>
        <v>5</v>
      </c>
      <c r="I8" s="21" t="n">
        <f aca="false">IFERROR(ROUND(H9*ASSUMPTIONS!$B$13,0),0)</f>
        <v>6</v>
      </c>
      <c r="J8" s="21" t="n">
        <f aca="false">IFERROR(ROUND(I9*ASSUMPTIONS!$B$13,0),0)</f>
        <v>7</v>
      </c>
      <c r="K8" s="21" t="n">
        <f aca="false">IFERROR(ROUND(J9*ASSUMPTIONS!$B$13,0),0)</f>
        <v>8</v>
      </c>
      <c r="L8" s="21" t="n">
        <f aca="false">IFERROR(ROUND(K9*ASSUMPTIONS!$B$13,0),0)</f>
        <v>9</v>
      </c>
      <c r="M8" s="21" t="n">
        <f aca="false">IFERROR(ROUND(L9*ASSUMPTIONS!$B$13,0),0)</f>
        <v>10</v>
      </c>
      <c r="N8" s="21" t="n">
        <f aca="false">IFERROR(ROUND(M9*ASSUMPTIONS!$B$13,0),0)</f>
        <v>11</v>
      </c>
      <c r="O8" s="21" t="n">
        <f aca="false">IFERROR(ROUND(N9*ASSUMPTIONS!$B$13,0),0)</f>
        <v>13</v>
      </c>
      <c r="P8" s="21" t="n">
        <f aca="false">IFERROR(ROUND(O9*ASSUMPTIONS!$B$13,0),0)</f>
        <v>14</v>
      </c>
      <c r="Q8" s="21" t="n">
        <f aca="false">IFERROR(ROUND(P9*ASSUMPTIONS!$B$13,0),0)</f>
        <v>15</v>
      </c>
      <c r="R8" s="21" t="n">
        <f aca="false">IFERROR(ROUND(Q9*ASSUMPTIONS!$B$13,0),0)</f>
        <v>17</v>
      </c>
      <c r="S8" s="21" t="n">
        <f aca="false">IFERROR(ROUND(R9*ASSUMPTIONS!$B$13,0),0)</f>
        <v>18</v>
      </c>
    </row>
    <row r="9" customFormat="false" ht="15" hidden="false" customHeight="false" outlineLevel="0" collapsed="false">
      <c r="A9" s="10" t="s">
        <v>105</v>
      </c>
      <c r="B9" s="20" t="n">
        <f aca="false">IFERROR(ASSUMPTIONS!$B$10+B7-B8,0)</f>
        <v>24</v>
      </c>
      <c r="C9" s="20" t="n">
        <f aca="false">IFERROR(B9+C7-C8,0)</f>
        <v>39</v>
      </c>
      <c r="D9" s="20" t="n">
        <f aca="false">IFERROR(C9+D7-D8,0)</f>
        <v>54</v>
      </c>
      <c r="E9" s="20" t="n">
        <f aca="false">IFERROR(D9+E7-E8,0)</f>
        <v>69</v>
      </c>
      <c r="F9" s="20" t="n">
        <f aca="false">IFERROR(E9+F7-F8,0)</f>
        <v>85</v>
      </c>
      <c r="G9" s="20" t="n">
        <f aca="false">IFERROR(F9+G7-G8,0)</f>
        <v>102</v>
      </c>
      <c r="H9" s="20" t="n">
        <f aca="false">IFERROR(G9+H7-H8,0)</f>
        <v>120</v>
      </c>
      <c r="I9" s="20" t="n">
        <f aca="false">IFERROR(H9+I7-I8,0)</f>
        <v>139</v>
      </c>
      <c r="J9" s="20" t="n">
        <f aca="false">IFERROR(I9+J7-J8,0)</f>
        <v>159</v>
      </c>
      <c r="K9" s="20" t="n">
        <f aca="false">IFERROR(J9+K7-K8,0)</f>
        <v>180</v>
      </c>
      <c r="L9" s="20" t="n">
        <f aca="false">IFERROR(K9+L7-L8,0)</f>
        <v>202</v>
      </c>
      <c r="M9" s="20" t="n">
        <f aca="false">IFERROR(L9+M7-M8,0)</f>
        <v>225</v>
      </c>
      <c r="N9" s="20" t="n">
        <f aca="false">IFERROR(M9+N7-N8,0)</f>
        <v>250</v>
      </c>
      <c r="O9" s="20" t="n">
        <f aca="false">IFERROR(N9+O7-O8,0)</f>
        <v>276</v>
      </c>
      <c r="P9" s="20" t="n">
        <f aca="false">IFERROR(O9+P7-P8,0)</f>
        <v>304</v>
      </c>
      <c r="Q9" s="20" t="n">
        <f aca="false">IFERROR(P9+Q7-Q8,0)</f>
        <v>334</v>
      </c>
      <c r="R9" s="20" t="n">
        <f aca="false">IFERROR(Q9+R7-R8,0)</f>
        <v>366</v>
      </c>
      <c r="S9" s="20" t="n">
        <f aca="false">IFERROR(R9+S7-S8,0)</f>
        <v>401</v>
      </c>
    </row>
    <row r="11" customFormat="false" ht="15" hidden="false" customHeight="false" outlineLevel="0" collapsed="false">
      <c r="A11" s="15" t="s">
        <v>106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</row>
    <row r="12" customFormat="false" ht="15" hidden="false" customHeight="false" outlineLevel="0" collapsed="false">
      <c r="A12" s="10" t="s">
        <v>107</v>
      </c>
      <c r="B12" s="22" t="n">
        <f aca="false">IFERROR(ASSUMPTIONS!$B$14,0)</f>
        <v>99</v>
      </c>
      <c r="C12" s="22" t="n">
        <f aca="false">IFERROR(ASSUMPTIONS!$B$14,0)</f>
        <v>99</v>
      </c>
      <c r="D12" s="22" t="n">
        <f aca="false">IFERROR(ASSUMPTIONS!$B$14,0)</f>
        <v>99</v>
      </c>
      <c r="E12" s="22" t="n">
        <f aca="false">IFERROR(ASSUMPTIONS!$B$14,0)</f>
        <v>99</v>
      </c>
      <c r="F12" s="22" t="n">
        <f aca="false">IFERROR(ASSUMPTIONS!$B$14,0)</f>
        <v>99</v>
      </c>
      <c r="G12" s="22" t="n">
        <f aca="false">IFERROR(ASSUMPTIONS!$B$14,0)</f>
        <v>99</v>
      </c>
      <c r="H12" s="22" t="n">
        <f aca="false">IFERROR(ASSUMPTIONS!$B$14,0)</f>
        <v>99</v>
      </c>
      <c r="I12" s="22" t="n">
        <f aca="false">IFERROR(ASSUMPTIONS!$B$14,0)</f>
        <v>99</v>
      </c>
      <c r="J12" s="22" t="n">
        <f aca="false">IFERROR(ASSUMPTIONS!$B$14,0)</f>
        <v>99</v>
      </c>
      <c r="K12" s="22" t="n">
        <f aca="false">IFERROR(ASSUMPTIONS!$B$14,0)</f>
        <v>99</v>
      </c>
      <c r="L12" s="22" t="n">
        <f aca="false">IFERROR(ASSUMPTIONS!$B$14,0)</f>
        <v>99</v>
      </c>
      <c r="M12" s="22" t="n">
        <f aca="false">IFERROR(ASSUMPTIONS!$B$14,0)</f>
        <v>99</v>
      </c>
      <c r="N12" s="22" t="n">
        <f aca="false">IFERROR(ASSUMPTIONS!$B$14,0)</f>
        <v>99</v>
      </c>
      <c r="O12" s="22" t="n">
        <f aca="false">IFERROR(ASSUMPTIONS!$B$14,0)</f>
        <v>99</v>
      </c>
      <c r="P12" s="22" t="n">
        <f aca="false">IFERROR(ASSUMPTIONS!$B$14,0)</f>
        <v>99</v>
      </c>
      <c r="Q12" s="22" t="n">
        <f aca="false">IFERROR(ASSUMPTIONS!$B$14,0)</f>
        <v>99</v>
      </c>
      <c r="R12" s="22" t="n">
        <f aca="false">IFERROR(ASSUMPTIONS!$B$14,0)</f>
        <v>99</v>
      </c>
      <c r="S12" s="22" t="n">
        <f aca="false">IFERROR(ASSUMPTIONS!$B$14,0)</f>
        <v>99</v>
      </c>
    </row>
    <row r="13" customFormat="false" ht="15" hidden="false" customHeight="false" outlineLevel="0" collapsed="false">
      <c r="A13" s="23" t="s">
        <v>108</v>
      </c>
      <c r="B13" s="24" t="n">
        <f aca="false">IFERROR(B9*B12,0)</f>
        <v>2376</v>
      </c>
      <c r="C13" s="24" t="n">
        <f aca="false">IFERROR(C9*C12,0)</f>
        <v>3861</v>
      </c>
      <c r="D13" s="24" t="n">
        <f aca="false">IFERROR(D9*D12,0)</f>
        <v>5346</v>
      </c>
      <c r="E13" s="24" t="n">
        <f aca="false">IFERROR(E9*E12,0)</f>
        <v>6831</v>
      </c>
      <c r="F13" s="24" t="n">
        <f aca="false">IFERROR(F9*F12,0)</f>
        <v>8415</v>
      </c>
      <c r="G13" s="24" t="n">
        <f aca="false">IFERROR(G9*G12,0)</f>
        <v>10098</v>
      </c>
      <c r="H13" s="24" t="n">
        <f aca="false">IFERROR(H9*H12,0)</f>
        <v>11880</v>
      </c>
      <c r="I13" s="24" t="n">
        <f aca="false">IFERROR(I9*I12,0)</f>
        <v>13761</v>
      </c>
      <c r="J13" s="24" t="n">
        <f aca="false">IFERROR(J9*J12,0)</f>
        <v>15741</v>
      </c>
      <c r="K13" s="24" t="n">
        <f aca="false">IFERROR(K9*K12,0)</f>
        <v>17820</v>
      </c>
      <c r="L13" s="24" t="n">
        <f aca="false">IFERROR(L9*L12,0)</f>
        <v>19998</v>
      </c>
      <c r="M13" s="24" t="n">
        <f aca="false">IFERROR(M9*M12,0)</f>
        <v>22275</v>
      </c>
      <c r="N13" s="24" t="n">
        <f aca="false">SUM(B13:M13)</f>
        <v>138402</v>
      </c>
      <c r="O13" s="24" t="n">
        <f aca="false">IFERROR(O9*O12,0)</f>
        <v>27324</v>
      </c>
      <c r="P13" s="24" t="n">
        <f aca="false">IFERROR(P9*P12,0)</f>
        <v>30096</v>
      </c>
      <c r="Q13" s="24" t="n">
        <f aca="false">IFERROR(Q9*Q12,0)</f>
        <v>33066</v>
      </c>
      <c r="R13" s="24" t="n">
        <f aca="false">IFERROR(R9*R12,0)</f>
        <v>36234</v>
      </c>
      <c r="S13" s="24" t="n">
        <f aca="false">IFERROR(S9*S12,0)</f>
        <v>39699</v>
      </c>
      <c r="T13" s="25"/>
      <c r="U13" s="25"/>
      <c r="V13" s="25"/>
      <c r="W13" s="25"/>
    </row>
    <row r="14" customFormat="false" ht="15" hidden="false" customHeight="false" outlineLevel="0" collapsed="false">
      <c r="A14" s="12" t="s">
        <v>109</v>
      </c>
      <c r="B14" s="26"/>
      <c r="C14" s="26" t="n">
        <f aca="false">IFERROR((C13-B13)/B13,0)</f>
        <v>0.625</v>
      </c>
      <c r="D14" s="26" t="n">
        <f aca="false">IFERROR((D13-C13)/C13,0)</f>
        <v>0.384615384615385</v>
      </c>
      <c r="E14" s="26" t="n">
        <f aca="false">IFERROR((E13-D13)/D13,0)</f>
        <v>0.277777777777778</v>
      </c>
      <c r="F14" s="26" t="n">
        <f aca="false">IFERROR((F13-E13)/E13,0)</f>
        <v>0.231884057971015</v>
      </c>
      <c r="G14" s="26" t="n">
        <f aca="false">IFERROR((G13-F13)/F13,0)</f>
        <v>0.2</v>
      </c>
      <c r="H14" s="26" t="n">
        <f aca="false">IFERROR((H13-G13)/G13,0)</f>
        <v>0.176470588235294</v>
      </c>
      <c r="I14" s="26" t="n">
        <f aca="false">IFERROR((I13-H13)/H13,0)</f>
        <v>0.158333333333333</v>
      </c>
      <c r="J14" s="26" t="n">
        <f aca="false">IFERROR((J13-I13)/I13,0)</f>
        <v>0.143884892086331</v>
      </c>
      <c r="K14" s="26" t="n">
        <f aca="false">IFERROR((K13-J13)/J13,0)</f>
        <v>0.132075471698113</v>
      </c>
      <c r="L14" s="26" t="n">
        <f aca="false">IFERROR((L13-K13)/K13,0)</f>
        <v>0.122222222222222</v>
      </c>
      <c r="M14" s="26" t="n">
        <f aca="false">IFERROR((M13-L13)/L13,0)</f>
        <v>0.113861386138614</v>
      </c>
      <c r="N14" s="26" t="n">
        <f aca="false">IFERROR((N13-M13)/M13,0)</f>
        <v>5.21333333333333</v>
      </c>
      <c r="O14" s="26" t="n">
        <f aca="false">IFERROR((O13-N13)/N13,0)</f>
        <v>-0.802575107296137</v>
      </c>
      <c r="P14" s="26" t="n">
        <f aca="false">IFERROR((P13-O13)/O13,0)</f>
        <v>0.101449275362319</v>
      </c>
      <c r="Q14" s="26" t="n">
        <f aca="false">IFERROR((Q13-P13)/P13,0)</f>
        <v>0.0986842105263158</v>
      </c>
      <c r="R14" s="26" t="n">
        <f aca="false">IFERROR((R13-Q13)/Q13,0)</f>
        <v>0.0958083832335329</v>
      </c>
      <c r="S14" s="26" t="n">
        <f aca="false">IFERROR((S13-R13)/R13,0)</f>
        <v>0.0956284153005464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X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4" min="2" style="0" width="13"/>
  </cols>
  <sheetData>
    <row r="1" customFormat="false" ht="17.35" hidden="false" customHeight="false" outlineLevel="0" collapsed="false">
      <c r="A1" s="16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5" hidden="false" customHeight="false" outlineLevel="0" collapsed="false">
      <c r="A2" s="7" t="s">
        <v>111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4" customFormat="false" ht="15" hidden="false" customHeight="false" outlineLevel="0" collapsed="false">
      <c r="B4" s="17" t="s">
        <v>87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7" t="s">
        <v>88</v>
      </c>
      <c r="O4" s="1"/>
      <c r="P4" s="1"/>
      <c r="Q4" s="1"/>
      <c r="R4" s="1"/>
      <c r="S4" s="1"/>
      <c r="T4" s="18"/>
    </row>
    <row r="5" customFormat="false" ht="15" hidden="false" customHeight="false" outlineLevel="0" collapsed="false">
      <c r="B5" s="17" t="s">
        <v>89</v>
      </c>
      <c r="C5" s="17" t="s">
        <v>90</v>
      </c>
      <c r="D5" s="17" t="s">
        <v>91</v>
      </c>
      <c r="E5" s="17" t="s">
        <v>92</v>
      </c>
      <c r="F5" s="17" t="s">
        <v>93</v>
      </c>
      <c r="G5" s="17" t="s">
        <v>94</v>
      </c>
      <c r="H5" s="17" t="s">
        <v>95</v>
      </c>
      <c r="I5" s="17" t="s">
        <v>96</v>
      </c>
      <c r="J5" s="17" t="s">
        <v>97</v>
      </c>
      <c r="K5" s="17" t="s">
        <v>98</v>
      </c>
      <c r="L5" s="17" t="s">
        <v>99</v>
      </c>
      <c r="M5" s="17" t="s">
        <v>100</v>
      </c>
      <c r="N5" s="17" t="s">
        <v>89</v>
      </c>
      <c r="O5" s="17" t="s">
        <v>90</v>
      </c>
      <c r="P5" s="17" t="s">
        <v>91</v>
      </c>
      <c r="Q5" s="17" t="s">
        <v>92</v>
      </c>
      <c r="R5" s="17" t="s">
        <v>93</v>
      </c>
      <c r="S5" s="17" t="s">
        <v>94</v>
      </c>
      <c r="T5" s="19" t="s">
        <v>101</v>
      </c>
    </row>
    <row r="7" customFormat="false" ht="15" hidden="false" customHeight="false" outlineLevel="0" collapsed="false">
      <c r="A7" s="27" t="str">
        <f aca="false">IFERROR(ASSUMPTIONS!B24,"(empty)")</f>
        <v>CEO / Co-Founder</v>
      </c>
      <c r="B7" s="22" t="n">
        <f aca="false">IFERROR(IF(AND(1&gt;=ASSUMPTIONS!$C$24,ASSUMPTIONS!$C$24&gt;0),ASSUMPTIONS!$D$24/12*(ASSUMPTIONS!$B$33),0),0)</f>
        <v>6250</v>
      </c>
      <c r="C7" s="22" t="n">
        <f aca="false">IFERROR(IF(AND(2&gt;=ASSUMPTIONS!$C$24,ASSUMPTIONS!$C$24&gt;0),ASSUMPTIONS!$D$24/12*(ASSUMPTIONS!$B$33),0),0)</f>
        <v>6250</v>
      </c>
      <c r="D7" s="22" t="n">
        <f aca="false">IFERROR(IF(AND(3&gt;=ASSUMPTIONS!$C$24,ASSUMPTIONS!$C$24&gt;0),ASSUMPTIONS!$D$24/12*(ASSUMPTIONS!$B$33),0),0)</f>
        <v>6250</v>
      </c>
      <c r="E7" s="22" t="n">
        <f aca="false">IFERROR(IF(AND(4&gt;=ASSUMPTIONS!$C$24,ASSUMPTIONS!$C$24&gt;0),ASSUMPTIONS!$D$24/12*(ASSUMPTIONS!$B$33),0),0)</f>
        <v>6250</v>
      </c>
      <c r="F7" s="22" t="n">
        <f aca="false">IFERROR(IF(AND(5&gt;=ASSUMPTIONS!$C$24,ASSUMPTIONS!$C$24&gt;0),ASSUMPTIONS!$D$24/12*(ASSUMPTIONS!$B$33),0),0)</f>
        <v>6250</v>
      </c>
      <c r="G7" s="22" t="n">
        <f aca="false">IFERROR(IF(AND(6&gt;=ASSUMPTIONS!$C$24,ASSUMPTIONS!$C$24&gt;0),ASSUMPTIONS!$D$24/12*(ASSUMPTIONS!$B$33),0),0)</f>
        <v>6250</v>
      </c>
      <c r="H7" s="22" t="n">
        <f aca="false">IFERROR(IF(AND(7&gt;=ASSUMPTIONS!$C$24,ASSUMPTIONS!$C$24&gt;0),ASSUMPTIONS!$D$24/12*(ASSUMPTIONS!$B$33),0),0)</f>
        <v>6250</v>
      </c>
      <c r="I7" s="22" t="n">
        <f aca="false">IFERROR(IF(AND(8&gt;=ASSUMPTIONS!$C$24,ASSUMPTIONS!$C$24&gt;0),ASSUMPTIONS!$D$24/12*(ASSUMPTIONS!$B$33),0),0)</f>
        <v>6250</v>
      </c>
      <c r="J7" s="22" t="n">
        <f aca="false">IFERROR(IF(AND(9&gt;=ASSUMPTIONS!$C$24,ASSUMPTIONS!$C$24&gt;0),ASSUMPTIONS!$D$24/12*(ASSUMPTIONS!$B$33),0),0)</f>
        <v>6250</v>
      </c>
      <c r="K7" s="22" t="n">
        <f aca="false">IFERROR(IF(AND(10&gt;=ASSUMPTIONS!$C$24,ASSUMPTIONS!$C$24&gt;0),ASSUMPTIONS!$D$24/12*(ASSUMPTIONS!$B$33),0),0)</f>
        <v>6250</v>
      </c>
      <c r="L7" s="22" t="n">
        <f aca="false">IFERROR(IF(AND(11&gt;=ASSUMPTIONS!$C$24,ASSUMPTIONS!$C$24&gt;0),ASSUMPTIONS!$D$24/12*(ASSUMPTIONS!$B$33),0),0)</f>
        <v>6250</v>
      </c>
      <c r="M7" s="22" t="n">
        <f aca="false">IFERROR(IF(AND(12&gt;=ASSUMPTIONS!$C$24,ASSUMPTIONS!$C$24&gt;0),ASSUMPTIONS!$D$24/12*(ASSUMPTIONS!$B$33),0),0)</f>
        <v>6250</v>
      </c>
      <c r="N7" s="22" t="n">
        <f aca="false">IFERROR(IF(AND(13&gt;=ASSUMPTIONS!$C$24,ASSUMPTIONS!$C$24&gt;0),ASSUMPTIONS!$D$24/12*(ASSUMPTIONS!$B$33),0),0)</f>
        <v>6250</v>
      </c>
      <c r="O7" s="22" t="n">
        <f aca="false">IFERROR(IF(AND(14&gt;=ASSUMPTIONS!$C$24,ASSUMPTIONS!$C$24&gt;0),ASSUMPTIONS!$D$24/12*(ASSUMPTIONS!$B$33),0),0)</f>
        <v>6250</v>
      </c>
      <c r="P7" s="22" t="n">
        <f aca="false">IFERROR(IF(AND(15&gt;=ASSUMPTIONS!$C$24,ASSUMPTIONS!$C$24&gt;0),ASSUMPTIONS!$D$24/12*(ASSUMPTIONS!$B$33),0),0)</f>
        <v>6250</v>
      </c>
      <c r="Q7" s="22" t="n">
        <f aca="false">IFERROR(IF(AND(16&gt;=ASSUMPTIONS!$C$24,ASSUMPTIONS!$C$24&gt;0),ASSUMPTIONS!$D$24/12*(ASSUMPTIONS!$B$33),0),0)</f>
        <v>6250</v>
      </c>
      <c r="R7" s="22" t="n">
        <f aca="false">IFERROR(IF(AND(17&gt;=ASSUMPTIONS!$C$24,ASSUMPTIONS!$C$24&gt;0),ASSUMPTIONS!$D$24/12*(ASSUMPTIONS!$B$33),0),0)</f>
        <v>6250</v>
      </c>
      <c r="S7" s="22" t="n">
        <f aca="false">IFERROR(IF(AND(18&gt;=ASSUMPTIONS!$C$24,ASSUMPTIONS!$C$24&gt;0),ASSUMPTIONS!$D$24/12*(ASSUMPTIONS!$B$33),0),0)</f>
        <v>6250</v>
      </c>
    </row>
    <row r="8" customFormat="false" ht="15" hidden="false" customHeight="false" outlineLevel="0" collapsed="false">
      <c r="A8" s="28" t="str">
        <f aca="false">IFERROR(ASSUMPTIONS!B25,"(empty)")</f>
        <v>CTO / Co-Founder</v>
      </c>
      <c r="B8" s="22" t="n">
        <f aca="false">IFERROR(IF(AND(1&gt;=ASSUMPTIONS!$C$25,ASSUMPTIONS!$C$25&gt;0),ASSUMPTIONS!$D$25/12*(ASSUMPTIONS!$B$33),0),0)</f>
        <v>6250</v>
      </c>
      <c r="C8" s="22" t="n">
        <f aca="false">IFERROR(IF(AND(2&gt;=ASSUMPTIONS!$C$25,ASSUMPTIONS!$C$25&gt;0),ASSUMPTIONS!$D$25/12*(ASSUMPTIONS!$B$33),0),0)</f>
        <v>6250</v>
      </c>
      <c r="D8" s="22" t="n">
        <f aca="false">IFERROR(IF(AND(3&gt;=ASSUMPTIONS!$C$25,ASSUMPTIONS!$C$25&gt;0),ASSUMPTIONS!$D$25/12*(ASSUMPTIONS!$B$33),0),0)</f>
        <v>6250</v>
      </c>
      <c r="E8" s="22" t="n">
        <f aca="false">IFERROR(IF(AND(4&gt;=ASSUMPTIONS!$C$25,ASSUMPTIONS!$C$25&gt;0),ASSUMPTIONS!$D$25/12*(ASSUMPTIONS!$B$33),0),0)</f>
        <v>6250</v>
      </c>
      <c r="F8" s="22" t="n">
        <f aca="false">IFERROR(IF(AND(5&gt;=ASSUMPTIONS!$C$25,ASSUMPTIONS!$C$25&gt;0),ASSUMPTIONS!$D$25/12*(ASSUMPTIONS!$B$33),0),0)</f>
        <v>6250</v>
      </c>
      <c r="G8" s="22" t="n">
        <f aca="false">IFERROR(IF(AND(6&gt;=ASSUMPTIONS!$C$25,ASSUMPTIONS!$C$25&gt;0),ASSUMPTIONS!$D$25/12*(ASSUMPTIONS!$B$33),0),0)</f>
        <v>6250</v>
      </c>
      <c r="H8" s="22" t="n">
        <f aca="false">IFERROR(IF(AND(7&gt;=ASSUMPTIONS!$C$25,ASSUMPTIONS!$C$25&gt;0),ASSUMPTIONS!$D$25/12*(ASSUMPTIONS!$B$33),0),0)</f>
        <v>6250</v>
      </c>
      <c r="I8" s="22" t="n">
        <f aca="false">IFERROR(IF(AND(8&gt;=ASSUMPTIONS!$C$25,ASSUMPTIONS!$C$25&gt;0),ASSUMPTIONS!$D$25/12*(ASSUMPTIONS!$B$33),0),0)</f>
        <v>6250</v>
      </c>
      <c r="J8" s="22" t="n">
        <f aca="false">IFERROR(IF(AND(9&gt;=ASSUMPTIONS!$C$25,ASSUMPTIONS!$C$25&gt;0),ASSUMPTIONS!$D$25/12*(ASSUMPTIONS!$B$33),0),0)</f>
        <v>6250</v>
      </c>
      <c r="K8" s="22" t="n">
        <f aca="false">IFERROR(IF(AND(10&gt;=ASSUMPTIONS!$C$25,ASSUMPTIONS!$C$25&gt;0),ASSUMPTIONS!$D$25/12*(ASSUMPTIONS!$B$33),0),0)</f>
        <v>6250</v>
      </c>
      <c r="L8" s="22" t="n">
        <f aca="false">IFERROR(IF(AND(11&gt;=ASSUMPTIONS!$C$25,ASSUMPTIONS!$C$25&gt;0),ASSUMPTIONS!$D$25/12*(ASSUMPTIONS!$B$33),0),0)</f>
        <v>6250</v>
      </c>
      <c r="M8" s="22" t="n">
        <f aca="false">IFERROR(IF(AND(12&gt;=ASSUMPTIONS!$C$25,ASSUMPTIONS!$C$25&gt;0),ASSUMPTIONS!$D$25/12*(ASSUMPTIONS!$B$33),0),0)</f>
        <v>6250</v>
      </c>
      <c r="N8" s="22" t="n">
        <f aca="false">IFERROR(IF(AND(13&gt;=ASSUMPTIONS!$C$25,ASSUMPTIONS!$C$25&gt;0),ASSUMPTIONS!$D$25/12*(ASSUMPTIONS!$B$33),0),0)</f>
        <v>6250</v>
      </c>
      <c r="O8" s="22" t="n">
        <f aca="false">IFERROR(IF(AND(14&gt;=ASSUMPTIONS!$C$25,ASSUMPTIONS!$C$25&gt;0),ASSUMPTIONS!$D$25/12*(ASSUMPTIONS!$B$33),0),0)</f>
        <v>6250</v>
      </c>
      <c r="P8" s="22" t="n">
        <f aca="false">IFERROR(IF(AND(15&gt;=ASSUMPTIONS!$C$25,ASSUMPTIONS!$C$25&gt;0),ASSUMPTIONS!$D$25/12*(ASSUMPTIONS!$B$33),0),0)</f>
        <v>6250</v>
      </c>
      <c r="Q8" s="22" t="n">
        <f aca="false">IFERROR(IF(AND(16&gt;=ASSUMPTIONS!$C$25,ASSUMPTIONS!$C$25&gt;0),ASSUMPTIONS!$D$25/12*(ASSUMPTIONS!$B$33),0),0)</f>
        <v>6250</v>
      </c>
      <c r="R8" s="22" t="n">
        <f aca="false">IFERROR(IF(AND(17&gt;=ASSUMPTIONS!$C$25,ASSUMPTIONS!$C$25&gt;0),ASSUMPTIONS!$D$25/12*(ASSUMPTIONS!$B$33),0),0)</f>
        <v>6250</v>
      </c>
      <c r="S8" s="22" t="n">
        <f aca="false">IFERROR(IF(AND(18&gt;=ASSUMPTIONS!$C$25,ASSUMPTIONS!$C$25&gt;0),ASSUMPTIONS!$D$25/12*(ASSUMPTIONS!$B$33),0),0)</f>
        <v>6250</v>
      </c>
    </row>
    <row r="9" customFormat="false" ht="15" hidden="false" customHeight="false" outlineLevel="0" collapsed="false">
      <c r="A9" s="27" t="str">
        <f aca="false">IFERROR(ASSUMPTIONS!B26,"(empty)")</f>
        <v>Engineer #1</v>
      </c>
      <c r="B9" s="22" t="n">
        <f aca="false">IFERROR(IF(AND(1&gt;=ASSUMPTIONS!$C$26,ASSUMPTIONS!$C$26&gt;0),ASSUMPTIONS!$D$26/12*(ASSUMPTIONS!$B$33),0),0)</f>
        <v>0</v>
      </c>
      <c r="C9" s="22" t="n">
        <f aca="false">IFERROR(IF(AND(2&gt;=ASSUMPTIONS!$C$26,ASSUMPTIONS!$C$26&gt;0),ASSUMPTIONS!$D$26/12*(ASSUMPTIONS!$B$33),0),0)</f>
        <v>0</v>
      </c>
      <c r="D9" s="22" t="n">
        <f aca="false">IFERROR(IF(AND(3&gt;=ASSUMPTIONS!$C$26,ASSUMPTIONS!$C$26&gt;0),ASSUMPTIONS!$D$26/12*(ASSUMPTIONS!$B$33),0),0)</f>
        <v>9895.83333333333</v>
      </c>
      <c r="E9" s="22" t="n">
        <f aca="false">IFERROR(IF(AND(4&gt;=ASSUMPTIONS!$C$26,ASSUMPTIONS!$C$26&gt;0),ASSUMPTIONS!$D$26/12*(ASSUMPTIONS!$B$33),0),0)</f>
        <v>9895.83333333333</v>
      </c>
      <c r="F9" s="22" t="n">
        <f aca="false">IFERROR(IF(AND(5&gt;=ASSUMPTIONS!$C$26,ASSUMPTIONS!$C$26&gt;0),ASSUMPTIONS!$D$26/12*(ASSUMPTIONS!$B$33),0),0)</f>
        <v>9895.83333333333</v>
      </c>
      <c r="G9" s="22" t="n">
        <f aca="false">IFERROR(IF(AND(6&gt;=ASSUMPTIONS!$C$26,ASSUMPTIONS!$C$26&gt;0),ASSUMPTIONS!$D$26/12*(ASSUMPTIONS!$B$33),0),0)</f>
        <v>9895.83333333333</v>
      </c>
      <c r="H9" s="22" t="n">
        <f aca="false">IFERROR(IF(AND(7&gt;=ASSUMPTIONS!$C$26,ASSUMPTIONS!$C$26&gt;0),ASSUMPTIONS!$D$26/12*(ASSUMPTIONS!$B$33),0),0)</f>
        <v>9895.83333333333</v>
      </c>
      <c r="I9" s="22" t="n">
        <f aca="false">IFERROR(IF(AND(8&gt;=ASSUMPTIONS!$C$26,ASSUMPTIONS!$C$26&gt;0),ASSUMPTIONS!$D$26/12*(ASSUMPTIONS!$B$33),0),0)</f>
        <v>9895.83333333333</v>
      </c>
      <c r="J9" s="22" t="n">
        <f aca="false">IFERROR(IF(AND(9&gt;=ASSUMPTIONS!$C$26,ASSUMPTIONS!$C$26&gt;0),ASSUMPTIONS!$D$26/12*(ASSUMPTIONS!$B$33),0),0)</f>
        <v>9895.83333333333</v>
      </c>
      <c r="K9" s="22" t="n">
        <f aca="false">IFERROR(IF(AND(10&gt;=ASSUMPTIONS!$C$26,ASSUMPTIONS!$C$26&gt;0),ASSUMPTIONS!$D$26/12*(ASSUMPTIONS!$B$33),0),0)</f>
        <v>9895.83333333333</v>
      </c>
      <c r="L9" s="22" t="n">
        <f aca="false">IFERROR(IF(AND(11&gt;=ASSUMPTIONS!$C$26,ASSUMPTIONS!$C$26&gt;0),ASSUMPTIONS!$D$26/12*(ASSUMPTIONS!$B$33),0),0)</f>
        <v>9895.83333333333</v>
      </c>
      <c r="M9" s="22" t="n">
        <f aca="false">IFERROR(IF(AND(12&gt;=ASSUMPTIONS!$C$26,ASSUMPTIONS!$C$26&gt;0),ASSUMPTIONS!$D$26/12*(ASSUMPTIONS!$B$33),0),0)</f>
        <v>9895.83333333333</v>
      </c>
      <c r="N9" s="22" t="n">
        <f aca="false">IFERROR(IF(AND(13&gt;=ASSUMPTIONS!$C$26,ASSUMPTIONS!$C$26&gt;0),ASSUMPTIONS!$D$26/12*(ASSUMPTIONS!$B$33),0),0)</f>
        <v>9895.83333333333</v>
      </c>
      <c r="O9" s="22" t="n">
        <f aca="false">IFERROR(IF(AND(14&gt;=ASSUMPTIONS!$C$26,ASSUMPTIONS!$C$26&gt;0),ASSUMPTIONS!$D$26/12*(ASSUMPTIONS!$B$33),0),0)</f>
        <v>9895.83333333333</v>
      </c>
      <c r="P9" s="22" t="n">
        <f aca="false">IFERROR(IF(AND(15&gt;=ASSUMPTIONS!$C$26,ASSUMPTIONS!$C$26&gt;0),ASSUMPTIONS!$D$26/12*(ASSUMPTIONS!$B$33),0),0)</f>
        <v>9895.83333333333</v>
      </c>
      <c r="Q9" s="22" t="n">
        <f aca="false">IFERROR(IF(AND(16&gt;=ASSUMPTIONS!$C$26,ASSUMPTIONS!$C$26&gt;0),ASSUMPTIONS!$D$26/12*(ASSUMPTIONS!$B$33),0),0)</f>
        <v>9895.83333333333</v>
      </c>
      <c r="R9" s="22" t="n">
        <f aca="false">IFERROR(IF(AND(17&gt;=ASSUMPTIONS!$C$26,ASSUMPTIONS!$C$26&gt;0),ASSUMPTIONS!$D$26/12*(ASSUMPTIONS!$B$33),0),0)</f>
        <v>9895.83333333333</v>
      </c>
      <c r="S9" s="22" t="n">
        <f aca="false">IFERROR(IF(AND(18&gt;=ASSUMPTIONS!$C$26,ASSUMPTIONS!$C$26&gt;0),ASSUMPTIONS!$D$26/12*(ASSUMPTIONS!$B$33),0),0)</f>
        <v>9895.83333333333</v>
      </c>
    </row>
    <row r="10" customFormat="false" ht="15" hidden="false" customHeight="false" outlineLevel="0" collapsed="false">
      <c r="A10" s="28" t="str">
        <f aca="false">IFERROR(ASSUMPTIONS!B27,"(empty)")</f>
        <v>Engineer #2</v>
      </c>
      <c r="B10" s="22" t="n">
        <f aca="false">IFERROR(IF(AND(1&gt;=ASSUMPTIONS!$C$27,ASSUMPTIONS!$C$27&gt;0),ASSUMPTIONS!$D$27/12*(ASSUMPTIONS!$B$33),0),0)</f>
        <v>0</v>
      </c>
      <c r="C10" s="22" t="n">
        <f aca="false">IFERROR(IF(AND(2&gt;=ASSUMPTIONS!$C$27,ASSUMPTIONS!$C$27&gt;0),ASSUMPTIONS!$D$27/12*(ASSUMPTIONS!$B$33),0),0)</f>
        <v>0</v>
      </c>
      <c r="D10" s="22" t="n">
        <f aca="false">IFERROR(IF(AND(3&gt;=ASSUMPTIONS!$C$27,ASSUMPTIONS!$C$27&gt;0),ASSUMPTIONS!$D$27/12*(ASSUMPTIONS!$B$33),0),0)</f>
        <v>0</v>
      </c>
      <c r="E10" s="22" t="n">
        <f aca="false">IFERROR(IF(AND(4&gt;=ASSUMPTIONS!$C$27,ASSUMPTIONS!$C$27&gt;0),ASSUMPTIONS!$D$27/12*(ASSUMPTIONS!$B$33),0),0)</f>
        <v>0</v>
      </c>
      <c r="F10" s="22" t="n">
        <f aca="false">IFERROR(IF(AND(5&gt;=ASSUMPTIONS!$C$27,ASSUMPTIONS!$C$27&gt;0),ASSUMPTIONS!$D$27/12*(ASSUMPTIONS!$B$33),0),0)</f>
        <v>0</v>
      </c>
      <c r="G10" s="22" t="n">
        <f aca="false">IFERROR(IF(AND(6&gt;=ASSUMPTIONS!$C$27,ASSUMPTIONS!$C$27&gt;0),ASSUMPTIONS!$D$27/12*(ASSUMPTIONS!$B$33),0),0)</f>
        <v>9895.83333333333</v>
      </c>
      <c r="H10" s="22" t="n">
        <f aca="false">IFERROR(IF(AND(7&gt;=ASSUMPTIONS!$C$27,ASSUMPTIONS!$C$27&gt;0),ASSUMPTIONS!$D$27/12*(ASSUMPTIONS!$B$33),0),0)</f>
        <v>9895.83333333333</v>
      </c>
      <c r="I10" s="22" t="n">
        <f aca="false">IFERROR(IF(AND(8&gt;=ASSUMPTIONS!$C$27,ASSUMPTIONS!$C$27&gt;0),ASSUMPTIONS!$D$27/12*(ASSUMPTIONS!$B$33),0),0)</f>
        <v>9895.83333333333</v>
      </c>
      <c r="J10" s="22" t="n">
        <f aca="false">IFERROR(IF(AND(9&gt;=ASSUMPTIONS!$C$27,ASSUMPTIONS!$C$27&gt;0),ASSUMPTIONS!$D$27/12*(ASSUMPTIONS!$B$33),0),0)</f>
        <v>9895.83333333333</v>
      </c>
      <c r="K10" s="22" t="n">
        <f aca="false">IFERROR(IF(AND(10&gt;=ASSUMPTIONS!$C$27,ASSUMPTIONS!$C$27&gt;0),ASSUMPTIONS!$D$27/12*(ASSUMPTIONS!$B$33),0),0)</f>
        <v>9895.83333333333</v>
      </c>
      <c r="L10" s="22" t="n">
        <f aca="false">IFERROR(IF(AND(11&gt;=ASSUMPTIONS!$C$27,ASSUMPTIONS!$C$27&gt;0),ASSUMPTIONS!$D$27/12*(ASSUMPTIONS!$B$33),0),0)</f>
        <v>9895.83333333333</v>
      </c>
      <c r="M10" s="22" t="n">
        <f aca="false">IFERROR(IF(AND(12&gt;=ASSUMPTIONS!$C$27,ASSUMPTIONS!$C$27&gt;0),ASSUMPTIONS!$D$27/12*(ASSUMPTIONS!$B$33),0),0)</f>
        <v>9895.83333333333</v>
      </c>
      <c r="N10" s="22" t="n">
        <f aca="false">IFERROR(IF(AND(13&gt;=ASSUMPTIONS!$C$27,ASSUMPTIONS!$C$27&gt;0),ASSUMPTIONS!$D$27/12*(ASSUMPTIONS!$B$33),0),0)</f>
        <v>9895.83333333333</v>
      </c>
      <c r="O10" s="22" t="n">
        <f aca="false">IFERROR(IF(AND(14&gt;=ASSUMPTIONS!$C$27,ASSUMPTIONS!$C$27&gt;0),ASSUMPTIONS!$D$27/12*(ASSUMPTIONS!$B$33),0),0)</f>
        <v>9895.83333333333</v>
      </c>
      <c r="P10" s="22" t="n">
        <f aca="false">IFERROR(IF(AND(15&gt;=ASSUMPTIONS!$C$27,ASSUMPTIONS!$C$27&gt;0),ASSUMPTIONS!$D$27/12*(ASSUMPTIONS!$B$33),0),0)</f>
        <v>9895.83333333333</v>
      </c>
      <c r="Q10" s="22" t="n">
        <f aca="false">IFERROR(IF(AND(16&gt;=ASSUMPTIONS!$C$27,ASSUMPTIONS!$C$27&gt;0),ASSUMPTIONS!$D$27/12*(ASSUMPTIONS!$B$33),0),0)</f>
        <v>9895.83333333333</v>
      </c>
      <c r="R10" s="22" t="n">
        <f aca="false">IFERROR(IF(AND(17&gt;=ASSUMPTIONS!$C$27,ASSUMPTIONS!$C$27&gt;0),ASSUMPTIONS!$D$27/12*(ASSUMPTIONS!$B$33),0),0)</f>
        <v>9895.83333333333</v>
      </c>
      <c r="S10" s="22" t="n">
        <f aca="false">IFERROR(IF(AND(18&gt;=ASSUMPTIONS!$C$27,ASSUMPTIONS!$C$27&gt;0),ASSUMPTIONS!$D$27/12*(ASSUMPTIONS!$B$33),0),0)</f>
        <v>9895.83333333333</v>
      </c>
    </row>
    <row r="11" customFormat="false" ht="15" hidden="false" customHeight="false" outlineLevel="0" collapsed="false">
      <c r="A11" s="27" t="str">
        <f aca="false">IFERROR(ASSUMPTIONS!B28,"(empty)")</f>
        <v>Designer</v>
      </c>
      <c r="B11" s="22" t="n">
        <f aca="false">IFERROR(IF(AND(1&gt;=ASSUMPTIONS!$C$28,ASSUMPTIONS!$C$28&gt;0),ASSUMPTIONS!$D$28/12*(ASSUMPTIONS!$B$33),0),0)</f>
        <v>0</v>
      </c>
      <c r="C11" s="22" t="n">
        <f aca="false">IFERROR(IF(AND(2&gt;=ASSUMPTIONS!$C$28,ASSUMPTIONS!$C$28&gt;0),ASSUMPTIONS!$D$28/12*(ASSUMPTIONS!$B$33),0),0)</f>
        <v>0</v>
      </c>
      <c r="D11" s="22" t="n">
        <f aca="false">IFERROR(IF(AND(3&gt;=ASSUMPTIONS!$C$28,ASSUMPTIONS!$C$28&gt;0),ASSUMPTIONS!$D$28/12*(ASSUMPTIONS!$B$33),0),0)</f>
        <v>0</v>
      </c>
      <c r="E11" s="22" t="n">
        <f aca="false">IFERROR(IF(AND(4&gt;=ASSUMPTIONS!$C$28,ASSUMPTIONS!$C$28&gt;0),ASSUMPTIONS!$D$28/12*(ASSUMPTIONS!$B$33),0),0)</f>
        <v>7812.5</v>
      </c>
      <c r="F11" s="22" t="n">
        <f aca="false">IFERROR(IF(AND(5&gt;=ASSUMPTIONS!$C$28,ASSUMPTIONS!$C$28&gt;0),ASSUMPTIONS!$D$28/12*(ASSUMPTIONS!$B$33),0),0)</f>
        <v>7812.5</v>
      </c>
      <c r="G11" s="22" t="n">
        <f aca="false">IFERROR(IF(AND(6&gt;=ASSUMPTIONS!$C$28,ASSUMPTIONS!$C$28&gt;0),ASSUMPTIONS!$D$28/12*(ASSUMPTIONS!$B$33),0),0)</f>
        <v>7812.5</v>
      </c>
      <c r="H11" s="22" t="n">
        <f aca="false">IFERROR(IF(AND(7&gt;=ASSUMPTIONS!$C$28,ASSUMPTIONS!$C$28&gt;0),ASSUMPTIONS!$D$28/12*(ASSUMPTIONS!$B$33),0),0)</f>
        <v>7812.5</v>
      </c>
      <c r="I11" s="22" t="n">
        <f aca="false">IFERROR(IF(AND(8&gt;=ASSUMPTIONS!$C$28,ASSUMPTIONS!$C$28&gt;0),ASSUMPTIONS!$D$28/12*(ASSUMPTIONS!$B$33),0),0)</f>
        <v>7812.5</v>
      </c>
      <c r="J11" s="22" t="n">
        <f aca="false">IFERROR(IF(AND(9&gt;=ASSUMPTIONS!$C$28,ASSUMPTIONS!$C$28&gt;0),ASSUMPTIONS!$D$28/12*(ASSUMPTIONS!$B$33),0),0)</f>
        <v>7812.5</v>
      </c>
      <c r="K11" s="22" t="n">
        <f aca="false">IFERROR(IF(AND(10&gt;=ASSUMPTIONS!$C$28,ASSUMPTIONS!$C$28&gt;0),ASSUMPTIONS!$D$28/12*(ASSUMPTIONS!$B$33),0),0)</f>
        <v>7812.5</v>
      </c>
      <c r="L11" s="22" t="n">
        <f aca="false">IFERROR(IF(AND(11&gt;=ASSUMPTIONS!$C$28,ASSUMPTIONS!$C$28&gt;0),ASSUMPTIONS!$D$28/12*(ASSUMPTIONS!$B$33),0),0)</f>
        <v>7812.5</v>
      </c>
      <c r="M11" s="22" t="n">
        <f aca="false">IFERROR(IF(AND(12&gt;=ASSUMPTIONS!$C$28,ASSUMPTIONS!$C$28&gt;0),ASSUMPTIONS!$D$28/12*(ASSUMPTIONS!$B$33),0),0)</f>
        <v>7812.5</v>
      </c>
      <c r="N11" s="22" t="n">
        <f aca="false">IFERROR(IF(AND(13&gt;=ASSUMPTIONS!$C$28,ASSUMPTIONS!$C$28&gt;0),ASSUMPTIONS!$D$28/12*(ASSUMPTIONS!$B$33),0),0)</f>
        <v>7812.5</v>
      </c>
      <c r="O11" s="22" t="n">
        <f aca="false">IFERROR(IF(AND(14&gt;=ASSUMPTIONS!$C$28,ASSUMPTIONS!$C$28&gt;0),ASSUMPTIONS!$D$28/12*(ASSUMPTIONS!$B$33),0),0)</f>
        <v>7812.5</v>
      </c>
      <c r="P11" s="22" t="n">
        <f aca="false">IFERROR(IF(AND(15&gt;=ASSUMPTIONS!$C$28,ASSUMPTIONS!$C$28&gt;0),ASSUMPTIONS!$D$28/12*(ASSUMPTIONS!$B$33),0),0)</f>
        <v>7812.5</v>
      </c>
      <c r="Q11" s="22" t="n">
        <f aca="false">IFERROR(IF(AND(16&gt;=ASSUMPTIONS!$C$28,ASSUMPTIONS!$C$28&gt;0),ASSUMPTIONS!$D$28/12*(ASSUMPTIONS!$B$33),0),0)</f>
        <v>7812.5</v>
      </c>
      <c r="R11" s="22" t="n">
        <f aca="false">IFERROR(IF(AND(17&gt;=ASSUMPTIONS!$C$28,ASSUMPTIONS!$C$28&gt;0),ASSUMPTIONS!$D$28/12*(ASSUMPTIONS!$B$33),0),0)</f>
        <v>7812.5</v>
      </c>
      <c r="S11" s="22" t="n">
        <f aca="false">IFERROR(IF(AND(18&gt;=ASSUMPTIONS!$C$28,ASSUMPTIONS!$C$28&gt;0),ASSUMPTIONS!$D$28/12*(ASSUMPTIONS!$B$33),0),0)</f>
        <v>7812.5</v>
      </c>
    </row>
    <row r="12" customFormat="false" ht="15" hidden="false" customHeight="false" outlineLevel="0" collapsed="false">
      <c r="A12" s="28" t="str">
        <f aca="false">IFERROR(ASSUMPTIONS!B29,"(empty)")</f>
        <v>Sales / Growth</v>
      </c>
      <c r="B12" s="22" t="n">
        <f aca="false">IFERROR(IF(AND(1&gt;=ASSUMPTIONS!$C$29,ASSUMPTIONS!$C$29&gt;0),ASSUMPTIONS!$D$29/12*(ASSUMPTIONS!$B$33),0),0)</f>
        <v>0</v>
      </c>
      <c r="C12" s="22" t="n">
        <f aca="false">IFERROR(IF(AND(2&gt;=ASSUMPTIONS!$C$29,ASSUMPTIONS!$C$29&gt;0),ASSUMPTIONS!$D$29/12*(ASSUMPTIONS!$B$33),0),0)</f>
        <v>0</v>
      </c>
      <c r="D12" s="22" t="n">
        <f aca="false">IFERROR(IF(AND(3&gt;=ASSUMPTIONS!$C$29,ASSUMPTIONS!$C$29&gt;0),ASSUMPTIONS!$D$29/12*(ASSUMPTIONS!$B$33),0),0)</f>
        <v>0</v>
      </c>
      <c r="E12" s="22" t="n">
        <f aca="false">IFERROR(IF(AND(4&gt;=ASSUMPTIONS!$C$29,ASSUMPTIONS!$C$29&gt;0),ASSUMPTIONS!$D$29/12*(ASSUMPTIONS!$B$33),0),0)</f>
        <v>0</v>
      </c>
      <c r="F12" s="22" t="n">
        <f aca="false">IFERROR(IF(AND(5&gt;=ASSUMPTIONS!$C$29,ASSUMPTIONS!$C$29&gt;0),ASSUMPTIONS!$D$29/12*(ASSUMPTIONS!$B$33),0),0)</f>
        <v>0</v>
      </c>
      <c r="G12" s="22" t="n">
        <f aca="false">IFERROR(IF(AND(6&gt;=ASSUMPTIONS!$C$29,ASSUMPTIONS!$C$29&gt;0),ASSUMPTIONS!$D$29/12*(ASSUMPTIONS!$B$33),0),0)</f>
        <v>7291.66666666667</v>
      </c>
      <c r="H12" s="22" t="n">
        <f aca="false">IFERROR(IF(AND(7&gt;=ASSUMPTIONS!$C$29,ASSUMPTIONS!$C$29&gt;0),ASSUMPTIONS!$D$29/12*(ASSUMPTIONS!$B$33),0),0)</f>
        <v>7291.66666666667</v>
      </c>
      <c r="I12" s="22" t="n">
        <f aca="false">IFERROR(IF(AND(8&gt;=ASSUMPTIONS!$C$29,ASSUMPTIONS!$C$29&gt;0),ASSUMPTIONS!$D$29/12*(ASSUMPTIONS!$B$33),0),0)</f>
        <v>7291.66666666667</v>
      </c>
      <c r="J12" s="22" t="n">
        <f aca="false">IFERROR(IF(AND(9&gt;=ASSUMPTIONS!$C$29,ASSUMPTIONS!$C$29&gt;0),ASSUMPTIONS!$D$29/12*(ASSUMPTIONS!$B$33),0),0)</f>
        <v>7291.66666666667</v>
      </c>
      <c r="K12" s="22" t="n">
        <f aca="false">IFERROR(IF(AND(10&gt;=ASSUMPTIONS!$C$29,ASSUMPTIONS!$C$29&gt;0),ASSUMPTIONS!$D$29/12*(ASSUMPTIONS!$B$33),0),0)</f>
        <v>7291.66666666667</v>
      </c>
      <c r="L12" s="22" t="n">
        <f aca="false">IFERROR(IF(AND(11&gt;=ASSUMPTIONS!$C$29,ASSUMPTIONS!$C$29&gt;0),ASSUMPTIONS!$D$29/12*(ASSUMPTIONS!$B$33),0),0)</f>
        <v>7291.66666666667</v>
      </c>
      <c r="M12" s="22" t="n">
        <f aca="false">IFERROR(IF(AND(12&gt;=ASSUMPTIONS!$C$29,ASSUMPTIONS!$C$29&gt;0),ASSUMPTIONS!$D$29/12*(ASSUMPTIONS!$B$33),0),0)</f>
        <v>7291.66666666667</v>
      </c>
      <c r="N12" s="22" t="n">
        <f aca="false">IFERROR(IF(AND(13&gt;=ASSUMPTIONS!$C$29,ASSUMPTIONS!$C$29&gt;0),ASSUMPTIONS!$D$29/12*(ASSUMPTIONS!$B$33),0),0)</f>
        <v>7291.66666666667</v>
      </c>
      <c r="O12" s="22" t="n">
        <f aca="false">IFERROR(IF(AND(14&gt;=ASSUMPTIONS!$C$29,ASSUMPTIONS!$C$29&gt;0),ASSUMPTIONS!$D$29/12*(ASSUMPTIONS!$B$33),0),0)</f>
        <v>7291.66666666667</v>
      </c>
      <c r="P12" s="22" t="n">
        <f aca="false">IFERROR(IF(AND(15&gt;=ASSUMPTIONS!$C$29,ASSUMPTIONS!$C$29&gt;0),ASSUMPTIONS!$D$29/12*(ASSUMPTIONS!$B$33),0),0)</f>
        <v>7291.66666666667</v>
      </c>
      <c r="Q12" s="22" t="n">
        <f aca="false">IFERROR(IF(AND(16&gt;=ASSUMPTIONS!$C$29,ASSUMPTIONS!$C$29&gt;0),ASSUMPTIONS!$D$29/12*(ASSUMPTIONS!$B$33),0),0)</f>
        <v>7291.66666666667</v>
      </c>
      <c r="R12" s="22" t="n">
        <f aca="false">IFERROR(IF(AND(17&gt;=ASSUMPTIONS!$C$29,ASSUMPTIONS!$C$29&gt;0),ASSUMPTIONS!$D$29/12*(ASSUMPTIONS!$B$33),0),0)</f>
        <v>7291.66666666667</v>
      </c>
      <c r="S12" s="22" t="n">
        <f aca="false">IFERROR(IF(AND(18&gt;=ASSUMPTIONS!$C$29,ASSUMPTIONS!$C$29&gt;0),ASSUMPTIONS!$D$29/12*(ASSUMPTIONS!$B$33),0),0)</f>
        <v>7291.66666666667</v>
      </c>
    </row>
    <row r="13" customFormat="false" ht="15" hidden="false" customHeight="false" outlineLevel="0" collapsed="false">
      <c r="A13" s="27" t="n">
        <f aca="false">IFERROR(ASSUMPTIONS!B30,"(empty)")</f>
        <v>0</v>
      </c>
      <c r="B13" s="22" t="n">
        <f aca="false">IFERROR(IF(AND(1&gt;=ASSUMPTIONS!$C$30,ASSUMPTIONS!$C$30&gt;0),ASSUMPTIONS!$D$30/12*(ASSUMPTIONS!$B$33),0),0)</f>
        <v>0</v>
      </c>
      <c r="C13" s="22" t="n">
        <f aca="false">IFERROR(IF(AND(2&gt;=ASSUMPTIONS!$C$30,ASSUMPTIONS!$C$30&gt;0),ASSUMPTIONS!$D$30/12*(ASSUMPTIONS!$B$33),0),0)</f>
        <v>0</v>
      </c>
      <c r="D13" s="22" t="n">
        <f aca="false">IFERROR(IF(AND(3&gt;=ASSUMPTIONS!$C$30,ASSUMPTIONS!$C$30&gt;0),ASSUMPTIONS!$D$30/12*(ASSUMPTIONS!$B$33),0),0)</f>
        <v>0</v>
      </c>
      <c r="E13" s="22" t="n">
        <f aca="false">IFERROR(IF(AND(4&gt;=ASSUMPTIONS!$C$30,ASSUMPTIONS!$C$30&gt;0),ASSUMPTIONS!$D$30/12*(ASSUMPTIONS!$B$33),0),0)</f>
        <v>0</v>
      </c>
      <c r="F13" s="22" t="n">
        <f aca="false">IFERROR(IF(AND(5&gt;=ASSUMPTIONS!$C$30,ASSUMPTIONS!$C$30&gt;0),ASSUMPTIONS!$D$30/12*(ASSUMPTIONS!$B$33),0),0)</f>
        <v>0</v>
      </c>
      <c r="G13" s="22" t="n">
        <f aca="false">IFERROR(IF(AND(6&gt;=ASSUMPTIONS!$C$30,ASSUMPTIONS!$C$30&gt;0),ASSUMPTIONS!$D$30/12*(ASSUMPTIONS!$B$33),0),0)</f>
        <v>0</v>
      </c>
      <c r="H13" s="22" t="n">
        <f aca="false">IFERROR(IF(AND(7&gt;=ASSUMPTIONS!$C$30,ASSUMPTIONS!$C$30&gt;0),ASSUMPTIONS!$D$30/12*(ASSUMPTIONS!$B$33),0),0)</f>
        <v>0</v>
      </c>
      <c r="I13" s="22" t="n">
        <f aca="false">IFERROR(IF(AND(8&gt;=ASSUMPTIONS!$C$30,ASSUMPTIONS!$C$30&gt;0),ASSUMPTIONS!$D$30/12*(ASSUMPTIONS!$B$33),0),0)</f>
        <v>0</v>
      </c>
      <c r="J13" s="22" t="n">
        <f aca="false">IFERROR(IF(AND(9&gt;=ASSUMPTIONS!$C$30,ASSUMPTIONS!$C$30&gt;0),ASSUMPTIONS!$D$30/12*(ASSUMPTIONS!$B$33),0),0)</f>
        <v>0</v>
      </c>
      <c r="K13" s="22" t="n">
        <f aca="false">IFERROR(IF(AND(10&gt;=ASSUMPTIONS!$C$30,ASSUMPTIONS!$C$30&gt;0),ASSUMPTIONS!$D$30/12*(ASSUMPTIONS!$B$33),0),0)</f>
        <v>0</v>
      </c>
      <c r="L13" s="22" t="n">
        <f aca="false">IFERROR(IF(AND(11&gt;=ASSUMPTIONS!$C$30,ASSUMPTIONS!$C$30&gt;0),ASSUMPTIONS!$D$30/12*(ASSUMPTIONS!$B$33),0),0)</f>
        <v>0</v>
      </c>
      <c r="M13" s="22" t="n">
        <f aca="false">IFERROR(IF(AND(12&gt;=ASSUMPTIONS!$C$30,ASSUMPTIONS!$C$30&gt;0),ASSUMPTIONS!$D$30/12*(ASSUMPTIONS!$B$33),0),0)</f>
        <v>0</v>
      </c>
      <c r="N13" s="22" t="n">
        <f aca="false">IFERROR(IF(AND(13&gt;=ASSUMPTIONS!$C$30,ASSUMPTIONS!$C$30&gt;0),ASSUMPTIONS!$D$30/12*(ASSUMPTIONS!$B$33),0),0)</f>
        <v>0</v>
      </c>
      <c r="O13" s="22" t="n">
        <f aca="false">IFERROR(IF(AND(14&gt;=ASSUMPTIONS!$C$30,ASSUMPTIONS!$C$30&gt;0),ASSUMPTIONS!$D$30/12*(ASSUMPTIONS!$B$33),0),0)</f>
        <v>0</v>
      </c>
      <c r="P13" s="22" t="n">
        <f aca="false">IFERROR(IF(AND(15&gt;=ASSUMPTIONS!$C$30,ASSUMPTIONS!$C$30&gt;0),ASSUMPTIONS!$D$30/12*(ASSUMPTIONS!$B$33),0),0)</f>
        <v>0</v>
      </c>
      <c r="Q13" s="22" t="n">
        <f aca="false">IFERROR(IF(AND(16&gt;=ASSUMPTIONS!$C$30,ASSUMPTIONS!$C$30&gt;0),ASSUMPTIONS!$D$30/12*(ASSUMPTIONS!$B$33),0),0)</f>
        <v>0</v>
      </c>
      <c r="R13" s="22" t="n">
        <f aca="false">IFERROR(IF(AND(17&gt;=ASSUMPTIONS!$C$30,ASSUMPTIONS!$C$30&gt;0),ASSUMPTIONS!$D$30/12*(ASSUMPTIONS!$B$33),0),0)</f>
        <v>0</v>
      </c>
      <c r="S13" s="22" t="n">
        <f aca="false">IFERROR(IF(AND(18&gt;=ASSUMPTIONS!$C$30,ASSUMPTIONS!$C$30&gt;0),ASSUMPTIONS!$D$30/12*(ASSUMPTIONS!$B$33),0),0)</f>
        <v>0</v>
      </c>
    </row>
    <row r="14" customFormat="false" ht="15" hidden="false" customHeight="false" outlineLevel="0" collapsed="false">
      <c r="A14" s="28" t="n">
        <f aca="false">IFERROR(ASSUMPTIONS!B31,"(empty)")</f>
        <v>0</v>
      </c>
      <c r="B14" s="22" t="n">
        <f aca="false">IFERROR(IF(AND(1&gt;=ASSUMPTIONS!$C$31,ASSUMPTIONS!$C$31&gt;0),ASSUMPTIONS!$D$31/12*(ASSUMPTIONS!$B$33),0),0)</f>
        <v>0</v>
      </c>
      <c r="C14" s="22" t="n">
        <f aca="false">IFERROR(IF(AND(2&gt;=ASSUMPTIONS!$C$31,ASSUMPTIONS!$C$31&gt;0),ASSUMPTIONS!$D$31/12*(ASSUMPTIONS!$B$33),0),0)</f>
        <v>0</v>
      </c>
      <c r="D14" s="22" t="n">
        <f aca="false">IFERROR(IF(AND(3&gt;=ASSUMPTIONS!$C$31,ASSUMPTIONS!$C$31&gt;0),ASSUMPTIONS!$D$31/12*(ASSUMPTIONS!$B$33),0),0)</f>
        <v>0</v>
      </c>
      <c r="E14" s="22" t="n">
        <f aca="false">IFERROR(IF(AND(4&gt;=ASSUMPTIONS!$C$31,ASSUMPTIONS!$C$31&gt;0),ASSUMPTIONS!$D$31/12*(ASSUMPTIONS!$B$33),0),0)</f>
        <v>0</v>
      </c>
      <c r="F14" s="22" t="n">
        <f aca="false">IFERROR(IF(AND(5&gt;=ASSUMPTIONS!$C$31,ASSUMPTIONS!$C$31&gt;0),ASSUMPTIONS!$D$31/12*(ASSUMPTIONS!$B$33),0),0)</f>
        <v>0</v>
      </c>
      <c r="G14" s="22" t="n">
        <f aca="false">IFERROR(IF(AND(6&gt;=ASSUMPTIONS!$C$31,ASSUMPTIONS!$C$31&gt;0),ASSUMPTIONS!$D$31/12*(ASSUMPTIONS!$B$33),0),0)</f>
        <v>0</v>
      </c>
      <c r="H14" s="22" t="n">
        <f aca="false">IFERROR(IF(AND(7&gt;=ASSUMPTIONS!$C$31,ASSUMPTIONS!$C$31&gt;0),ASSUMPTIONS!$D$31/12*(ASSUMPTIONS!$B$33),0),0)</f>
        <v>0</v>
      </c>
      <c r="I14" s="22" t="n">
        <f aca="false">IFERROR(IF(AND(8&gt;=ASSUMPTIONS!$C$31,ASSUMPTIONS!$C$31&gt;0),ASSUMPTIONS!$D$31/12*(ASSUMPTIONS!$B$33),0),0)</f>
        <v>0</v>
      </c>
      <c r="J14" s="22" t="n">
        <f aca="false">IFERROR(IF(AND(9&gt;=ASSUMPTIONS!$C$31,ASSUMPTIONS!$C$31&gt;0),ASSUMPTIONS!$D$31/12*(ASSUMPTIONS!$B$33),0),0)</f>
        <v>0</v>
      </c>
      <c r="K14" s="22" t="n">
        <f aca="false">IFERROR(IF(AND(10&gt;=ASSUMPTIONS!$C$31,ASSUMPTIONS!$C$31&gt;0),ASSUMPTIONS!$D$31/12*(ASSUMPTIONS!$B$33),0),0)</f>
        <v>0</v>
      </c>
      <c r="L14" s="22" t="n">
        <f aca="false">IFERROR(IF(AND(11&gt;=ASSUMPTIONS!$C$31,ASSUMPTIONS!$C$31&gt;0),ASSUMPTIONS!$D$31/12*(ASSUMPTIONS!$B$33),0),0)</f>
        <v>0</v>
      </c>
      <c r="M14" s="22" t="n">
        <f aca="false">IFERROR(IF(AND(12&gt;=ASSUMPTIONS!$C$31,ASSUMPTIONS!$C$31&gt;0),ASSUMPTIONS!$D$31/12*(ASSUMPTIONS!$B$33),0),0)</f>
        <v>0</v>
      </c>
      <c r="N14" s="22" t="n">
        <f aca="false">IFERROR(IF(AND(13&gt;=ASSUMPTIONS!$C$31,ASSUMPTIONS!$C$31&gt;0),ASSUMPTIONS!$D$31/12*(ASSUMPTIONS!$B$33),0),0)</f>
        <v>0</v>
      </c>
      <c r="O14" s="22" t="n">
        <f aca="false">IFERROR(IF(AND(14&gt;=ASSUMPTIONS!$C$31,ASSUMPTIONS!$C$31&gt;0),ASSUMPTIONS!$D$31/12*(ASSUMPTIONS!$B$33),0),0)</f>
        <v>0</v>
      </c>
      <c r="P14" s="22" t="n">
        <f aca="false">IFERROR(IF(AND(15&gt;=ASSUMPTIONS!$C$31,ASSUMPTIONS!$C$31&gt;0),ASSUMPTIONS!$D$31/12*(ASSUMPTIONS!$B$33),0),0)</f>
        <v>0</v>
      </c>
      <c r="Q14" s="22" t="n">
        <f aca="false">IFERROR(IF(AND(16&gt;=ASSUMPTIONS!$C$31,ASSUMPTIONS!$C$31&gt;0),ASSUMPTIONS!$D$31/12*(ASSUMPTIONS!$B$33),0),0)</f>
        <v>0</v>
      </c>
      <c r="R14" s="22" t="n">
        <f aca="false">IFERROR(IF(AND(17&gt;=ASSUMPTIONS!$C$31,ASSUMPTIONS!$C$31&gt;0),ASSUMPTIONS!$D$31/12*(ASSUMPTIONS!$B$33),0),0)</f>
        <v>0</v>
      </c>
      <c r="S14" s="22" t="n">
        <f aca="false">IFERROR(IF(AND(18&gt;=ASSUMPTIONS!$C$31,ASSUMPTIONS!$C$31&gt;0),ASSUMPTIONS!$D$31/12*(ASSUMPTIONS!$B$33),0),0)</f>
        <v>0</v>
      </c>
    </row>
    <row r="16" customFormat="false" ht="15" hidden="false" customHeight="false" outlineLevel="0" collapsed="false">
      <c r="A16" s="23" t="s">
        <v>112</v>
      </c>
      <c r="B16" s="24" t="n">
        <f aca="false">SUM(B7:B14)</f>
        <v>12500</v>
      </c>
      <c r="C16" s="24" t="n">
        <f aca="false">SUM(C7:C14)</f>
        <v>12500</v>
      </c>
      <c r="D16" s="24" t="n">
        <f aca="false">SUM(D7:D14)</f>
        <v>22395.8333333333</v>
      </c>
      <c r="E16" s="24" t="n">
        <f aca="false">SUM(E7:E14)</f>
        <v>30208.3333333333</v>
      </c>
      <c r="F16" s="24" t="n">
        <f aca="false">SUM(F7:F14)</f>
        <v>30208.3333333333</v>
      </c>
      <c r="G16" s="24" t="n">
        <f aca="false">SUM(G7:G14)</f>
        <v>47395.8333333333</v>
      </c>
      <c r="H16" s="24" t="n">
        <f aca="false">SUM(H7:H14)</f>
        <v>47395.8333333333</v>
      </c>
      <c r="I16" s="24" t="n">
        <f aca="false">SUM(I7:I14)</f>
        <v>47395.8333333333</v>
      </c>
      <c r="J16" s="24" t="n">
        <f aca="false">SUM(J7:J14)</f>
        <v>47395.8333333333</v>
      </c>
      <c r="K16" s="24" t="n">
        <f aca="false">SUM(K7:K14)</f>
        <v>47395.8333333333</v>
      </c>
      <c r="L16" s="24" t="n">
        <f aca="false">SUM(L7:L14)</f>
        <v>47395.8333333333</v>
      </c>
      <c r="M16" s="24" t="n">
        <f aca="false">SUM(M7:M14)</f>
        <v>47395.8333333333</v>
      </c>
      <c r="N16" s="24" t="n">
        <f aca="false">SUM(N7:N14)</f>
        <v>47395.8333333333</v>
      </c>
      <c r="O16" s="24" t="n">
        <f aca="false">SUM(O7:O14)</f>
        <v>47395.8333333333</v>
      </c>
      <c r="P16" s="24" t="n">
        <f aca="false">SUM(P7:P14)</f>
        <v>47395.8333333333</v>
      </c>
      <c r="Q16" s="24" t="n">
        <f aca="false">SUM(Q7:Q14)</f>
        <v>47395.8333333333</v>
      </c>
      <c r="R16" s="24" t="n">
        <f aca="false">SUM(R7:R14)</f>
        <v>47395.8333333333</v>
      </c>
      <c r="S16" s="24" t="n">
        <f aca="false">SUM(S7:S14)</f>
        <v>47395.8333333333</v>
      </c>
      <c r="T16" s="25"/>
      <c r="U16" s="25"/>
      <c r="V16" s="25"/>
      <c r="W16" s="25"/>
    </row>
    <row r="17" customFormat="false" ht="15" hidden="false" customHeight="false" outlineLevel="0" collapsed="false">
      <c r="A17" s="12" t="s">
        <v>113</v>
      </c>
      <c r="B17" s="20" t="n">
        <f aca="false">COUNTIF(B7:B14,"&gt;"&amp;0)</f>
        <v>2</v>
      </c>
      <c r="C17" s="20" t="n">
        <f aca="false">COUNTIF(C7:C14,"&gt;"&amp;0)</f>
        <v>2</v>
      </c>
      <c r="D17" s="20" t="n">
        <f aca="false">COUNTIF(D7:D14,"&gt;"&amp;0)</f>
        <v>3</v>
      </c>
      <c r="E17" s="20" t="n">
        <f aca="false">COUNTIF(E7:E14,"&gt;"&amp;0)</f>
        <v>4</v>
      </c>
      <c r="F17" s="20" t="n">
        <f aca="false">COUNTIF(F7:F14,"&gt;"&amp;0)</f>
        <v>4</v>
      </c>
      <c r="G17" s="20" t="n">
        <f aca="false">COUNTIF(G7:G14,"&gt;"&amp;0)</f>
        <v>6</v>
      </c>
      <c r="H17" s="20" t="n">
        <f aca="false">COUNTIF(H7:H14,"&gt;"&amp;0)</f>
        <v>6</v>
      </c>
      <c r="I17" s="20" t="n">
        <f aca="false">COUNTIF(I7:I14,"&gt;"&amp;0)</f>
        <v>6</v>
      </c>
      <c r="J17" s="20" t="n">
        <f aca="false">COUNTIF(J7:J14,"&gt;"&amp;0)</f>
        <v>6</v>
      </c>
      <c r="K17" s="20" t="n">
        <f aca="false">COUNTIF(K7:K14,"&gt;"&amp;0)</f>
        <v>6</v>
      </c>
      <c r="L17" s="20" t="n">
        <f aca="false">COUNTIF(L7:L14,"&gt;"&amp;0)</f>
        <v>6</v>
      </c>
      <c r="M17" s="20" t="n">
        <f aca="false">COUNTIF(M7:M14,"&gt;"&amp;0)</f>
        <v>6</v>
      </c>
      <c r="N17" s="20" t="n">
        <f aca="false">COUNTIF(N7:N14,"&gt;"&amp;0)</f>
        <v>6</v>
      </c>
      <c r="O17" s="20" t="n">
        <f aca="false">COUNTIF(O7:O14,"&gt;"&amp;0)</f>
        <v>6</v>
      </c>
      <c r="P17" s="20" t="n">
        <f aca="false">COUNTIF(P7:P14,"&gt;"&amp;0)</f>
        <v>6</v>
      </c>
      <c r="Q17" s="20" t="n">
        <f aca="false">COUNTIF(Q7:Q14,"&gt;"&amp;0)</f>
        <v>6</v>
      </c>
      <c r="R17" s="20" t="n">
        <f aca="false">COUNTIF(R7:R14,"&gt;"&amp;0)</f>
        <v>6</v>
      </c>
      <c r="S17" s="20" t="n">
        <f aca="false">COUNTIF(S7:S14,"&gt;"&amp;0)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X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4" min="2" style="0" width="13"/>
  </cols>
  <sheetData>
    <row r="1" customFormat="false" ht="17.35" hidden="false" customHeight="false" outlineLevel="0" collapsed="false">
      <c r="A1" s="16" t="s">
        <v>114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5" hidden="false" customHeight="false" outlineLevel="0" collapsed="false">
      <c r="A2" s="7" t="s">
        <v>115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4" customFormat="false" ht="15" hidden="false" customHeight="false" outlineLevel="0" collapsed="false">
      <c r="B4" s="17" t="s">
        <v>87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7" t="s">
        <v>88</v>
      </c>
      <c r="O4" s="1"/>
      <c r="P4" s="1"/>
      <c r="Q4" s="1"/>
      <c r="R4" s="1"/>
      <c r="S4" s="1"/>
      <c r="T4" s="18"/>
    </row>
    <row r="5" customFormat="false" ht="15" hidden="false" customHeight="false" outlineLevel="0" collapsed="false">
      <c r="B5" s="17" t="s">
        <v>89</v>
      </c>
      <c r="C5" s="17" t="s">
        <v>90</v>
      </c>
      <c r="D5" s="17" t="s">
        <v>91</v>
      </c>
      <c r="E5" s="17" t="s">
        <v>92</v>
      </c>
      <c r="F5" s="17" t="s">
        <v>93</v>
      </c>
      <c r="G5" s="17" t="s">
        <v>94</v>
      </c>
      <c r="H5" s="17" t="s">
        <v>95</v>
      </c>
      <c r="I5" s="17" t="s">
        <v>96</v>
      </c>
      <c r="J5" s="17" t="s">
        <v>97</v>
      </c>
      <c r="K5" s="17" t="s">
        <v>98</v>
      </c>
      <c r="L5" s="17" t="s">
        <v>99</v>
      </c>
      <c r="M5" s="17" t="s">
        <v>100</v>
      </c>
      <c r="N5" s="17" t="s">
        <v>89</v>
      </c>
      <c r="O5" s="17" t="s">
        <v>90</v>
      </c>
      <c r="P5" s="17" t="s">
        <v>91</v>
      </c>
      <c r="Q5" s="17" t="s">
        <v>92</v>
      </c>
      <c r="R5" s="17" t="s">
        <v>93</v>
      </c>
      <c r="S5" s="17" t="s">
        <v>94</v>
      </c>
      <c r="T5" s="19" t="s">
        <v>101</v>
      </c>
    </row>
    <row r="6" customFormat="false" ht="15" hidden="false" customHeight="false" outlineLevel="0" collapsed="false">
      <c r="A6" s="9" t="s">
        <v>116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8" customFormat="false" ht="15" hidden="false" customHeight="false" outlineLevel="0" collapsed="false">
      <c r="A8" s="10" t="s">
        <v>117</v>
      </c>
      <c r="B8" s="22" t="n">
        <f aca="false">IFERROR(REVENUE!B13,0)</f>
        <v>2376</v>
      </c>
      <c r="C8" s="22" t="n">
        <f aca="false">IFERROR(REVENUE!C13,0)</f>
        <v>3861</v>
      </c>
      <c r="D8" s="22" t="n">
        <f aca="false">IFERROR(REVENUE!D13,0)</f>
        <v>5346</v>
      </c>
      <c r="E8" s="22" t="n">
        <f aca="false">IFERROR(REVENUE!E13,0)</f>
        <v>6831</v>
      </c>
      <c r="F8" s="22" t="n">
        <f aca="false">IFERROR(REVENUE!F13,0)</f>
        <v>8415</v>
      </c>
      <c r="G8" s="22" t="n">
        <f aca="false">IFERROR(REVENUE!G13,0)</f>
        <v>10098</v>
      </c>
      <c r="H8" s="22" t="n">
        <f aca="false">IFERROR(REVENUE!H13,0)</f>
        <v>11880</v>
      </c>
      <c r="I8" s="22" t="n">
        <f aca="false">IFERROR(REVENUE!I13,0)</f>
        <v>13761</v>
      </c>
      <c r="J8" s="22" t="n">
        <f aca="false">IFERROR(REVENUE!J13,0)</f>
        <v>15741</v>
      </c>
      <c r="K8" s="22" t="n">
        <f aca="false">IFERROR(REVENUE!K13,0)</f>
        <v>17820</v>
      </c>
      <c r="L8" s="22" t="n">
        <f aca="false">IFERROR(REVENUE!L13,0)</f>
        <v>19998</v>
      </c>
      <c r="M8" s="22" t="n">
        <f aca="false">IFERROR(REVENUE!M13,0)</f>
        <v>22275</v>
      </c>
      <c r="N8" s="22" t="n">
        <f aca="false">IFERROR(REVENUE!N13,0)</f>
        <v>138402</v>
      </c>
      <c r="O8" s="22" t="n">
        <f aca="false">IFERROR(REVENUE!O13,0)</f>
        <v>27324</v>
      </c>
      <c r="P8" s="22" t="n">
        <f aca="false">IFERROR(REVENUE!P13,0)</f>
        <v>30096</v>
      </c>
      <c r="Q8" s="22" t="n">
        <f aca="false">IFERROR(REVENUE!Q13,0)</f>
        <v>33066</v>
      </c>
      <c r="R8" s="22" t="n">
        <f aca="false">IFERROR(REVENUE!R13,0)</f>
        <v>36234</v>
      </c>
      <c r="S8" s="22" t="n">
        <f aca="false">IFERROR(REVENUE!S13,0)</f>
        <v>39699</v>
      </c>
    </row>
    <row r="10" customFormat="false" ht="15" hidden="false" customHeight="false" outlineLevel="0" collapsed="false">
      <c r="A10" s="9" t="s">
        <v>118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customFormat="false" ht="15" hidden="false" customHeight="false" outlineLevel="0" collapsed="false">
      <c r="A11" s="10" t="s">
        <v>119</v>
      </c>
      <c r="B11" s="20" t="n">
        <f aca="false">IFERROR(REVENUE!B9*ASSUMPTIONS!$B$18,0)</f>
        <v>120</v>
      </c>
      <c r="C11" s="20" t="n">
        <f aca="false">IFERROR(REVENUE!C9*ASSUMPTIONS!$B$18,0)</f>
        <v>195</v>
      </c>
      <c r="D11" s="20" t="n">
        <f aca="false">IFERROR(REVENUE!D9*ASSUMPTIONS!$B$18,0)</f>
        <v>270</v>
      </c>
      <c r="E11" s="20" t="n">
        <f aca="false">IFERROR(REVENUE!E9*ASSUMPTIONS!$B$18,0)</f>
        <v>345</v>
      </c>
      <c r="F11" s="20" t="n">
        <f aca="false">IFERROR(REVENUE!F9*ASSUMPTIONS!$B$18,0)</f>
        <v>425</v>
      </c>
      <c r="G11" s="20" t="n">
        <f aca="false">IFERROR(REVENUE!G9*ASSUMPTIONS!$B$18,0)</f>
        <v>510</v>
      </c>
      <c r="H11" s="20" t="n">
        <f aca="false">IFERROR(REVENUE!H9*ASSUMPTIONS!$B$18,0)</f>
        <v>600</v>
      </c>
      <c r="I11" s="20" t="n">
        <f aca="false">IFERROR(REVENUE!I9*ASSUMPTIONS!$B$18,0)</f>
        <v>695</v>
      </c>
      <c r="J11" s="20" t="n">
        <f aca="false">IFERROR(REVENUE!J9*ASSUMPTIONS!$B$18,0)</f>
        <v>795</v>
      </c>
      <c r="K11" s="20" t="n">
        <f aca="false">IFERROR(REVENUE!K9*ASSUMPTIONS!$B$18,0)</f>
        <v>900</v>
      </c>
      <c r="L11" s="20" t="n">
        <f aca="false">IFERROR(REVENUE!L9*ASSUMPTIONS!$B$18,0)</f>
        <v>1010</v>
      </c>
      <c r="M11" s="20" t="n">
        <f aca="false">IFERROR(REVENUE!M9*ASSUMPTIONS!$B$18,0)</f>
        <v>1125</v>
      </c>
      <c r="N11" s="20" t="n">
        <f aca="false">IFERROR(REVENUE!N9*ASSUMPTIONS!$B$18,0)</f>
        <v>1250</v>
      </c>
      <c r="O11" s="20" t="n">
        <f aca="false">IFERROR(REVENUE!O9*ASSUMPTIONS!$B$18,0)</f>
        <v>1380</v>
      </c>
      <c r="P11" s="20" t="n">
        <f aca="false">IFERROR(REVENUE!P9*ASSUMPTIONS!$B$18,0)</f>
        <v>1520</v>
      </c>
      <c r="Q11" s="20" t="n">
        <f aca="false">IFERROR(REVENUE!Q9*ASSUMPTIONS!$B$18,0)</f>
        <v>1670</v>
      </c>
      <c r="R11" s="20" t="n">
        <f aca="false">IFERROR(REVENUE!R9*ASSUMPTIONS!$B$18,0)</f>
        <v>1830</v>
      </c>
      <c r="S11" s="20" t="n">
        <f aca="false">IFERROR(REVENUE!S9*ASSUMPTIONS!$B$18,0)</f>
        <v>2005</v>
      </c>
    </row>
    <row r="12" customFormat="false" ht="15" hidden="false" customHeight="false" outlineLevel="0" collapsed="false">
      <c r="A12" s="12" t="s">
        <v>120</v>
      </c>
      <c r="B12" s="20" t="n">
        <f aca="false">IFERROR(B8*ASSUMPTIONS!$B$19,0)</f>
        <v>68.904</v>
      </c>
      <c r="C12" s="20" t="n">
        <f aca="false">IFERROR(C8*ASSUMPTIONS!$B$19,0)</f>
        <v>111.969</v>
      </c>
      <c r="D12" s="20" t="n">
        <f aca="false">IFERROR(D8*ASSUMPTIONS!$B$19,0)</f>
        <v>155.034</v>
      </c>
      <c r="E12" s="20" t="n">
        <f aca="false">IFERROR(E8*ASSUMPTIONS!$B$19,0)</f>
        <v>198.099</v>
      </c>
      <c r="F12" s="20" t="n">
        <f aca="false">IFERROR(F8*ASSUMPTIONS!$B$19,0)</f>
        <v>244.035</v>
      </c>
      <c r="G12" s="20" t="n">
        <f aca="false">IFERROR(G8*ASSUMPTIONS!$B$19,0)</f>
        <v>292.842</v>
      </c>
      <c r="H12" s="20" t="n">
        <f aca="false">IFERROR(H8*ASSUMPTIONS!$B$19,0)</f>
        <v>344.52</v>
      </c>
      <c r="I12" s="20" t="n">
        <f aca="false">IFERROR(I8*ASSUMPTIONS!$B$19,0)</f>
        <v>399.069</v>
      </c>
      <c r="J12" s="20" t="n">
        <f aca="false">IFERROR(J8*ASSUMPTIONS!$B$19,0)</f>
        <v>456.489</v>
      </c>
      <c r="K12" s="20" t="n">
        <f aca="false">IFERROR(K8*ASSUMPTIONS!$B$19,0)</f>
        <v>516.78</v>
      </c>
      <c r="L12" s="20" t="n">
        <f aca="false">IFERROR(L8*ASSUMPTIONS!$B$19,0)</f>
        <v>579.942</v>
      </c>
      <c r="M12" s="20" t="n">
        <f aca="false">IFERROR(M8*ASSUMPTIONS!$B$19,0)</f>
        <v>645.975</v>
      </c>
      <c r="N12" s="20" t="n">
        <f aca="false">IFERROR(N8*ASSUMPTIONS!$B$19,0)</f>
        <v>4013.658</v>
      </c>
      <c r="O12" s="20" t="n">
        <f aca="false">IFERROR(O8*ASSUMPTIONS!$B$19,0)</f>
        <v>792.396</v>
      </c>
      <c r="P12" s="20" t="n">
        <f aca="false">IFERROR(P8*ASSUMPTIONS!$B$19,0)</f>
        <v>872.784</v>
      </c>
      <c r="Q12" s="20" t="n">
        <f aca="false">IFERROR(Q8*ASSUMPTIONS!$B$19,0)</f>
        <v>958.914</v>
      </c>
      <c r="R12" s="20" t="n">
        <f aca="false">IFERROR(R8*ASSUMPTIONS!$B$19,0)</f>
        <v>1050.786</v>
      </c>
      <c r="S12" s="20" t="n">
        <f aca="false">IFERROR(S8*ASSUMPTIONS!$B$19,0)</f>
        <v>1151.271</v>
      </c>
    </row>
    <row r="13" customFormat="false" ht="15" hidden="false" customHeight="false" outlineLevel="0" collapsed="false">
      <c r="A13" s="10" t="s">
        <v>121</v>
      </c>
      <c r="B13" s="20" t="n">
        <f aca="false">IFERROR(REVENUE!B9*ASSUMPTIONS!$B$20,0)</f>
        <v>72</v>
      </c>
      <c r="C13" s="20" t="n">
        <f aca="false">IFERROR(REVENUE!C9*ASSUMPTIONS!$B$20,0)</f>
        <v>117</v>
      </c>
      <c r="D13" s="20" t="n">
        <f aca="false">IFERROR(REVENUE!D9*ASSUMPTIONS!$B$20,0)</f>
        <v>162</v>
      </c>
      <c r="E13" s="20" t="n">
        <f aca="false">IFERROR(REVENUE!E9*ASSUMPTIONS!$B$20,0)</f>
        <v>207</v>
      </c>
      <c r="F13" s="20" t="n">
        <f aca="false">IFERROR(REVENUE!F9*ASSUMPTIONS!$B$20,0)</f>
        <v>255</v>
      </c>
      <c r="G13" s="20" t="n">
        <f aca="false">IFERROR(REVENUE!G9*ASSUMPTIONS!$B$20,0)</f>
        <v>306</v>
      </c>
      <c r="H13" s="20" t="n">
        <f aca="false">IFERROR(REVENUE!H9*ASSUMPTIONS!$B$20,0)</f>
        <v>360</v>
      </c>
      <c r="I13" s="20" t="n">
        <f aca="false">IFERROR(REVENUE!I9*ASSUMPTIONS!$B$20,0)</f>
        <v>417</v>
      </c>
      <c r="J13" s="20" t="n">
        <f aca="false">IFERROR(REVENUE!J9*ASSUMPTIONS!$B$20,0)</f>
        <v>477</v>
      </c>
      <c r="K13" s="20" t="n">
        <f aca="false">IFERROR(REVENUE!K9*ASSUMPTIONS!$B$20,0)</f>
        <v>540</v>
      </c>
      <c r="L13" s="20" t="n">
        <f aca="false">IFERROR(REVENUE!L9*ASSUMPTIONS!$B$20,0)</f>
        <v>606</v>
      </c>
      <c r="M13" s="20" t="n">
        <f aca="false">IFERROR(REVENUE!M9*ASSUMPTIONS!$B$20,0)</f>
        <v>675</v>
      </c>
      <c r="N13" s="20" t="n">
        <f aca="false">IFERROR(REVENUE!N9*ASSUMPTIONS!$B$20,0)</f>
        <v>750</v>
      </c>
      <c r="O13" s="20" t="n">
        <f aca="false">IFERROR(REVENUE!O9*ASSUMPTIONS!$B$20,0)</f>
        <v>828</v>
      </c>
      <c r="P13" s="20" t="n">
        <f aca="false">IFERROR(REVENUE!P9*ASSUMPTIONS!$B$20,0)</f>
        <v>912</v>
      </c>
      <c r="Q13" s="20" t="n">
        <f aca="false">IFERROR(REVENUE!Q9*ASSUMPTIONS!$B$20,0)</f>
        <v>1002</v>
      </c>
      <c r="R13" s="20" t="n">
        <f aca="false">IFERROR(REVENUE!R9*ASSUMPTIONS!$B$20,0)</f>
        <v>1098</v>
      </c>
      <c r="S13" s="20" t="n">
        <f aca="false">IFERROR(REVENUE!S9*ASSUMPTIONS!$B$20,0)</f>
        <v>1203</v>
      </c>
    </row>
    <row r="14" customFormat="false" ht="15" hidden="false" customHeight="false" outlineLevel="0" collapsed="false">
      <c r="A14" s="23" t="s">
        <v>122</v>
      </c>
      <c r="B14" s="29" t="n">
        <f aca="false">SUM(B11:B13)</f>
        <v>260.904</v>
      </c>
      <c r="C14" s="29" t="n">
        <f aca="false">SUM(C11:C13)</f>
        <v>423.969</v>
      </c>
      <c r="D14" s="29" t="n">
        <f aca="false">SUM(D11:D13)</f>
        <v>587.034</v>
      </c>
      <c r="E14" s="29" t="n">
        <f aca="false">SUM(E11:E13)</f>
        <v>750.099</v>
      </c>
      <c r="F14" s="29" t="n">
        <f aca="false">SUM(F11:F13)</f>
        <v>924.035</v>
      </c>
      <c r="G14" s="29" t="n">
        <f aca="false">SUM(G11:G13)</f>
        <v>1108.842</v>
      </c>
      <c r="H14" s="29" t="n">
        <f aca="false">SUM(H11:H13)</f>
        <v>1304.52</v>
      </c>
      <c r="I14" s="29" t="n">
        <f aca="false">SUM(I11:I13)</f>
        <v>1511.069</v>
      </c>
      <c r="J14" s="29" t="n">
        <f aca="false">SUM(J11:J13)</f>
        <v>1728.489</v>
      </c>
      <c r="K14" s="29" t="n">
        <f aca="false">SUM(K11:K13)</f>
        <v>1956.78</v>
      </c>
      <c r="L14" s="29" t="n">
        <f aca="false">SUM(L11:L13)</f>
        <v>2195.942</v>
      </c>
      <c r="M14" s="29" t="n">
        <f aca="false">SUM(M11:M13)</f>
        <v>2445.975</v>
      </c>
      <c r="N14" s="29" t="n">
        <f aca="false">SUM(N11:N13)</f>
        <v>6013.658</v>
      </c>
      <c r="O14" s="29" t="n">
        <f aca="false">SUM(O11:O13)</f>
        <v>3000.396</v>
      </c>
      <c r="P14" s="29" t="n">
        <f aca="false">SUM(P11:P13)</f>
        <v>3304.784</v>
      </c>
      <c r="Q14" s="29" t="n">
        <f aca="false">SUM(Q11:Q13)</f>
        <v>3630.914</v>
      </c>
      <c r="R14" s="29" t="n">
        <f aca="false">SUM(R11:R13)</f>
        <v>3978.786</v>
      </c>
      <c r="S14" s="29" t="n">
        <f aca="false">SUM(S11:S13)</f>
        <v>4359.271</v>
      </c>
      <c r="T14" s="25"/>
      <c r="U14" s="25"/>
      <c r="V14" s="25"/>
      <c r="W14" s="25"/>
    </row>
    <row r="15" customFormat="false" ht="15" hidden="false" customHeight="false" outlineLevel="0" collapsed="false">
      <c r="A15" s="30" t="s">
        <v>123</v>
      </c>
      <c r="B15" s="31" t="n">
        <f aca="false">B8-B14</f>
        <v>2115.096</v>
      </c>
      <c r="C15" s="31" t="n">
        <f aca="false">C8-C14</f>
        <v>3437.031</v>
      </c>
      <c r="D15" s="31" t="n">
        <f aca="false">D8-D14</f>
        <v>4758.966</v>
      </c>
      <c r="E15" s="31" t="n">
        <f aca="false">E8-E14</f>
        <v>6080.901</v>
      </c>
      <c r="F15" s="31" t="n">
        <f aca="false">F8-F14</f>
        <v>7490.965</v>
      </c>
      <c r="G15" s="31" t="n">
        <f aca="false">G8-G14</f>
        <v>8989.158</v>
      </c>
      <c r="H15" s="31" t="n">
        <f aca="false">H8-H14</f>
        <v>10575.48</v>
      </c>
      <c r="I15" s="31" t="n">
        <f aca="false">I8-I14</f>
        <v>12249.931</v>
      </c>
      <c r="J15" s="31" t="n">
        <f aca="false">J8-J14</f>
        <v>14012.511</v>
      </c>
      <c r="K15" s="31" t="n">
        <f aca="false">K8-K14</f>
        <v>15863.22</v>
      </c>
      <c r="L15" s="31" t="n">
        <f aca="false">L8-L14</f>
        <v>17802.058</v>
      </c>
      <c r="M15" s="31" t="n">
        <f aca="false">M8-M14</f>
        <v>19829.025</v>
      </c>
      <c r="N15" s="31" t="n">
        <f aca="false">N8-N14</f>
        <v>132388.342</v>
      </c>
      <c r="O15" s="31" t="n">
        <f aca="false">O8-O14</f>
        <v>24323.604</v>
      </c>
      <c r="P15" s="31" t="n">
        <f aca="false">P8-P14</f>
        <v>26791.216</v>
      </c>
      <c r="Q15" s="31" t="n">
        <f aca="false">Q8-Q14</f>
        <v>29435.086</v>
      </c>
      <c r="R15" s="31" t="n">
        <f aca="false">R8-R14</f>
        <v>32255.214</v>
      </c>
      <c r="S15" s="31" t="n">
        <f aca="false">S8-S14</f>
        <v>35339.729</v>
      </c>
    </row>
    <row r="16" customFormat="false" ht="15" hidden="false" customHeight="false" outlineLevel="0" collapsed="false">
      <c r="A16" s="12" t="s">
        <v>124</v>
      </c>
      <c r="B16" s="26" t="n">
        <f aca="false">IFERROR(B15/B8,0)</f>
        <v>0.890191919191919</v>
      </c>
      <c r="C16" s="26" t="n">
        <f aca="false">IFERROR(C15/C8,0)</f>
        <v>0.890191919191919</v>
      </c>
      <c r="D16" s="26" t="n">
        <f aca="false">IFERROR(D15/D8,0)</f>
        <v>0.890191919191919</v>
      </c>
      <c r="E16" s="26" t="n">
        <f aca="false">IFERROR(E15/E8,0)</f>
        <v>0.890191919191919</v>
      </c>
      <c r="F16" s="26" t="n">
        <f aca="false">IFERROR(F15/F8,0)</f>
        <v>0.890191919191919</v>
      </c>
      <c r="G16" s="26" t="n">
        <f aca="false">IFERROR(G15/G8,0)</f>
        <v>0.890191919191919</v>
      </c>
      <c r="H16" s="26" t="n">
        <f aca="false">IFERROR(H15/H8,0)</f>
        <v>0.890191919191919</v>
      </c>
      <c r="I16" s="26" t="n">
        <f aca="false">IFERROR(I15/I8,0)</f>
        <v>0.890191919191919</v>
      </c>
      <c r="J16" s="26" t="n">
        <f aca="false">IFERROR(J15/J8,0)</f>
        <v>0.890191919191919</v>
      </c>
      <c r="K16" s="26" t="n">
        <f aca="false">IFERROR(K15/K8,0)</f>
        <v>0.890191919191919</v>
      </c>
      <c r="L16" s="26" t="n">
        <f aca="false">IFERROR(L15/L8,0)</f>
        <v>0.890191919191919</v>
      </c>
      <c r="M16" s="26" t="n">
        <f aca="false">IFERROR(M15/M8,0)</f>
        <v>0.890191919191919</v>
      </c>
      <c r="N16" s="26" t="n">
        <f aca="false">IFERROR(N15/N8,0)</f>
        <v>0.956549341772518</v>
      </c>
      <c r="O16" s="26" t="n">
        <f aca="false">IFERROR(O15/O8,0)</f>
        <v>0.890191919191919</v>
      </c>
      <c r="P16" s="26" t="n">
        <f aca="false">IFERROR(P15/P8,0)</f>
        <v>0.890191919191919</v>
      </c>
      <c r="Q16" s="26" t="n">
        <f aca="false">IFERROR(Q15/Q8,0)</f>
        <v>0.890191919191919</v>
      </c>
      <c r="R16" s="26" t="n">
        <f aca="false">IFERROR(R15/R8,0)</f>
        <v>0.890191919191919</v>
      </c>
      <c r="S16" s="26" t="n">
        <f aca="false">IFERROR(S15/S8,0)</f>
        <v>0.890191919191919</v>
      </c>
    </row>
    <row r="18" customFormat="false" ht="15" hidden="false" customHeight="false" outlineLevel="0" collapsed="false">
      <c r="A18" s="9" t="s">
        <v>125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customFormat="false" ht="15" hidden="false" customHeight="false" outlineLevel="0" collapsed="false">
      <c r="A19" s="10" t="s">
        <v>126</v>
      </c>
      <c r="B19" s="22" t="n">
        <f aca="false">IFERROR(HEADCOUNT!B16,0)</f>
        <v>12500</v>
      </c>
      <c r="C19" s="22" t="n">
        <f aca="false">IFERROR(HEADCOUNT!C16,0)</f>
        <v>12500</v>
      </c>
      <c r="D19" s="22" t="n">
        <f aca="false">IFERROR(HEADCOUNT!D16,0)</f>
        <v>22395.8333333333</v>
      </c>
      <c r="E19" s="22" t="n">
        <f aca="false">IFERROR(HEADCOUNT!E16,0)</f>
        <v>30208.3333333333</v>
      </c>
      <c r="F19" s="22" t="n">
        <f aca="false">IFERROR(HEADCOUNT!F16,0)</f>
        <v>30208.3333333333</v>
      </c>
      <c r="G19" s="22" t="n">
        <f aca="false">IFERROR(HEADCOUNT!G16,0)</f>
        <v>47395.8333333333</v>
      </c>
      <c r="H19" s="22" t="n">
        <f aca="false">IFERROR(HEADCOUNT!H16,0)</f>
        <v>47395.8333333333</v>
      </c>
      <c r="I19" s="22" t="n">
        <f aca="false">IFERROR(HEADCOUNT!I16,0)</f>
        <v>47395.8333333333</v>
      </c>
      <c r="J19" s="22" t="n">
        <f aca="false">IFERROR(HEADCOUNT!J16,0)</f>
        <v>47395.8333333333</v>
      </c>
      <c r="K19" s="22" t="n">
        <f aca="false">IFERROR(HEADCOUNT!K16,0)</f>
        <v>47395.8333333333</v>
      </c>
      <c r="L19" s="22" t="n">
        <f aca="false">IFERROR(HEADCOUNT!L16,0)</f>
        <v>47395.8333333333</v>
      </c>
      <c r="M19" s="22" t="n">
        <f aca="false">IFERROR(HEADCOUNT!M16,0)</f>
        <v>47395.8333333333</v>
      </c>
      <c r="N19" s="22" t="n">
        <f aca="false">IFERROR(HEADCOUNT!N16,0)</f>
        <v>47395.8333333333</v>
      </c>
      <c r="O19" s="22" t="n">
        <f aca="false">IFERROR(HEADCOUNT!O16,0)</f>
        <v>47395.8333333333</v>
      </c>
      <c r="P19" s="22" t="n">
        <f aca="false">IFERROR(HEADCOUNT!P16,0)</f>
        <v>47395.8333333333</v>
      </c>
      <c r="Q19" s="22" t="n">
        <f aca="false">IFERROR(HEADCOUNT!Q16,0)</f>
        <v>47395.8333333333</v>
      </c>
      <c r="R19" s="22" t="n">
        <f aca="false">IFERROR(HEADCOUNT!R16,0)</f>
        <v>47395.8333333333</v>
      </c>
      <c r="S19" s="22" t="n">
        <f aca="false">IFERROR(HEADCOUNT!S16,0)</f>
        <v>47395.8333333333</v>
      </c>
    </row>
    <row r="20" customFormat="false" ht="15" hidden="false" customHeight="false" outlineLevel="0" collapsed="false">
      <c r="A20" s="12" t="s">
        <v>127</v>
      </c>
      <c r="B20" s="20" t="n">
        <f aca="false">IFERROR(ASSUMPTIONS!$B$36,0)</f>
        <v>2000</v>
      </c>
      <c r="C20" s="20" t="n">
        <f aca="false">IFERROR(ROUND(B20*(1+ASSUMPTIONS!$B$37),0),0)</f>
        <v>2100</v>
      </c>
      <c r="D20" s="20" t="n">
        <f aca="false">IFERROR(ROUND(C20*(1+ASSUMPTIONS!$B$37),0),0)</f>
        <v>2205</v>
      </c>
      <c r="E20" s="20" t="n">
        <f aca="false">IFERROR(ROUND(D20*(1+ASSUMPTIONS!$B$37),0),0)</f>
        <v>2315</v>
      </c>
      <c r="F20" s="20" t="n">
        <f aca="false">IFERROR(ROUND(E20*(1+ASSUMPTIONS!$B$37),0),0)</f>
        <v>2431</v>
      </c>
      <c r="G20" s="20" t="n">
        <f aca="false">IFERROR(ROUND(F20*(1+ASSUMPTIONS!$B$37),0),0)</f>
        <v>2553</v>
      </c>
      <c r="H20" s="20" t="n">
        <f aca="false">IFERROR(ROUND(G20*(1+ASSUMPTIONS!$B$37),0),0)</f>
        <v>2681</v>
      </c>
      <c r="I20" s="20" t="n">
        <f aca="false">IFERROR(ROUND(H20*(1+ASSUMPTIONS!$B$37),0),0)</f>
        <v>2815</v>
      </c>
      <c r="J20" s="20" t="n">
        <f aca="false">IFERROR(ROUND(I20*(1+ASSUMPTIONS!$B$37),0),0)</f>
        <v>2956</v>
      </c>
      <c r="K20" s="20" t="n">
        <f aca="false">IFERROR(ROUND(J20*(1+ASSUMPTIONS!$B$37),0),0)</f>
        <v>3104</v>
      </c>
      <c r="L20" s="20" t="n">
        <f aca="false">IFERROR(ROUND(K20*(1+ASSUMPTIONS!$B$37),0),0)</f>
        <v>3259</v>
      </c>
      <c r="M20" s="20" t="n">
        <f aca="false">IFERROR(ROUND(L20*(1+ASSUMPTIONS!$B$37),0),0)</f>
        <v>3422</v>
      </c>
      <c r="N20" s="20" t="n">
        <f aca="false">IFERROR(ROUND(M20*(1+ASSUMPTIONS!$B$37),0),0)</f>
        <v>3593</v>
      </c>
      <c r="O20" s="20" t="n">
        <f aca="false">IFERROR(ROUND(N20*(1+ASSUMPTIONS!$B$37),0),0)</f>
        <v>3773</v>
      </c>
      <c r="P20" s="20" t="n">
        <f aca="false">IFERROR(ROUND(O20*(1+ASSUMPTIONS!$B$37),0),0)</f>
        <v>3962</v>
      </c>
      <c r="Q20" s="20" t="n">
        <f aca="false">IFERROR(ROUND(P20*(1+ASSUMPTIONS!$B$37),0),0)</f>
        <v>4160</v>
      </c>
      <c r="R20" s="20" t="n">
        <f aca="false">IFERROR(ROUND(Q20*(1+ASSUMPTIONS!$B$37),0),0)</f>
        <v>4368</v>
      </c>
      <c r="S20" s="20" t="n">
        <f aca="false">IFERROR(ROUND(R20*(1+ASSUMPTIONS!$B$37),0),0)</f>
        <v>4586</v>
      </c>
    </row>
    <row r="21" customFormat="false" ht="15" hidden="false" customHeight="false" outlineLevel="0" collapsed="false">
      <c r="A21" s="10" t="s">
        <v>128</v>
      </c>
      <c r="B21" s="20" t="n">
        <f aca="false">IFERROR(ASSUMPTIONS!$B$38,0)</f>
        <v>800</v>
      </c>
      <c r="C21" s="20" t="n">
        <f aca="false">IFERROR(ASSUMPTIONS!$B$38,0)</f>
        <v>800</v>
      </c>
      <c r="D21" s="20" t="n">
        <f aca="false">IFERROR(ASSUMPTIONS!$B$38,0)</f>
        <v>800</v>
      </c>
      <c r="E21" s="20" t="n">
        <f aca="false">IFERROR(ASSUMPTIONS!$B$38,0)</f>
        <v>800</v>
      </c>
      <c r="F21" s="20" t="n">
        <f aca="false">IFERROR(ASSUMPTIONS!$B$38,0)</f>
        <v>800</v>
      </c>
      <c r="G21" s="20" t="n">
        <f aca="false">IFERROR(ASSUMPTIONS!$B$38,0)</f>
        <v>800</v>
      </c>
      <c r="H21" s="20" t="n">
        <f aca="false">IFERROR(ASSUMPTIONS!$B$38,0)</f>
        <v>800</v>
      </c>
      <c r="I21" s="20" t="n">
        <f aca="false">IFERROR(ASSUMPTIONS!$B$38,0)</f>
        <v>800</v>
      </c>
      <c r="J21" s="20" t="n">
        <f aca="false">IFERROR(ASSUMPTIONS!$B$38,0)</f>
        <v>800</v>
      </c>
      <c r="K21" s="20" t="n">
        <f aca="false">IFERROR(ASSUMPTIONS!$B$38,0)</f>
        <v>800</v>
      </c>
      <c r="L21" s="20" t="n">
        <f aca="false">IFERROR(ASSUMPTIONS!$B$38,0)</f>
        <v>800</v>
      </c>
      <c r="M21" s="20" t="n">
        <f aca="false">IFERROR(ASSUMPTIONS!$B$38,0)</f>
        <v>800</v>
      </c>
      <c r="N21" s="20" t="n">
        <f aca="false">IFERROR(ASSUMPTIONS!$B$38,0)</f>
        <v>800</v>
      </c>
      <c r="O21" s="20" t="n">
        <f aca="false">IFERROR(ASSUMPTIONS!$B$38,0)</f>
        <v>800</v>
      </c>
      <c r="P21" s="20" t="n">
        <f aca="false">IFERROR(ASSUMPTIONS!$B$38,0)</f>
        <v>800</v>
      </c>
      <c r="Q21" s="20" t="n">
        <f aca="false">IFERROR(ASSUMPTIONS!$B$38,0)</f>
        <v>800</v>
      </c>
      <c r="R21" s="20" t="n">
        <f aca="false">IFERROR(ASSUMPTIONS!$B$38,0)</f>
        <v>800</v>
      </c>
      <c r="S21" s="20" t="n">
        <f aca="false">IFERROR(ASSUMPTIONS!$B$38,0)</f>
        <v>800</v>
      </c>
    </row>
    <row r="22" customFormat="false" ht="15" hidden="false" customHeight="false" outlineLevel="0" collapsed="false">
      <c r="A22" s="12" t="s">
        <v>129</v>
      </c>
      <c r="B22" s="20" t="n">
        <f aca="false">IFERROR(ASSUMPTIONS!$B$39,0)</f>
        <v>0</v>
      </c>
      <c r="C22" s="20" t="n">
        <f aca="false">IFERROR(ASSUMPTIONS!$B$39,0)</f>
        <v>0</v>
      </c>
      <c r="D22" s="20" t="n">
        <f aca="false">IFERROR(ASSUMPTIONS!$B$39,0)</f>
        <v>0</v>
      </c>
      <c r="E22" s="20" t="n">
        <f aca="false">IFERROR(ASSUMPTIONS!$B$39,0)</f>
        <v>0</v>
      </c>
      <c r="F22" s="20" t="n">
        <f aca="false">IFERROR(ASSUMPTIONS!$B$39,0)</f>
        <v>0</v>
      </c>
      <c r="G22" s="20" t="n">
        <f aca="false">IFERROR(ASSUMPTIONS!$B$39,0)</f>
        <v>0</v>
      </c>
      <c r="H22" s="20" t="n">
        <f aca="false">IFERROR(ASSUMPTIONS!$B$39,0)</f>
        <v>0</v>
      </c>
      <c r="I22" s="20" t="n">
        <f aca="false">IFERROR(ASSUMPTIONS!$B$39,0)</f>
        <v>0</v>
      </c>
      <c r="J22" s="20" t="n">
        <f aca="false">IFERROR(ASSUMPTIONS!$B$39,0)</f>
        <v>0</v>
      </c>
      <c r="K22" s="20" t="n">
        <f aca="false">IFERROR(ASSUMPTIONS!$B$39,0)</f>
        <v>0</v>
      </c>
      <c r="L22" s="20" t="n">
        <f aca="false">IFERROR(ASSUMPTIONS!$B$39,0)</f>
        <v>0</v>
      </c>
      <c r="M22" s="20" t="n">
        <f aca="false">IFERROR(ASSUMPTIONS!$B$39,0)</f>
        <v>0</v>
      </c>
      <c r="N22" s="20" t="n">
        <f aca="false">IFERROR(ASSUMPTIONS!$B$39,0)</f>
        <v>0</v>
      </c>
      <c r="O22" s="20" t="n">
        <f aca="false">IFERROR(ASSUMPTIONS!$B$39,0)</f>
        <v>0</v>
      </c>
      <c r="P22" s="20" t="n">
        <f aca="false">IFERROR(ASSUMPTIONS!$B$39,0)</f>
        <v>0</v>
      </c>
      <c r="Q22" s="20" t="n">
        <f aca="false">IFERROR(ASSUMPTIONS!$B$39,0)</f>
        <v>0</v>
      </c>
      <c r="R22" s="20" t="n">
        <f aca="false">IFERROR(ASSUMPTIONS!$B$39,0)</f>
        <v>0</v>
      </c>
      <c r="S22" s="20" t="n">
        <f aca="false">IFERROR(ASSUMPTIONS!$B$39,0)</f>
        <v>0</v>
      </c>
    </row>
    <row r="23" customFormat="false" ht="15" hidden="false" customHeight="false" outlineLevel="0" collapsed="false">
      <c r="A23" s="10" t="s">
        <v>130</v>
      </c>
      <c r="B23" s="20" t="n">
        <f aca="false">IFERROR(ASSUMPTIONS!$B$40,0)</f>
        <v>500</v>
      </c>
      <c r="C23" s="20" t="n">
        <f aca="false">IFERROR(ASSUMPTIONS!$B$40,0)</f>
        <v>500</v>
      </c>
      <c r="D23" s="20" t="n">
        <f aca="false">IFERROR(ASSUMPTIONS!$B$40,0)</f>
        <v>500</v>
      </c>
      <c r="E23" s="20" t="n">
        <f aca="false">IFERROR(ASSUMPTIONS!$B$40,0)</f>
        <v>500</v>
      </c>
      <c r="F23" s="20" t="n">
        <f aca="false">IFERROR(ASSUMPTIONS!$B$40,0)</f>
        <v>500</v>
      </c>
      <c r="G23" s="20" t="n">
        <f aca="false">IFERROR(ASSUMPTIONS!$B$40,0)</f>
        <v>500</v>
      </c>
      <c r="H23" s="20" t="n">
        <f aca="false">IFERROR(ASSUMPTIONS!$B$40,0)</f>
        <v>500</v>
      </c>
      <c r="I23" s="20" t="n">
        <f aca="false">IFERROR(ASSUMPTIONS!$B$40,0)</f>
        <v>500</v>
      </c>
      <c r="J23" s="20" t="n">
        <f aca="false">IFERROR(ASSUMPTIONS!$B$40,0)</f>
        <v>500</v>
      </c>
      <c r="K23" s="20" t="n">
        <f aca="false">IFERROR(ASSUMPTIONS!$B$40,0)</f>
        <v>500</v>
      </c>
      <c r="L23" s="20" t="n">
        <f aca="false">IFERROR(ASSUMPTIONS!$B$40,0)</f>
        <v>500</v>
      </c>
      <c r="M23" s="20" t="n">
        <f aca="false">IFERROR(ASSUMPTIONS!$B$40,0)</f>
        <v>500</v>
      </c>
      <c r="N23" s="20" t="n">
        <f aca="false">IFERROR(ASSUMPTIONS!$B$40,0)</f>
        <v>500</v>
      </c>
      <c r="O23" s="20" t="n">
        <f aca="false">IFERROR(ASSUMPTIONS!$B$40,0)</f>
        <v>500</v>
      </c>
      <c r="P23" s="20" t="n">
        <f aca="false">IFERROR(ASSUMPTIONS!$B$40,0)</f>
        <v>500</v>
      </c>
      <c r="Q23" s="20" t="n">
        <f aca="false">IFERROR(ASSUMPTIONS!$B$40,0)</f>
        <v>500</v>
      </c>
      <c r="R23" s="20" t="n">
        <f aca="false">IFERROR(ASSUMPTIONS!$B$40,0)</f>
        <v>500</v>
      </c>
      <c r="S23" s="20" t="n">
        <f aca="false">IFERROR(ASSUMPTIONS!$B$40,0)</f>
        <v>500</v>
      </c>
    </row>
    <row r="24" customFormat="false" ht="15" hidden="false" customHeight="false" outlineLevel="0" collapsed="false">
      <c r="A24" s="12" t="s">
        <v>131</v>
      </c>
      <c r="B24" s="20" t="n">
        <f aca="false">IFERROR(ASSUMPTIONS!$B$41,0)</f>
        <v>300</v>
      </c>
      <c r="C24" s="20" t="n">
        <f aca="false">IFERROR(ASSUMPTIONS!$B$41,0)</f>
        <v>300</v>
      </c>
      <c r="D24" s="20" t="n">
        <f aca="false">IFERROR(ASSUMPTIONS!$B$41,0)</f>
        <v>300</v>
      </c>
      <c r="E24" s="20" t="n">
        <f aca="false">IFERROR(ASSUMPTIONS!$B$41,0)</f>
        <v>300</v>
      </c>
      <c r="F24" s="20" t="n">
        <f aca="false">IFERROR(ASSUMPTIONS!$B$41,0)</f>
        <v>300</v>
      </c>
      <c r="G24" s="20" t="n">
        <f aca="false">IFERROR(ASSUMPTIONS!$B$41,0)</f>
        <v>300</v>
      </c>
      <c r="H24" s="20" t="n">
        <f aca="false">IFERROR(ASSUMPTIONS!$B$41,0)</f>
        <v>300</v>
      </c>
      <c r="I24" s="20" t="n">
        <f aca="false">IFERROR(ASSUMPTIONS!$B$41,0)</f>
        <v>300</v>
      </c>
      <c r="J24" s="20" t="n">
        <f aca="false">IFERROR(ASSUMPTIONS!$B$41,0)</f>
        <v>300</v>
      </c>
      <c r="K24" s="20" t="n">
        <f aca="false">IFERROR(ASSUMPTIONS!$B$41,0)</f>
        <v>300</v>
      </c>
      <c r="L24" s="20" t="n">
        <f aca="false">IFERROR(ASSUMPTIONS!$B$41,0)</f>
        <v>300</v>
      </c>
      <c r="M24" s="20" t="n">
        <f aca="false">IFERROR(ASSUMPTIONS!$B$41,0)</f>
        <v>300</v>
      </c>
      <c r="N24" s="20" t="n">
        <f aca="false">IFERROR(ASSUMPTIONS!$B$41,0)</f>
        <v>300</v>
      </c>
      <c r="O24" s="20" t="n">
        <f aca="false">IFERROR(ASSUMPTIONS!$B$41,0)</f>
        <v>300</v>
      </c>
      <c r="P24" s="20" t="n">
        <f aca="false">IFERROR(ASSUMPTIONS!$B$41,0)</f>
        <v>300</v>
      </c>
      <c r="Q24" s="20" t="n">
        <f aca="false">IFERROR(ASSUMPTIONS!$B$41,0)</f>
        <v>300</v>
      </c>
      <c r="R24" s="20" t="n">
        <f aca="false">IFERROR(ASSUMPTIONS!$B$41,0)</f>
        <v>300</v>
      </c>
      <c r="S24" s="20" t="n">
        <f aca="false">IFERROR(ASSUMPTIONS!$B$41,0)</f>
        <v>300</v>
      </c>
    </row>
    <row r="25" customFormat="false" ht="15" hidden="false" customHeight="false" outlineLevel="0" collapsed="false">
      <c r="A25" s="23" t="s">
        <v>132</v>
      </c>
      <c r="B25" s="29" t="n">
        <f aca="false">SUM(B19:B24)</f>
        <v>16100</v>
      </c>
      <c r="C25" s="29" t="n">
        <f aca="false">SUM(C19:C24)</f>
        <v>16200</v>
      </c>
      <c r="D25" s="29" t="n">
        <f aca="false">SUM(D19:D24)</f>
        <v>26200.8333333333</v>
      </c>
      <c r="E25" s="29" t="n">
        <f aca="false">SUM(E19:E24)</f>
        <v>34123.3333333333</v>
      </c>
      <c r="F25" s="29" t="n">
        <f aca="false">SUM(F19:F24)</f>
        <v>34239.3333333333</v>
      </c>
      <c r="G25" s="29" t="n">
        <f aca="false">SUM(G19:G24)</f>
        <v>51548.8333333333</v>
      </c>
      <c r="H25" s="29" t="n">
        <f aca="false">SUM(H19:H24)</f>
        <v>51676.8333333333</v>
      </c>
      <c r="I25" s="29" t="n">
        <f aca="false">SUM(I19:I24)</f>
        <v>51810.8333333333</v>
      </c>
      <c r="J25" s="29" t="n">
        <f aca="false">SUM(J19:J24)</f>
        <v>51951.8333333333</v>
      </c>
      <c r="K25" s="29" t="n">
        <f aca="false">SUM(K19:K24)</f>
        <v>52099.8333333333</v>
      </c>
      <c r="L25" s="29" t="n">
        <f aca="false">SUM(L19:L24)</f>
        <v>52254.8333333333</v>
      </c>
      <c r="M25" s="29" t="n">
        <f aca="false">SUM(M19:M24)</f>
        <v>52417.8333333333</v>
      </c>
      <c r="N25" s="29" t="n">
        <f aca="false">SUM(N19:N24)</f>
        <v>52588.8333333333</v>
      </c>
      <c r="O25" s="29" t="n">
        <f aca="false">SUM(O19:O24)</f>
        <v>52768.8333333333</v>
      </c>
      <c r="P25" s="29" t="n">
        <f aca="false">SUM(P19:P24)</f>
        <v>52957.8333333333</v>
      </c>
      <c r="Q25" s="29" t="n">
        <f aca="false">SUM(Q19:Q24)</f>
        <v>53155.8333333333</v>
      </c>
      <c r="R25" s="29" t="n">
        <f aca="false">SUM(R19:R24)</f>
        <v>53363.8333333333</v>
      </c>
      <c r="S25" s="29" t="n">
        <f aca="false">SUM(S19:S24)</f>
        <v>53581.8333333333</v>
      </c>
      <c r="T25" s="25"/>
      <c r="U25" s="25"/>
      <c r="V25" s="25"/>
      <c r="W25" s="25"/>
    </row>
    <row r="27" customFormat="false" ht="15" hidden="false" customHeight="false" outlineLevel="0" collapsed="false">
      <c r="A27" s="30" t="s">
        <v>133</v>
      </c>
      <c r="B27" s="31" t="n">
        <f aca="false">B15-B25</f>
        <v>-13984.904</v>
      </c>
      <c r="C27" s="31" t="n">
        <f aca="false">C15-C25</f>
        <v>-12762.969</v>
      </c>
      <c r="D27" s="31" t="n">
        <f aca="false">D15-D25</f>
        <v>-21441.8673333333</v>
      </c>
      <c r="E27" s="31" t="n">
        <f aca="false">E15-E25</f>
        <v>-28042.4323333333</v>
      </c>
      <c r="F27" s="31" t="n">
        <f aca="false">F15-F25</f>
        <v>-26748.3683333333</v>
      </c>
      <c r="G27" s="31" t="n">
        <f aca="false">G15-G25</f>
        <v>-42559.6753333333</v>
      </c>
      <c r="H27" s="31" t="n">
        <f aca="false">H15-H25</f>
        <v>-41101.3533333333</v>
      </c>
      <c r="I27" s="31" t="n">
        <f aca="false">I15-I25</f>
        <v>-39560.9023333333</v>
      </c>
      <c r="J27" s="31" t="n">
        <f aca="false">J15-J25</f>
        <v>-37939.3223333333</v>
      </c>
      <c r="K27" s="31" t="n">
        <f aca="false">K15-K25</f>
        <v>-36236.6133333333</v>
      </c>
      <c r="L27" s="31" t="n">
        <f aca="false">L15-L25</f>
        <v>-34452.7753333333</v>
      </c>
      <c r="M27" s="31" t="n">
        <f aca="false">M15-M25</f>
        <v>-32588.8083333333</v>
      </c>
      <c r="N27" s="31" t="n">
        <f aca="false">N15-N25</f>
        <v>79799.5086666667</v>
      </c>
      <c r="O27" s="31" t="n">
        <f aca="false">O15-O25</f>
        <v>-28445.2293333333</v>
      </c>
      <c r="P27" s="31" t="n">
        <f aca="false">P15-P25</f>
        <v>-26166.6173333333</v>
      </c>
      <c r="Q27" s="31" t="n">
        <f aca="false">Q15-Q25</f>
        <v>-23720.7473333333</v>
      </c>
      <c r="R27" s="31" t="n">
        <f aca="false">R15-R25</f>
        <v>-21108.6193333333</v>
      </c>
      <c r="S27" s="31" t="n">
        <f aca="false">S15-S25</f>
        <v>-18242.1043333333</v>
      </c>
    </row>
    <row r="28" customFormat="false" ht="15" hidden="false" customHeight="false" outlineLevel="0" collapsed="false">
      <c r="A28" s="12" t="s">
        <v>134</v>
      </c>
      <c r="B28" s="26" t="n">
        <f aca="false">IFERROR(B27/B8,0)</f>
        <v>-5.88590235690236</v>
      </c>
      <c r="C28" s="26" t="n">
        <f aca="false">IFERROR(C27/C8,0)</f>
        <v>-3.30561227661228</v>
      </c>
      <c r="D28" s="26" t="n">
        <f aca="false">IFERROR(D27/D8,0)</f>
        <v>-4.0108244170096</v>
      </c>
      <c r="E28" s="26" t="n">
        <f aca="false">IFERROR(E27/E8,0)</f>
        <v>-4.10517235153467</v>
      </c>
      <c r="F28" s="26" t="n">
        <f aca="false">IFERROR(F27/F8,0)</f>
        <v>-3.17865339671222</v>
      </c>
      <c r="G28" s="26" t="n">
        <f aca="false">IFERROR(G27/G8,0)</f>
        <v>-4.21466382782069</v>
      </c>
      <c r="H28" s="26" t="n">
        <f aca="false">IFERROR(H27/H8,0)</f>
        <v>-3.45970987654321</v>
      </c>
      <c r="I28" s="26" t="n">
        <f aca="false">IFERROR(I27/I8,0)</f>
        <v>-2.87485664801492</v>
      </c>
      <c r="J28" s="26" t="n">
        <f aca="false">IFERROR(J27/J8,0)</f>
        <v>-2.41022313279546</v>
      </c>
      <c r="K28" s="26" t="n">
        <f aca="false">IFERROR(K27/K8,0)</f>
        <v>-2.03347998503554</v>
      </c>
      <c r="L28" s="26" t="n">
        <f aca="false">IFERROR(L27/L8,0)</f>
        <v>-1.72281104777144</v>
      </c>
      <c r="M28" s="26" t="n">
        <f aca="false">IFERROR(M27/M8,0)</f>
        <v>-1.46302169846614</v>
      </c>
      <c r="N28" s="26" t="n">
        <f aca="false">IFERROR(N27/N8,0)</f>
        <v>0.576577713231504</v>
      </c>
      <c r="O28" s="26" t="n">
        <f aca="false">IFERROR(O27/O8,0)</f>
        <v>-1.04103459717952</v>
      </c>
      <c r="P28" s="26" t="n">
        <f aca="false">IFERROR(P27/P8,0)</f>
        <v>-0.869438374977849</v>
      </c>
      <c r="Q28" s="26" t="n">
        <f aca="false">IFERROR(Q27/Q8,0)</f>
        <v>-0.717375773705115</v>
      </c>
      <c r="R28" s="26" t="n">
        <f aca="false">IFERROR(R27/R8,0)</f>
        <v>-0.582563871869883</v>
      </c>
      <c r="S28" s="26" t="n">
        <f aca="false">IFERROR(S27/S8,0)</f>
        <v>-0.45951042427601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X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4" min="2" style="0" width="13"/>
  </cols>
  <sheetData>
    <row r="1" customFormat="false" ht="17.35" hidden="false" customHeight="false" outlineLevel="0" collapsed="false">
      <c r="A1" s="16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5" hidden="false" customHeight="false" outlineLevel="0" collapsed="false">
      <c r="A2" s="7" t="s">
        <v>136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4" customFormat="false" ht="15" hidden="false" customHeight="false" outlineLevel="0" collapsed="false">
      <c r="B4" s="17" t="s">
        <v>87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7" t="s">
        <v>88</v>
      </c>
      <c r="O4" s="1"/>
      <c r="P4" s="1"/>
      <c r="Q4" s="1"/>
      <c r="R4" s="1"/>
      <c r="S4" s="1"/>
      <c r="T4" s="18"/>
    </row>
    <row r="5" customFormat="false" ht="15" hidden="false" customHeight="false" outlineLevel="0" collapsed="false">
      <c r="B5" s="17" t="s">
        <v>89</v>
      </c>
      <c r="C5" s="17" t="s">
        <v>90</v>
      </c>
      <c r="D5" s="17" t="s">
        <v>91</v>
      </c>
      <c r="E5" s="17" t="s">
        <v>92</v>
      </c>
      <c r="F5" s="17" t="s">
        <v>93</v>
      </c>
      <c r="G5" s="17" t="s">
        <v>94</v>
      </c>
      <c r="H5" s="17" t="s">
        <v>95</v>
      </c>
      <c r="I5" s="17" t="s">
        <v>96</v>
      </c>
      <c r="J5" s="17" t="s">
        <v>97</v>
      </c>
      <c r="K5" s="17" t="s">
        <v>98</v>
      </c>
      <c r="L5" s="17" t="s">
        <v>99</v>
      </c>
      <c r="M5" s="17" t="s">
        <v>100</v>
      </c>
      <c r="N5" s="17" t="s">
        <v>89</v>
      </c>
      <c r="O5" s="17" t="s">
        <v>90</v>
      </c>
      <c r="P5" s="17" t="s">
        <v>91</v>
      </c>
      <c r="Q5" s="17" t="s">
        <v>92</v>
      </c>
      <c r="R5" s="17" t="s">
        <v>93</v>
      </c>
      <c r="S5" s="17" t="s">
        <v>94</v>
      </c>
      <c r="T5" s="19" t="s">
        <v>101</v>
      </c>
    </row>
    <row r="6" customFormat="false" ht="15" hidden="false" customHeight="false" outlineLevel="0" collapsed="false">
      <c r="A6" s="32" t="s">
        <v>137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customFormat="false" ht="15" hidden="false" customHeight="false" outlineLevel="0" collapsed="false">
      <c r="A7" s="10" t="s">
        <v>138</v>
      </c>
      <c r="B7" s="33" t="n">
        <f aca="false">ASSUMPTIONS!$B$44</f>
        <v>50000</v>
      </c>
      <c r="C7" s="33" t="n">
        <f aca="false">IFERROR(B18,0)</f>
        <v>36015.096</v>
      </c>
      <c r="D7" s="33" t="n">
        <f aca="false">IFERROR(C18,0)</f>
        <v>23252.127</v>
      </c>
      <c r="E7" s="33" t="n">
        <f aca="false">IFERROR(D18,0)</f>
        <v>251810.259666667</v>
      </c>
      <c r="F7" s="33" t="n">
        <f aca="false">IFERROR(E18,0)</f>
        <v>223767.827333333</v>
      </c>
      <c r="G7" s="33" t="n">
        <f aca="false">IFERROR(F18,0)</f>
        <v>197019.459</v>
      </c>
      <c r="H7" s="33" t="n">
        <f aca="false">IFERROR(G18,0)</f>
        <v>154459.783666667</v>
      </c>
      <c r="I7" s="33" t="n">
        <f aca="false">IFERROR(H18,0)</f>
        <v>113358.430333333</v>
      </c>
      <c r="J7" s="33" t="n">
        <f aca="false">IFERROR(I18,0)</f>
        <v>73797.528</v>
      </c>
      <c r="K7" s="33" t="n">
        <f aca="false">IFERROR(J18,0)</f>
        <v>35858.2056666667</v>
      </c>
      <c r="L7" s="33" t="n">
        <f aca="false">IFERROR(K18,0)</f>
        <v>-378.407666666681</v>
      </c>
      <c r="M7" s="33" t="n">
        <f aca="false">IFERROR(L18,0)</f>
        <v>-34831.183</v>
      </c>
      <c r="N7" s="33" t="n">
        <f aca="false">IFERROR(M18,0)</f>
        <v>-67419.9913333334</v>
      </c>
      <c r="O7" s="33" t="n">
        <f aca="false">IFERROR(N18,0)</f>
        <v>12379.5173333333</v>
      </c>
      <c r="P7" s="33" t="n">
        <f aca="false">IFERROR(O18,0)</f>
        <v>-16065.712</v>
      </c>
      <c r="Q7" s="33" t="n">
        <f aca="false">IFERROR(P18,0)</f>
        <v>-42232.3293333334</v>
      </c>
      <c r="R7" s="33" t="n">
        <f aca="false">IFERROR(Q18,0)</f>
        <v>-65953.0766666667</v>
      </c>
      <c r="S7" s="33" t="n">
        <f aca="false">IFERROR(R18,0)</f>
        <v>-87061.696</v>
      </c>
    </row>
    <row r="9" customFormat="false" ht="15" hidden="false" customHeight="false" outlineLevel="0" collapsed="false">
      <c r="A9" s="9" t="s">
        <v>139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customFormat="false" ht="15" hidden="false" customHeight="false" outlineLevel="0" collapsed="false">
      <c r="A10" s="10" t="s">
        <v>140</v>
      </c>
      <c r="B10" s="22" t="n">
        <f aca="false">IFERROR('P&amp;L'!B27,0)</f>
        <v>-13984.904</v>
      </c>
      <c r="C10" s="22" t="n">
        <f aca="false">IFERROR('P&amp;L'!C27,0)</f>
        <v>-12762.969</v>
      </c>
      <c r="D10" s="22" t="n">
        <f aca="false">IFERROR('P&amp;L'!D27,0)</f>
        <v>-21441.8673333333</v>
      </c>
      <c r="E10" s="22" t="n">
        <f aca="false">IFERROR('P&amp;L'!E27,0)</f>
        <v>-28042.4323333333</v>
      </c>
      <c r="F10" s="22" t="n">
        <f aca="false">IFERROR('P&amp;L'!F27,0)</f>
        <v>-26748.3683333333</v>
      </c>
      <c r="G10" s="22" t="n">
        <f aca="false">IFERROR('P&amp;L'!G27,0)</f>
        <v>-42559.6753333333</v>
      </c>
      <c r="H10" s="22" t="n">
        <f aca="false">IFERROR('P&amp;L'!H27,0)</f>
        <v>-41101.3533333333</v>
      </c>
      <c r="I10" s="22" t="n">
        <f aca="false">IFERROR('P&amp;L'!I27,0)</f>
        <v>-39560.9023333333</v>
      </c>
      <c r="J10" s="22" t="n">
        <f aca="false">IFERROR('P&amp;L'!J27,0)</f>
        <v>-37939.3223333333</v>
      </c>
      <c r="K10" s="22" t="n">
        <f aca="false">IFERROR('P&amp;L'!K27,0)</f>
        <v>-36236.6133333333</v>
      </c>
      <c r="L10" s="22" t="n">
        <f aca="false">IFERROR('P&amp;L'!L27,0)</f>
        <v>-34452.7753333333</v>
      </c>
      <c r="M10" s="22" t="n">
        <f aca="false">IFERROR('P&amp;L'!M27,0)</f>
        <v>-32588.8083333333</v>
      </c>
      <c r="N10" s="22" t="n">
        <f aca="false">IFERROR('P&amp;L'!N27,0)</f>
        <v>79799.5086666667</v>
      </c>
      <c r="O10" s="22" t="n">
        <f aca="false">IFERROR('P&amp;L'!O27,0)</f>
        <v>-28445.2293333333</v>
      </c>
      <c r="P10" s="22" t="n">
        <f aca="false">IFERROR('P&amp;L'!P27,0)</f>
        <v>-26166.6173333333</v>
      </c>
      <c r="Q10" s="22" t="n">
        <f aca="false">IFERROR('P&amp;L'!Q27,0)</f>
        <v>-23720.7473333333</v>
      </c>
      <c r="R10" s="22" t="n">
        <f aca="false">IFERROR('P&amp;L'!R27,0)</f>
        <v>-21108.6193333333</v>
      </c>
      <c r="S10" s="22" t="n">
        <f aca="false">IFERROR('P&amp;L'!S27,0)</f>
        <v>-18242.1043333333</v>
      </c>
    </row>
    <row r="11" customFormat="false" ht="15" hidden="false" customHeight="false" outlineLevel="0" collapsed="false">
      <c r="A11" s="23" t="s">
        <v>141</v>
      </c>
      <c r="B11" s="29" t="n">
        <f aca="false">B10</f>
        <v>-13984.904</v>
      </c>
      <c r="C11" s="29" t="n">
        <f aca="false">C10</f>
        <v>-12762.969</v>
      </c>
      <c r="D11" s="29" t="n">
        <f aca="false">D10</f>
        <v>-21441.8673333333</v>
      </c>
      <c r="E11" s="29" t="n">
        <f aca="false">E10</f>
        <v>-28042.4323333333</v>
      </c>
      <c r="F11" s="29" t="n">
        <f aca="false">F10</f>
        <v>-26748.3683333333</v>
      </c>
      <c r="G11" s="29" t="n">
        <f aca="false">G10</f>
        <v>-42559.6753333333</v>
      </c>
      <c r="H11" s="29" t="n">
        <f aca="false">H10</f>
        <v>-41101.3533333333</v>
      </c>
      <c r="I11" s="29" t="n">
        <f aca="false">I10</f>
        <v>-39560.9023333333</v>
      </c>
      <c r="J11" s="29" t="n">
        <f aca="false">J10</f>
        <v>-37939.3223333333</v>
      </c>
      <c r="K11" s="29" t="n">
        <f aca="false">K10</f>
        <v>-36236.6133333333</v>
      </c>
      <c r="L11" s="29" t="n">
        <f aca="false">L10</f>
        <v>-34452.7753333333</v>
      </c>
      <c r="M11" s="29" t="n">
        <f aca="false">M10</f>
        <v>-32588.8083333333</v>
      </c>
      <c r="N11" s="29" t="n">
        <f aca="false">N10</f>
        <v>79799.5086666667</v>
      </c>
      <c r="O11" s="29" t="n">
        <f aca="false">O10</f>
        <v>-28445.2293333333</v>
      </c>
      <c r="P11" s="29" t="n">
        <f aca="false">P10</f>
        <v>-26166.6173333333</v>
      </c>
      <c r="Q11" s="29" t="n">
        <f aca="false">Q10</f>
        <v>-23720.7473333333</v>
      </c>
      <c r="R11" s="29" t="n">
        <f aca="false">R10</f>
        <v>-21108.6193333333</v>
      </c>
      <c r="S11" s="29" t="n">
        <f aca="false">S10</f>
        <v>-18242.1043333333</v>
      </c>
      <c r="T11" s="25"/>
      <c r="U11" s="25"/>
      <c r="V11" s="25"/>
      <c r="W11" s="25"/>
    </row>
    <row r="13" customFormat="false" ht="15" hidden="false" customHeight="false" outlineLevel="0" collapsed="false">
      <c r="A13" s="9" t="s">
        <v>142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customFormat="false" ht="15" hidden="false" customHeight="false" outlineLevel="0" collapsed="false">
      <c r="A14" s="10" t="s">
        <v>143</v>
      </c>
      <c r="B14" s="22" t="n">
        <f aca="false">IF(1=ASSUMPTIONS!$B$46,ASSUMPTIONS!$B$45,0)</f>
        <v>0</v>
      </c>
      <c r="C14" s="22" t="n">
        <f aca="false">IF(2=ASSUMPTIONS!$B$46,ASSUMPTIONS!$B$45,0)</f>
        <v>0</v>
      </c>
      <c r="D14" s="22" t="n">
        <f aca="false">IF(3=ASSUMPTIONS!$B$46,ASSUMPTIONS!$B$45,0)</f>
        <v>250000</v>
      </c>
      <c r="E14" s="22" t="n">
        <f aca="false">IF(4=ASSUMPTIONS!$B$46,ASSUMPTIONS!$B$45,0)</f>
        <v>0</v>
      </c>
      <c r="F14" s="22" t="n">
        <f aca="false">IF(5=ASSUMPTIONS!$B$46,ASSUMPTIONS!$B$45,0)</f>
        <v>0</v>
      </c>
      <c r="G14" s="22" t="n">
        <f aca="false">IF(6=ASSUMPTIONS!$B$46,ASSUMPTIONS!$B$45,0)</f>
        <v>0</v>
      </c>
      <c r="H14" s="22" t="n">
        <f aca="false">IF(7=ASSUMPTIONS!$B$46,ASSUMPTIONS!$B$45,0)</f>
        <v>0</v>
      </c>
      <c r="I14" s="22" t="n">
        <f aca="false">IF(8=ASSUMPTIONS!$B$46,ASSUMPTIONS!$B$45,0)</f>
        <v>0</v>
      </c>
      <c r="J14" s="22" t="n">
        <f aca="false">IF(9=ASSUMPTIONS!$B$46,ASSUMPTIONS!$B$45,0)</f>
        <v>0</v>
      </c>
      <c r="K14" s="22" t="n">
        <f aca="false">IF(10=ASSUMPTIONS!$B$46,ASSUMPTIONS!$B$45,0)</f>
        <v>0</v>
      </c>
      <c r="L14" s="22" t="n">
        <f aca="false">IF(11=ASSUMPTIONS!$B$46,ASSUMPTIONS!$B$45,0)</f>
        <v>0</v>
      </c>
      <c r="M14" s="22" t="n">
        <f aca="false">IF(12=ASSUMPTIONS!$B$46,ASSUMPTIONS!$B$45,0)</f>
        <v>0</v>
      </c>
      <c r="N14" s="22" t="n">
        <f aca="false">IF(13=ASSUMPTIONS!$B$46,ASSUMPTIONS!$B$45,0)</f>
        <v>0</v>
      </c>
      <c r="O14" s="22" t="n">
        <f aca="false">IF(14=ASSUMPTIONS!$B$46,ASSUMPTIONS!$B$45,0)</f>
        <v>0</v>
      </c>
      <c r="P14" s="22" t="n">
        <f aca="false">IF(15=ASSUMPTIONS!$B$46,ASSUMPTIONS!$B$45,0)</f>
        <v>0</v>
      </c>
      <c r="Q14" s="22" t="n">
        <f aca="false">IF(16=ASSUMPTIONS!$B$46,ASSUMPTIONS!$B$45,0)</f>
        <v>0</v>
      </c>
      <c r="R14" s="22" t="n">
        <f aca="false">IF(17=ASSUMPTIONS!$B$46,ASSUMPTIONS!$B$45,0)</f>
        <v>0</v>
      </c>
      <c r="S14" s="22" t="n">
        <f aca="false">IF(18=ASSUMPTIONS!$B$46,ASSUMPTIONS!$B$45,0)</f>
        <v>0</v>
      </c>
    </row>
    <row r="15" customFormat="false" ht="15" hidden="false" customHeight="false" outlineLevel="0" collapsed="false">
      <c r="A15" s="23" t="s">
        <v>144</v>
      </c>
      <c r="B15" s="29" t="n">
        <f aca="false">B14</f>
        <v>0</v>
      </c>
      <c r="C15" s="29" t="n">
        <f aca="false">C14</f>
        <v>0</v>
      </c>
      <c r="D15" s="29" t="n">
        <f aca="false">D14</f>
        <v>250000</v>
      </c>
      <c r="E15" s="29" t="n">
        <f aca="false">E14</f>
        <v>0</v>
      </c>
      <c r="F15" s="29" t="n">
        <f aca="false">F14</f>
        <v>0</v>
      </c>
      <c r="G15" s="29" t="n">
        <f aca="false">G14</f>
        <v>0</v>
      </c>
      <c r="H15" s="29" t="n">
        <f aca="false">H14</f>
        <v>0</v>
      </c>
      <c r="I15" s="29" t="n">
        <f aca="false">I14</f>
        <v>0</v>
      </c>
      <c r="J15" s="29" t="n">
        <f aca="false">J14</f>
        <v>0</v>
      </c>
      <c r="K15" s="29" t="n">
        <f aca="false">K14</f>
        <v>0</v>
      </c>
      <c r="L15" s="29" t="n">
        <f aca="false">L14</f>
        <v>0</v>
      </c>
      <c r="M15" s="29" t="n">
        <f aca="false">M14</f>
        <v>0</v>
      </c>
      <c r="N15" s="29" t="n">
        <f aca="false">N14</f>
        <v>0</v>
      </c>
      <c r="O15" s="29" t="n">
        <f aca="false">O14</f>
        <v>0</v>
      </c>
      <c r="P15" s="29" t="n">
        <f aca="false">P14</f>
        <v>0</v>
      </c>
      <c r="Q15" s="29" t="n">
        <f aca="false">Q14</f>
        <v>0</v>
      </c>
      <c r="R15" s="29" t="n">
        <f aca="false">R14</f>
        <v>0</v>
      </c>
      <c r="S15" s="29" t="n">
        <f aca="false">S14</f>
        <v>0</v>
      </c>
      <c r="T15" s="25"/>
      <c r="U15" s="25"/>
      <c r="V15" s="25"/>
      <c r="W15" s="25"/>
    </row>
    <row r="17" customFormat="false" ht="15" hidden="false" customHeight="false" outlineLevel="0" collapsed="false">
      <c r="A17" s="30" t="s">
        <v>145</v>
      </c>
      <c r="B17" s="31" t="n">
        <f aca="false">B11+B15</f>
        <v>-13984.904</v>
      </c>
      <c r="C17" s="31" t="n">
        <f aca="false">C11+C15</f>
        <v>-12762.969</v>
      </c>
      <c r="D17" s="31" t="n">
        <f aca="false">D11+D15</f>
        <v>228558.132666667</v>
      </c>
      <c r="E17" s="31" t="n">
        <f aca="false">E11+E15</f>
        <v>-28042.4323333333</v>
      </c>
      <c r="F17" s="31" t="n">
        <f aca="false">F11+F15</f>
        <v>-26748.3683333333</v>
      </c>
      <c r="G17" s="31" t="n">
        <f aca="false">G11+G15</f>
        <v>-42559.6753333333</v>
      </c>
      <c r="H17" s="31" t="n">
        <f aca="false">H11+H15</f>
        <v>-41101.3533333333</v>
      </c>
      <c r="I17" s="31" t="n">
        <f aca="false">I11+I15</f>
        <v>-39560.9023333333</v>
      </c>
      <c r="J17" s="31" t="n">
        <f aca="false">J11+J15</f>
        <v>-37939.3223333333</v>
      </c>
      <c r="K17" s="31" t="n">
        <f aca="false">K11+K15</f>
        <v>-36236.6133333333</v>
      </c>
      <c r="L17" s="31" t="n">
        <f aca="false">L11+L15</f>
        <v>-34452.7753333333</v>
      </c>
      <c r="M17" s="31" t="n">
        <f aca="false">M11+M15</f>
        <v>-32588.8083333333</v>
      </c>
      <c r="N17" s="31" t="n">
        <f aca="false">N11+N15</f>
        <v>79799.5086666667</v>
      </c>
      <c r="O17" s="31" t="n">
        <f aca="false">O11+O15</f>
        <v>-28445.2293333333</v>
      </c>
      <c r="P17" s="31" t="n">
        <f aca="false">P11+P15</f>
        <v>-26166.6173333333</v>
      </c>
      <c r="Q17" s="31" t="n">
        <f aca="false">Q11+Q15</f>
        <v>-23720.7473333333</v>
      </c>
      <c r="R17" s="31" t="n">
        <f aca="false">R11+R15</f>
        <v>-21108.6193333333</v>
      </c>
      <c r="S17" s="31" t="n">
        <f aca="false">S11+S15</f>
        <v>-18242.1043333333</v>
      </c>
    </row>
    <row r="18" customFormat="false" ht="15" hidden="false" customHeight="false" outlineLevel="0" collapsed="false">
      <c r="A18" s="23" t="s">
        <v>146</v>
      </c>
      <c r="B18" s="24" t="n">
        <f aca="false">B7+B17</f>
        <v>36015.096</v>
      </c>
      <c r="C18" s="24" t="n">
        <f aca="false">C7+C17</f>
        <v>23252.127</v>
      </c>
      <c r="D18" s="24" t="n">
        <f aca="false">D7+D17</f>
        <v>251810.259666667</v>
      </c>
      <c r="E18" s="24" t="n">
        <f aca="false">E7+E17</f>
        <v>223767.827333333</v>
      </c>
      <c r="F18" s="24" t="n">
        <f aca="false">F7+F17</f>
        <v>197019.459</v>
      </c>
      <c r="G18" s="24" t="n">
        <f aca="false">G7+G17</f>
        <v>154459.783666667</v>
      </c>
      <c r="H18" s="24" t="n">
        <f aca="false">H7+H17</f>
        <v>113358.430333333</v>
      </c>
      <c r="I18" s="24" t="n">
        <f aca="false">I7+I17</f>
        <v>73797.528</v>
      </c>
      <c r="J18" s="24" t="n">
        <f aca="false">J7+J17</f>
        <v>35858.2056666667</v>
      </c>
      <c r="K18" s="24" t="n">
        <f aca="false">K7+K17</f>
        <v>-378.407666666681</v>
      </c>
      <c r="L18" s="24" t="n">
        <f aca="false">L7+L17</f>
        <v>-34831.183</v>
      </c>
      <c r="M18" s="24" t="n">
        <f aca="false">M7+M17</f>
        <v>-67419.9913333334</v>
      </c>
      <c r="N18" s="24" t="n">
        <f aca="false">N7+N17</f>
        <v>12379.5173333333</v>
      </c>
      <c r="O18" s="24" t="n">
        <f aca="false">O7+O17</f>
        <v>-16065.712</v>
      </c>
      <c r="P18" s="24" t="n">
        <f aca="false">P7+P17</f>
        <v>-42232.3293333334</v>
      </c>
      <c r="Q18" s="24" t="n">
        <f aca="false">Q7+Q17</f>
        <v>-65953.0766666667</v>
      </c>
      <c r="R18" s="24" t="n">
        <f aca="false">R7+R17</f>
        <v>-87061.696</v>
      </c>
      <c r="S18" s="24" t="n">
        <f aca="false">S7+S17</f>
        <v>-105303.800333333</v>
      </c>
      <c r="T18" s="25"/>
      <c r="U18" s="25"/>
      <c r="V18" s="25"/>
      <c r="W18" s="25"/>
    </row>
    <row r="20" customFormat="false" ht="15" hidden="false" customHeight="false" outlineLevel="0" collapsed="false">
      <c r="A20" s="12" t="s">
        <v>147</v>
      </c>
      <c r="B20" s="20" t="n">
        <f aca="false">IFERROR(B11,0)</f>
        <v>-13984.904</v>
      </c>
      <c r="C20" s="20" t="n">
        <f aca="false">IFERROR(C11,0)</f>
        <v>-12762.969</v>
      </c>
      <c r="D20" s="20" t="n">
        <f aca="false">IFERROR(D11,0)</f>
        <v>-21441.8673333333</v>
      </c>
      <c r="E20" s="20" t="n">
        <f aca="false">IFERROR(E11,0)</f>
        <v>-28042.4323333333</v>
      </c>
      <c r="F20" s="20" t="n">
        <f aca="false">IFERROR(F11,0)</f>
        <v>-26748.3683333333</v>
      </c>
      <c r="G20" s="20" t="n">
        <f aca="false">IFERROR(G11,0)</f>
        <v>-42559.6753333333</v>
      </c>
      <c r="H20" s="20" t="n">
        <f aca="false">IFERROR(H11,0)</f>
        <v>-41101.3533333333</v>
      </c>
      <c r="I20" s="20" t="n">
        <f aca="false">IFERROR(I11,0)</f>
        <v>-39560.9023333333</v>
      </c>
      <c r="J20" s="20" t="n">
        <f aca="false">IFERROR(J11,0)</f>
        <v>-37939.3223333333</v>
      </c>
      <c r="K20" s="20" t="n">
        <f aca="false">IFERROR(K11,0)</f>
        <v>-36236.6133333333</v>
      </c>
      <c r="L20" s="20" t="n">
        <f aca="false">IFERROR(L11,0)</f>
        <v>-34452.7753333333</v>
      </c>
      <c r="M20" s="20" t="n">
        <f aca="false">IFERROR(M11,0)</f>
        <v>-32588.8083333333</v>
      </c>
      <c r="N20" s="20" t="n">
        <f aca="false">IFERROR(N11,0)</f>
        <v>79799.5086666667</v>
      </c>
      <c r="O20" s="20" t="n">
        <f aca="false">IFERROR(O11,0)</f>
        <v>-28445.2293333333</v>
      </c>
      <c r="P20" s="20" t="n">
        <f aca="false">IFERROR(P11,0)</f>
        <v>-26166.6173333333</v>
      </c>
      <c r="Q20" s="20" t="n">
        <f aca="false">IFERROR(Q11,0)</f>
        <v>-23720.7473333333</v>
      </c>
      <c r="R20" s="20" t="n">
        <f aca="false">IFERROR(R11,0)</f>
        <v>-21108.6193333333</v>
      </c>
      <c r="S20" s="20" t="n">
        <f aca="false">IFERROR(S11,0)</f>
        <v>-18242.1043333333</v>
      </c>
    </row>
    <row r="21" customFormat="false" ht="15" hidden="false" customHeight="false" outlineLevel="0" collapsed="false">
      <c r="A21" s="10" t="s">
        <v>148</v>
      </c>
      <c r="B21" s="34" t="n">
        <f aca="false">IFERROR(IF(B20&lt;0,B18/ABS(B20),"∞"),0)</f>
        <v>2.57528374881944</v>
      </c>
      <c r="C21" s="34" t="n">
        <f aca="false">IFERROR(IF(C20&lt;0,C18/ABS(C20),"∞"),0)</f>
        <v>1.82184309936034</v>
      </c>
      <c r="D21" s="34" t="n">
        <f aca="false">IFERROR(IF(D20&lt;0,D18/ABS(D20),"∞"),0)</f>
        <v>11.7438586738761</v>
      </c>
      <c r="E21" s="34" t="n">
        <f aca="false">IFERROR(IF(E20&lt;0,E18/ABS(E20),"∞"),0)</f>
        <v>7.97961548675455</v>
      </c>
      <c r="F21" s="34" t="n">
        <f aca="false">IFERROR(IF(F20&lt;0,F18/ABS(F20),"∞"),0)</f>
        <v>7.36566270303964</v>
      </c>
      <c r="G21" s="34" t="n">
        <f aca="false">IFERROR(IF(G20&lt;0,G18/ABS(G20),"∞"),0)</f>
        <v>3.62925192584098</v>
      </c>
      <c r="H21" s="34" t="n">
        <f aca="false">IFERROR(IF(H20&lt;0,H18/ABS(H20),"∞"),0)</f>
        <v>2.75802184453618</v>
      </c>
      <c r="I21" s="34" t="n">
        <f aca="false">IFERROR(IF(I20&lt;0,I18/ABS(I20),"∞"),0)</f>
        <v>1.86541569194238</v>
      </c>
      <c r="J21" s="34" t="n">
        <f aca="false">IFERROR(IF(J20&lt;0,J18/ABS(J20),"∞"),0)</f>
        <v>0.945146182412483</v>
      </c>
      <c r="K21" s="34" t="n">
        <f aca="false">IFERROR(IF(K20&lt;0,K18/ABS(K20),"∞"),0)</f>
        <v>-0.0104426885367511</v>
      </c>
      <c r="L21" s="34" t="n">
        <f aca="false">IFERROR(IF(L20&lt;0,L18/ABS(L20),"∞"),0)</f>
        <v>-1.01098337254417</v>
      </c>
      <c r="M21" s="34" t="n">
        <f aca="false">IFERROR(IF(M20&lt;0,M18/ABS(M20),"∞"),0)</f>
        <v>-2.06880812098837</v>
      </c>
      <c r="N21" s="34" t="str">
        <f aca="false">IFERROR(IF(N20&lt;0,N18/ABS(N20),"∞"),0)</f>
        <v>∞</v>
      </c>
      <c r="O21" s="34" t="n">
        <f aca="false">IFERROR(IF(O20&lt;0,O18/ABS(O20),"∞"),0)</f>
        <v>-0.564794602698933</v>
      </c>
      <c r="P21" s="34" t="n">
        <f aca="false">IFERROR(IF(P20&lt;0,P18/ABS(P20),"∞"),0)</f>
        <v>-1.61397741233958</v>
      </c>
      <c r="Q21" s="34" t="n">
        <f aca="false">IFERROR(IF(Q20&lt;0,Q18/ABS(Q20),"∞"),0)</f>
        <v>-2.78039623878067</v>
      </c>
      <c r="R21" s="34" t="n">
        <f aca="false">IFERROR(IF(R20&lt;0,R18/ABS(R20),"∞"),0)</f>
        <v>-4.12446189043345</v>
      </c>
      <c r="S21" s="34" t="n">
        <f aca="false">IFERROR(IF(S20&lt;0,S18/ABS(S20),"∞"),0)</f>
        <v>-5.77256869104265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2026-03-10T21:56:53Z</dcterms:created>
  <dc:creator>openpyxl</dc:creator>
  <dc:description/>
  <dc:language>en-US</dc:language>
  <cp:lastModifiedBy/>
  <dcterms:modified xsi:type="dcterms:W3CDTF">2026-03-10T21:56:53Z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